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00000000-0000-0000-0000-000000000000}"/>
  <workbookPr showInkAnnotation="0" codeName="ThisWorkbook" hidePivotFieldList="1" autoCompressPictures="0"/>
  <bookViews>
    <workbookView xWindow="0" yWindow="0" windowWidth="25020" windowHeight="15600" tabRatio="500" activeTab="3"/>
  </bookViews>
  <sheets>
    <sheet name="data" sheetId="5" r:id="rId1"/>
    <sheet name="filtered" sheetId="1" r:id="rId2"/>
    <sheet name="summary" sheetId="9" r:id="rId3"/>
    <sheet name="graphs" sheetId="6" r:id="rId4"/>
  </sheets>
  <definedNames>
    <definedName name="_xlnm._FilterDatabase" localSheetId="1" hidden="1">filtered!$A$2:$AL$2305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data!$A$2:$Z$578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" i="1" l="1"/>
  <c r="E435" i="1"/>
  <c r="C1" i="1"/>
  <c r="C435" i="1"/>
  <c r="C566" i="1"/>
  <c r="C147" i="1"/>
  <c r="AB147" i="1"/>
  <c r="B4" i="9"/>
  <c r="B11" i="9"/>
  <c r="D10" i="9"/>
  <c r="C291" i="1"/>
  <c r="AB291" i="1"/>
  <c r="B5" i="9"/>
  <c r="B12" i="9"/>
  <c r="D11" i="9"/>
  <c r="C519" i="1"/>
  <c r="AB519" i="1"/>
  <c r="C471" i="1"/>
  <c r="AB471" i="1"/>
  <c r="AB435" i="1"/>
  <c r="B6" i="9"/>
  <c r="B13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G10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M1" i="1"/>
  <c r="M3" i="1"/>
  <c r="P1" i="1"/>
  <c r="P3" i="1"/>
  <c r="AL3" i="1"/>
  <c r="M4" i="1"/>
  <c r="P4" i="1"/>
  <c r="AL4" i="1"/>
  <c r="M5" i="1"/>
  <c r="P5" i="1"/>
  <c r="AL5" i="1"/>
  <c r="M6" i="1"/>
  <c r="P6" i="1"/>
  <c r="AL6" i="1"/>
  <c r="M7" i="1"/>
  <c r="P7" i="1"/>
  <c r="AL7" i="1"/>
  <c r="M8" i="1"/>
  <c r="P8" i="1"/>
  <c r="AL8" i="1"/>
  <c r="M9" i="1"/>
  <c r="P9" i="1"/>
  <c r="AL9" i="1"/>
  <c r="M10" i="1"/>
  <c r="P10" i="1"/>
  <c r="AL10" i="1"/>
  <c r="M11" i="1"/>
  <c r="P11" i="1"/>
  <c r="AL11" i="1"/>
  <c r="M12" i="1"/>
  <c r="P12" i="1"/>
  <c r="AL12" i="1"/>
  <c r="M13" i="1"/>
  <c r="P13" i="1"/>
  <c r="AL13" i="1"/>
  <c r="M14" i="1"/>
  <c r="P14" i="1"/>
  <c r="AL14" i="1"/>
  <c r="M15" i="1"/>
  <c r="P15" i="1"/>
  <c r="AL15" i="1"/>
  <c r="M16" i="1"/>
  <c r="P16" i="1"/>
  <c r="AL16" i="1"/>
  <c r="M17" i="1"/>
  <c r="P17" i="1"/>
  <c r="AL17" i="1"/>
  <c r="M18" i="1"/>
  <c r="P18" i="1"/>
  <c r="AL18" i="1"/>
  <c r="M19" i="1"/>
  <c r="P19" i="1"/>
  <c r="AL19" i="1"/>
  <c r="M20" i="1"/>
  <c r="P20" i="1"/>
  <c r="AL20" i="1"/>
  <c r="M21" i="1"/>
  <c r="P21" i="1"/>
  <c r="AL21" i="1"/>
  <c r="M22" i="1"/>
  <c r="P22" i="1"/>
  <c r="AL22" i="1"/>
  <c r="M23" i="1"/>
  <c r="P23" i="1"/>
  <c r="AL23" i="1"/>
  <c r="M24" i="1"/>
  <c r="P24" i="1"/>
  <c r="AL24" i="1"/>
  <c r="M25" i="1"/>
  <c r="P25" i="1"/>
  <c r="AL25" i="1"/>
  <c r="M26" i="1"/>
  <c r="P26" i="1"/>
  <c r="AL26" i="1"/>
  <c r="M27" i="1"/>
  <c r="P27" i="1"/>
  <c r="AL27" i="1"/>
  <c r="M28" i="1"/>
  <c r="P28" i="1"/>
  <c r="AL28" i="1"/>
  <c r="M29" i="1"/>
  <c r="P29" i="1"/>
  <c r="AL29" i="1"/>
  <c r="M30" i="1"/>
  <c r="P30" i="1"/>
  <c r="AL30" i="1"/>
  <c r="M31" i="1"/>
  <c r="P31" i="1"/>
  <c r="AL31" i="1"/>
  <c r="M32" i="1"/>
  <c r="P32" i="1"/>
  <c r="AL32" i="1"/>
  <c r="M33" i="1"/>
  <c r="P33" i="1"/>
  <c r="AL33" i="1"/>
  <c r="M34" i="1"/>
  <c r="P34" i="1"/>
  <c r="AL34" i="1"/>
  <c r="M35" i="1"/>
  <c r="P35" i="1"/>
  <c r="AL35" i="1"/>
  <c r="M36" i="1"/>
  <c r="P36" i="1"/>
  <c r="AL36" i="1"/>
  <c r="M37" i="1"/>
  <c r="P37" i="1"/>
  <c r="AL37" i="1"/>
  <c r="M38" i="1"/>
  <c r="P38" i="1"/>
  <c r="AL38" i="1"/>
  <c r="M39" i="1"/>
  <c r="P39" i="1"/>
  <c r="AL39" i="1"/>
  <c r="M40" i="1"/>
  <c r="P40" i="1"/>
  <c r="AL40" i="1"/>
  <c r="M41" i="1"/>
  <c r="P41" i="1"/>
  <c r="AL41" i="1"/>
  <c r="M42" i="1"/>
  <c r="P42" i="1"/>
  <c r="AL42" i="1"/>
  <c r="M43" i="1"/>
  <c r="P43" i="1"/>
  <c r="AL43" i="1"/>
  <c r="M44" i="1"/>
  <c r="P44" i="1"/>
  <c r="AL44" i="1"/>
  <c r="M45" i="1"/>
  <c r="P45" i="1"/>
  <c r="AL45" i="1"/>
  <c r="M46" i="1"/>
  <c r="P46" i="1"/>
  <c r="AL46" i="1"/>
  <c r="M47" i="1"/>
  <c r="P47" i="1"/>
  <c r="AL47" i="1"/>
  <c r="M48" i="1"/>
  <c r="P48" i="1"/>
  <c r="AL48" i="1"/>
  <c r="M49" i="1"/>
  <c r="P49" i="1"/>
  <c r="AL49" i="1"/>
  <c r="M50" i="1"/>
  <c r="P50" i="1"/>
  <c r="AL50" i="1"/>
  <c r="M51" i="1"/>
  <c r="P51" i="1"/>
  <c r="AL51" i="1"/>
  <c r="M52" i="1"/>
  <c r="P52" i="1"/>
  <c r="AL52" i="1"/>
  <c r="M53" i="1"/>
  <c r="P53" i="1"/>
  <c r="AL53" i="1"/>
  <c r="M54" i="1"/>
  <c r="P54" i="1"/>
  <c r="AL54" i="1"/>
  <c r="M55" i="1"/>
  <c r="P55" i="1"/>
  <c r="AL55" i="1"/>
  <c r="M56" i="1"/>
  <c r="P56" i="1"/>
  <c r="AL56" i="1"/>
  <c r="M57" i="1"/>
  <c r="P57" i="1"/>
  <c r="AL57" i="1"/>
  <c r="M58" i="1"/>
  <c r="P58" i="1"/>
  <c r="AL58" i="1"/>
  <c r="M59" i="1"/>
  <c r="P59" i="1"/>
  <c r="AL59" i="1"/>
  <c r="M60" i="1"/>
  <c r="P60" i="1"/>
  <c r="AL60" i="1"/>
  <c r="M61" i="1"/>
  <c r="P61" i="1"/>
  <c r="AL61" i="1"/>
  <c r="M62" i="1"/>
  <c r="P62" i="1"/>
  <c r="AL62" i="1"/>
  <c r="M63" i="1"/>
  <c r="P63" i="1"/>
  <c r="AL63" i="1"/>
  <c r="M64" i="1"/>
  <c r="P64" i="1"/>
  <c r="AL64" i="1"/>
  <c r="M65" i="1"/>
  <c r="P65" i="1"/>
  <c r="AL65" i="1"/>
  <c r="M66" i="1"/>
  <c r="P66" i="1"/>
  <c r="AL66" i="1"/>
  <c r="M67" i="1"/>
  <c r="P67" i="1"/>
  <c r="AL67" i="1"/>
  <c r="M68" i="1"/>
  <c r="P68" i="1"/>
  <c r="AL68" i="1"/>
  <c r="M69" i="1"/>
  <c r="P69" i="1"/>
  <c r="AL69" i="1"/>
  <c r="M70" i="1"/>
  <c r="P70" i="1"/>
  <c r="AL70" i="1"/>
  <c r="M71" i="1"/>
  <c r="P71" i="1"/>
  <c r="AL71" i="1"/>
  <c r="M72" i="1"/>
  <c r="P72" i="1"/>
  <c r="AL72" i="1"/>
  <c r="M73" i="1"/>
  <c r="P73" i="1"/>
  <c r="AL73" i="1"/>
  <c r="M74" i="1"/>
  <c r="P74" i="1"/>
  <c r="AL74" i="1"/>
  <c r="M75" i="1"/>
  <c r="P75" i="1"/>
  <c r="AL75" i="1"/>
  <c r="M76" i="1"/>
  <c r="P76" i="1"/>
  <c r="AL76" i="1"/>
  <c r="M77" i="1"/>
  <c r="P77" i="1"/>
  <c r="AL77" i="1"/>
  <c r="M78" i="1"/>
  <c r="P78" i="1"/>
  <c r="AL78" i="1"/>
  <c r="M79" i="1"/>
  <c r="P79" i="1"/>
  <c r="AL79" i="1"/>
  <c r="M80" i="1"/>
  <c r="P80" i="1"/>
  <c r="AL80" i="1"/>
  <c r="M81" i="1"/>
  <c r="P81" i="1"/>
  <c r="AL81" i="1"/>
  <c r="M82" i="1"/>
  <c r="P82" i="1"/>
  <c r="AL82" i="1"/>
  <c r="M83" i="1"/>
  <c r="P83" i="1"/>
  <c r="AL83" i="1"/>
  <c r="M84" i="1"/>
  <c r="P84" i="1"/>
  <c r="AL84" i="1"/>
  <c r="M85" i="1"/>
  <c r="P85" i="1"/>
  <c r="AL85" i="1"/>
  <c r="M86" i="1"/>
  <c r="P86" i="1"/>
  <c r="AL86" i="1"/>
  <c r="M87" i="1"/>
  <c r="P87" i="1"/>
  <c r="AL87" i="1"/>
  <c r="M88" i="1"/>
  <c r="P88" i="1"/>
  <c r="AL88" i="1"/>
  <c r="M89" i="1"/>
  <c r="P89" i="1"/>
  <c r="AL89" i="1"/>
  <c r="M90" i="1"/>
  <c r="P90" i="1"/>
  <c r="AL90" i="1"/>
  <c r="M91" i="1"/>
  <c r="P91" i="1"/>
  <c r="AL91" i="1"/>
  <c r="M92" i="1"/>
  <c r="P92" i="1"/>
  <c r="AL92" i="1"/>
  <c r="M93" i="1"/>
  <c r="P93" i="1"/>
  <c r="AL93" i="1"/>
  <c r="M94" i="1"/>
  <c r="P94" i="1"/>
  <c r="AL94" i="1"/>
  <c r="M95" i="1"/>
  <c r="P95" i="1"/>
  <c r="AL95" i="1"/>
  <c r="M96" i="1"/>
  <c r="P96" i="1"/>
  <c r="AL96" i="1"/>
  <c r="M97" i="1"/>
  <c r="P97" i="1"/>
  <c r="AL97" i="1"/>
  <c r="M98" i="1"/>
  <c r="P98" i="1"/>
  <c r="AL98" i="1"/>
  <c r="M99" i="1"/>
  <c r="P99" i="1"/>
  <c r="AL99" i="1"/>
  <c r="M100" i="1"/>
  <c r="P100" i="1"/>
  <c r="AL100" i="1"/>
  <c r="M101" i="1"/>
  <c r="P101" i="1"/>
  <c r="AL101" i="1"/>
  <c r="M102" i="1"/>
  <c r="P102" i="1"/>
  <c r="AL102" i="1"/>
  <c r="M103" i="1"/>
  <c r="P103" i="1"/>
  <c r="AL103" i="1"/>
  <c r="M104" i="1"/>
  <c r="P104" i="1"/>
  <c r="AL104" i="1"/>
  <c r="M105" i="1"/>
  <c r="P105" i="1"/>
  <c r="AL105" i="1"/>
  <c r="M106" i="1"/>
  <c r="P106" i="1"/>
  <c r="AL106" i="1"/>
  <c r="M107" i="1"/>
  <c r="P107" i="1"/>
  <c r="AL107" i="1"/>
  <c r="M108" i="1"/>
  <c r="P108" i="1"/>
  <c r="AL108" i="1"/>
  <c r="M109" i="1"/>
  <c r="P109" i="1"/>
  <c r="AL109" i="1"/>
  <c r="M110" i="1"/>
  <c r="P110" i="1"/>
  <c r="AL110" i="1"/>
  <c r="M111" i="1"/>
  <c r="P111" i="1"/>
  <c r="AL111" i="1"/>
  <c r="M112" i="1"/>
  <c r="P112" i="1"/>
  <c r="AL112" i="1"/>
  <c r="M113" i="1"/>
  <c r="P113" i="1"/>
  <c r="AL113" i="1"/>
  <c r="M114" i="1"/>
  <c r="P114" i="1"/>
  <c r="AL114" i="1"/>
  <c r="M115" i="1"/>
  <c r="P115" i="1"/>
  <c r="AL115" i="1"/>
  <c r="M116" i="1"/>
  <c r="P116" i="1"/>
  <c r="AL116" i="1"/>
  <c r="M117" i="1"/>
  <c r="P117" i="1"/>
  <c r="AL117" i="1"/>
  <c r="M118" i="1"/>
  <c r="P118" i="1"/>
  <c r="AL118" i="1"/>
  <c r="M119" i="1"/>
  <c r="P119" i="1"/>
  <c r="AL119" i="1"/>
  <c r="M120" i="1"/>
  <c r="P120" i="1"/>
  <c r="AL120" i="1"/>
  <c r="M121" i="1"/>
  <c r="P121" i="1"/>
  <c r="AL121" i="1"/>
  <c r="M122" i="1"/>
  <c r="P122" i="1"/>
  <c r="AL122" i="1"/>
  <c r="M123" i="1"/>
  <c r="P123" i="1"/>
  <c r="AL123" i="1"/>
  <c r="M124" i="1"/>
  <c r="P124" i="1"/>
  <c r="AL124" i="1"/>
  <c r="M125" i="1"/>
  <c r="P125" i="1"/>
  <c r="AL125" i="1"/>
  <c r="M126" i="1"/>
  <c r="P126" i="1"/>
  <c r="AL126" i="1"/>
  <c r="M127" i="1"/>
  <c r="P127" i="1"/>
  <c r="AL127" i="1"/>
  <c r="M128" i="1"/>
  <c r="P128" i="1"/>
  <c r="AL128" i="1"/>
  <c r="M129" i="1"/>
  <c r="P129" i="1"/>
  <c r="AL129" i="1"/>
  <c r="M130" i="1"/>
  <c r="P130" i="1"/>
  <c r="AL130" i="1"/>
  <c r="M131" i="1"/>
  <c r="P131" i="1"/>
  <c r="AL131" i="1"/>
  <c r="M132" i="1"/>
  <c r="P132" i="1"/>
  <c r="AL132" i="1"/>
  <c r="M133" i="1"/>
  <c r="P133" i="1"/>
  <c r="AL133" i="1"/>
  <c r="M134" i="1"/>
  <c r="P134" i="1"/>
  <c r="AL134" i="1"/>
  <c r="M135" i="1"/>
  <c r="P135" i="1"/>
  <c r="AL135" i="1"/>
  <c r="M136" i="1"/>
  <c r="P136" i="1"/>
  <c r="AL136" i="1"/>
  <c r="M137" i="1"/>
  <c r="P137" i="1"/>
  <c r="AL137" i="1"/>
  <c r="M138" i="1"/>
  <c r="P138" i="1"/>
  <c r="AL138" i="1"/>
  <c r="M139" i="1"/>
  <c r="P139" i="1"/>
  <c r="AL139" i="1"/>
  <c r="M140" i="1"/>
  <c r="P140" i="1"/>
  <c r="AL140" i="1"/>
  <c r="M141" i="1"/>
  <c r="P141" i="1"/>
  <c r="AL141" i="1"/>
  <c r="M142" i="1"/>
  <c r="P142" i="1"/>
  <c r="AL142" i="1"/>
  <c r="M143" i="1"/>
  <c r="P143" i="1"/>
  <c r="AL143" i="1"/>
  <c r="M144" i="1"/>
  <c r="P144" i="1"/>
  <c r="AL144" i="1"/>
  <c r="M145" i="1"/>
  <c r="P145" i="1"/>
  <c r="AL145" i="1"/>
  <c r="M146" i="1"/>
  <c r="P146" i="1"/>
  <c r="AL146" i="1"/>
  <c r="M147" i="1"/>
  <c r="P147" i="1"/>
  <c r="AL147" i="1"/>
  <c r="M148" i="1"/>
  <c r="P148" i="1"/>
  <c r="AL148" i="1"/>
  <c r="M149" i="1"/>
  <c r="P149" i="1"/>
  <c r="AL149" i="1"/>
  <c r="M150" i="1"/>
  <c r="P150" i="1"/>
  <c r="AL150" i="1"/>
  <c r="M151" i="1"/>
  <c r="P151" i="1"/>
  <c r="AL151" i="1"/>
  <c r="M152" i="1"/>
  <c r="P152" i="1"/>
  <c r="AL152" i="1"/>
  <c r="M153" i="1"/>
  <c r="P153" i="1"/>
  <c r="AL153" i="1"/>
  <c r="M154" i="1"/>
  <c r="P154" i="1"/>
  <c r="AL154" i="1"/>
  <c r="M155" i="1"/>
  <c r="P155" i="1"/>
  <c r="AL155" i="1"/>
  <c r="M156" i="1"/>
  <c r="P156" i="1"/>
  <c r="AL156" i="1"/>
  <c r="M157" i="1"/>
  <c r="P157" i="1"/>
  <c r="AL157" i="1"/>
  <c r="M158" i="1"/>
  <c r="P158" i="1"/>
  <c r="AL158" i="1"/>
  <c r="M159" i="1"/>
  <c r="P159" i="1"/>
  <c r="AL159" i="1"/>
  <c r="M160" i="1"/>
  <c r="P160" i="1"/>
  <c r="AL160" i="1"/>
  <c r="M161" i="1"/>
  <c r="P161" i="1"/>
  <c r="AL161" i="1"/>
  <c r="M162" i="1"/>
  <c r="P162" i="1"/>
  <c r="AL162" i="1"/>
  <c r="M163" i="1"/>
  <c r="P163" i="1"/>
  <c r="AL163" i="1"/>
  <c r="M164" i="1"/>
  <c r="P164" i="1"/>
  <c r="AL164" i="1"/>
  <c r="M165" i="1"/>
  <c r="P165" i="1"/>
  <c r="AL165" i="1"/>
  <c r="M166" i="1"/>
  <c r="P166" i="1"/>
  <c r="AL166" i="1"/>
  <c r="M167" i="1"/>
  <c r="P167" i="1"/>
  <c r="AL167" i="1"/>
  <c r="M168" i="1"/>
  <c r="P168" i="1"/>
  <c r="AL168" i="1"/>
  <c r="M169" i="1"/>
  <c r="P169" i="1"/>
  <c r="AL169" i="1"/>
  <c r="M170" i="1"/>
  <c r="P170" i="1"/>
  <c r="AL170" i="1"/>
  <c r="M171" i="1"/>
  <c r="P171" i="1"/>
  <c r="AL171" i="1"/>
  <c r="M172" i="1"/>
  <c r="P172" i="1"/>
  <c r="AL172" i="1"/>
  <c r="M173" i="1"/>
  <c r="P173" i="1"/>
  <c r="AL173" i="1"/>
  <c r="M174" i="1"/>
  <c r="P174" i="1"/>
  <c r="AL174" i="1"/>
  <c r="M175" i="1"/>
  <c r="P175" i="1"/>
  <c r="AL175" i="1"/>
  <c r="M176" i="1"/>
  <c r="P176" i="1"/>
  <c r="AL176" i="1"/>
  <c r="M177" i="1"/>
  <c r="P177" i="1"/>
  <c r="AL177" i="1"/>
  <c r="M178" i="1"/>
  <c r="P178" i="1"/>
  <c r="AL178" i="1"/>
  <c r="M179" i="1"/>
  <c r="P179" i="1"/>
  <c r="AL179" i="1"/>
  <c r="M180" i="1"/>
  <c r="P180" i="1"/>
  <c r="AL180" i="1"/>
  <c r="M181" i="1"/>
  <c r="P181" i="1"/>
  <c r="AL181" i="1"/>
  <c r="M182" i="1"/>
  <c r="P182" i="1"/>
  <c r="AL182" i="1"/>
  <c r="M183" i="1"/>
  <c r="P183" i="1"/>
  <c r="AL183" i="1"/>
  <c r="M184" i="1"/>
  <c r="P184" i="1"/>
  <c r="AL184" i="1"/>
  <c r="M185" i="1"/>
  <c r="P185" i="1"/>
  <c r="AL185" i="1"/>
  <c r="M186" i="1"/>
  <c r="P186" i="1"/>
  <c r="AL186" i="1"/>
  <c r="M187" i="1"/>
  <c r="P187" i="1"/>
  <c r="AL187" i="1"/>
  <c r="M188" i="1"/>
  <c r="P188" i="1"/>
  <c r="AL188" i="1"/>
  <c r="M189" i="1"/>
  <c r="P189" i="1"/>
  <c r="AL189" i="1"/>
  <c r="M190" i="1"/>
  <c r="P190" i="1"/>
  <c r="AL190" i="1"/>
  <c r="M191" i="1"/>
  <c r="P191" i="1"/>
  <c r="AL191" i="1"/>
  <c r="M192" i="1"/>
  <c r="P192" i="1"/>
  <c r="AL192" i="1"/>
  <c r="M193" i="1"/>
  <c r="P193" i="1"/>
  <c r="AL193" i="1"/>
  <c r="M194" i="1"/>
  <c r="P194" i="1"/>
  <c r="AL194" i="1"/>
  <c r="M195" i="1"/>
  <c r="P195" i="1"/>
  <c r="AL195" i="1"/>
  <c r="M196" i="1"/>
  <c r="P196" i="1"/>
  <c r="AL196" i="1"/>
  <c r="M197" i="1"/>
  <c r="P197" i="1"/>
  <c r="AL197" i="1"/>
  <c r="M198" i="1"/>
  <c r="P198" i="1"/>
  <c r="AL198" i="1"/>
  <c r="M199" i="1"/>
  <c r="P199" i="1"/>
  <c r="AL199" i="1"/>
  <c r="M200" i="1"/>
  <c r="P200" i="1"/>
  <c r="AL200" i="1"/>
  <c r="M201" i="1"/>
  <c r="P201" i="1"/>
  <c r="AL201" i="1"/>
  <c r="M202" i="1"/>
  <c r="P202" i="1"/>
  <c r="AL202" i="1"/>
  <c r="M203" i="1"/>
  <c r="P203" i="1"/>
  <c r="AL203" i="1"/>
  <c r="M204" i="1"/>
  <c r="P204" i="1"/>
  <c r="AL204" i="1"/>
  <c r="M205" i="1"/>
  <c r="P205" i="1"/>
  <c r="AL205" i="1"/>
  <c r="M206" i="1"/>
  <c r="P206" i="1"/>
  <c r="AL206" i="1"/>
  <c r="M207" i="1"/>
  <c r="P207" i="1"/>
  <c r="AL207" i="1"/>
  <c r="M208" i="1"/>
  <c r="P208" i="1"/>
  <c r="AL208" i="1"/>
  <c r="M209" i="1"/>
  <c r="P209" i="1"/>
  <c r="AL209" i="1"/>
  <c r="M210" i="1"/>
  <c r="P210" i="1"/>
  <c r="AL210" i="1"/>
  <c r="M211" i="1"/>
  <c r="P211" i="1"/>
  <c r="AL211" i="1"/>
  <c r="M212" i="1"/>
  <c r="P212" i="1"/>
  <c r="AL212" i="1"/>
  <c r="M213" i="1"/>
  <c r="P213" i="1"/>
  <c r="AL213" i="1"/>
  <c r="M214" i="1"/>
  <c r="P214" i="1"/>
  <c r="AL214" i="1"/>
  <c r="M215" i="1"/>
  <c r="P215" i="1"/>
  <c r="AL215" i="1"/>
  <c r="M216" i="1"/>
  <c r="P216" i="1"/>
  <c r="AL216" i="1"/>
  <c r="M217" i="1"/>
  <c r="P217" i="1"/>
  <c r="AL217" i="1"/>
  <c r="M218" i="1"/>
  <c r="P218" i="1"/>
  <c r="AL218" i="1"/>
  <c r="M219" i="1"/>
  <c r="P219" i="1"/>
  <c r="AL219" i="1"/>
  <c r="M220" i="1"/>
  <c r="P220" i="1"/>
  <c r="AL220" i="1"/>
  <c r="M221" i="1"/>
  <c r="P221" i="1"/>
  <c r="AL221" i="1"/>
  <c r="M222" i="1"/>
  <c r="P222" i="1"/>
  <c r="AL222" i="1"/>
  <c r="M223" i="1"/>
  <c r="P223" i="1"/>
  <c r="AL223" i="1"/>
  <c r="M224" i="1"/>
  <c r="P224" i="1"/>
  <c r="AL224" i="1"/>
  <c r="M225" i="1"/>
  <c r="P225" i="1"/>
  <c r="AL225" i="1"/>
  <c r="M226" i="1"/>
  <c r="P226" i="1"/>
  <c r="AL226" i="1"/>
  <c r="M227" i="1"/>
  <c r="P227" i="1"/>
  <c r="AL227" i="1"/>
  <c r="M228" i="1"/>
  <c r="P228" i="1"/>
  <c r="AL228" i="1"/>
  <c r="M229" i="1"/>
  <c r="P229" i="1"/>
  <c r="AL229" i="1"/>
  <c r="M230" i="1"/>
  <c r="P230" i="1"/>
  <c r="AL230" i="1"/>
  <c r="M231" i="1"/>
  <c r="P231" i="1"/>
  <c r="AL231" i="1"/>
  <c r="M232" i="1"/>
  <c r="P232" i="1"/>
  <c r="AL232" i="1"/>
  <c r="M233" i="1"/>
  <c r="P233" i="1"/>
  <c r="AL233" i="1"/>
  <c r="M234" i="1"/>
  <c r="P234" i="1"/>
  <c r="AL234" i="1"/>
  <c r="M235" i="1"/>
  <c r="P235" i="1"/>
  <c r="AL235" i="1"/>
  <c r="M236" i="1"/>
  <c r="P236" i="1"/>
  <c r="AL236" i="1"/>
  <c r="M237" i="1"/>
  <c r="P237" i="1"/>
  <c r="AL237" i="1"/>
  <c r="M238" i="1"/>
  <c r="P238" i="1"/>
  <c r="AL238" i="1"/>
  <c r="M239" i="1"/>
  <c r="P239" i="1"/>
  <c r="AL239" i="1"/>
  <c r="M240" i="1"/>
  <c r="P240" i="1"/>
  <c r="AL240" i="1"/>
  <c r="M241" i="1"/>
  <c r="P241" i="1"/>
  <c r="AL241" i="1"/>
  <c r="M242" i="1"/>
  <c r="P242" i="1"/>
  <c r="AL242" i="1"/>
  <c r="M243" i="1"/>
  <c r="P243" i="1"/>
  <c r="AL243" i="1"/>
  <c r="M244" i="1"/>
  <c r="P244" i="1"/>
  <c r="AL244" i="1"/>
  <c r="M245" i="1"/>
  <c r="P245" i="1"/>
  <c r="AL245" i="1"/>
  <c r="M246" i="1"/>
  <c r="P246" i="1"/>
  <c r="AL246" i="1"/>
  <c r="M247" i="1"/>
  <c r="P247" i="1"/>
  <c r="AL247" i="1"/>
  <c r="M248" i="1"/>
  <c r="P248" i="1"/>
  <c r="AL248" i="1"/>
  <c r="M249" i="1"/>
  <c r="P249" i="1"/>
  <c r="AL249" i="1"/>
  <c r="M250" i="1"/>
  <c r="P250" i="1"/>
  <c r="AL250" i="1"/>
  <c r="M251" i="1"/>
  <c r="P251" i="1"/>
  <c r="AL251" i="1"/>
  <c r="M252" i="1"/>
  <c r="P252" i="1"/>
  <c r="AL252" i="1"/>
  <c r="M253" i="1"/>
  <c r="P253" i="1"/>
  <c r="AL253" i="1"/>
  <c r="M254" i="1"/>
  <c r="P254" i="1"/>
  <c r="AL254" i="1"/>
  <c r="M255" i="1"/>
  <c r="P255" i="1"/>
  <c r="AL255" i="1"/>
  <c r="M256" i="1"/>
  <c r="P256" i="1"/>
  <c r="AL256" i="1"/>
  <c r="M257" i="1"/>
  <c r="P257" i="1"/>
  <c r="AL257" i="1"/>
  <c r="M258" i="1"/>
  <c r="P258" i="1"/>
  <c r="AL258" i="1"/>
  <c r="M259" i="1"/>
  <c r="P259" i="1"/>
  <c r="AL259" i="1"/>
  <c r="M260" i="1"/>
  <c r="P260" i="1"/>
  <c r="AL260" i="1"/>
  <c r="M261" i="1"/>
  <c r="P261" i="1"/>
  <c r="AL261" i="1"/>
  <c r="M262" i="1"/>
  <c r="P262" i="1"/>
  <c r="AL262" i="1"/>
  <c r="M263" i="1"/>
  <c r="P263" i="1"/>
  <c r="AL263" i="1"/>
  <c r="M264" i="1"/>
  <c r="P264" i="1"/>
  <c r="AL264" i="1"/>
  <c r="M265" i="1"/>
  <c r="P265" i="1"/>
  <c r="AL265" i="1"/>
  <c r="M266" i="1"/>
  <c r="P266" i="1"/>
  <c r="AL266" i="1"/>
  <c r="M267" i="1"/>
  <c r="P267" i="1"/>
  <c r="AL267" i="1"/>
  <c r="M268" i="1"/>
  <c r="P268" i="1"/>
  <c r="AL268" i="1"/>
  <c r="M269" i="1"/>
  <c r="P269" i="1"/>
  <c r="AL269" i="1"/>
  <c r="M270" i="1"/>
  <c r="P270" i="1"/>
  <c r="AL270" i="1"/>
  <c r="M271" i="1"/>
  <c r="P271" i="1"/>
  <c r="AL271" i="1"/>
  <c r="M272" i="1"/>
  <c r="P272" i="1"/>
  <c r="AL272" i="1"/>
  <c r="M273" i="1"/>
  <c r="P273" i="1"/>
  <c r="AL273" i="1"/>
  <c r="M274" i="1"/>
  <c r="P274" i="1"/>
  <c r="AL274" i="1"/>
  <c r="M275" i="1"/>
  <c r="P275" i="1"/>
  <c r="AL275" i="1"/>
  <c r="M276" i="1"/>
  <c r="P276" i="1"/>
  <c r="AL276" i="1"/>
  <c r="M277" i="1"/>
  <c r="P277" i="1"/>
  <c r="AL277" i="1"/>
  <c r="M278" i="1"/>
  <c r="P278" i="1"/>
  <c r="AL278" i="1"/>
  <c r="M279" i="1"/>
  <c r="P279" i="1"/>
  <c r="AL279" i="1"/>
  <c r="M280" i="1"/>
  <c r="P280" i="1"/>
  <c r="AL280" i="1"/>
  <c r="M281" i="1"/>
  <c r="P281" i="1"/>
  <c r="AL281" i="1"/>
  <c r="M282" i="1"/>
  <c r="P282" i="1"/>
  <c r="AL282" i="1"/>
  <c r="M283" i="1"/>
  <c r="P283" i="1"/>
  <c r="AL283" i="1"/>
  <c r="M284" i="1"/>
  <c r="P284" i="1"/>
  <c r="AL284" i="1"/>
  <c r="M285" i="1"/>
  <c r="P285" i="1"/>
  <c r="AL285" i="1"/>
  <c r="M286" i="1"/>
  <c r="P286" i="1"/>
  <c r="AL286" i="1"/>
  <c r="M287" i="1"/>
  <c r="P287" i="1"/>
  <c r="AL287" i="1"/>
  <c r="M288" i="1"/>
  <c r="P288" i="1"/>
  <c r="AL288" i="1"/>
  <c r="M289" i="1"/>
  <c r="P289" i="1"/>
  <c r="AL289" i="1"/>
  <c r="M290" i="1"/>
  <c r="P290" i="1"/>
  <c r="AL290" i="1"/>
  <c r="M291" i="1"/>
  <c r="P291" i="1"/>
  <c r="AL291" i="1"/>
  <c r="M292" i="1"/>
  <c r="P292" i="1"/>
  <c r="AL292" i="1"/>
  <c r="M293" i="1"/>
  <c r="P293" i="1"/>
  <c r="AL293" i="1"/>
  <c r="M294" i="1"/>
  <c r="P294" i="1"/>
  <c r="AL294" i="1"/>
  <c r="M295" i="1"/>
  <c r="P295" i="1"/>
  <c r="AL295" i="1"/>
  <c r="M296" i="1"/>
  <c r="P296" i="1"/>
  <c r="AL296" i="1"/>
  <c r="M297" i="1"/>
  <c r="P297" i="1"/>
  <c r="AL297" i="1"/>
  <c r="M298" i="1"/>
  <c r="P298" i="1"/>
  <c r="AL298" i="1"/>
  <c r="M299" i="1"/>
  <c r="P299" i="1"/>
  <c r="AL299" i="1"/>
  <c r="M300" i="1"/>
  <c r="P300" i="1"/>
  <c r="AL300" i="1"/>
  <c r="M301" i="1"/>
  <c r="P301" i="1"/>
  <c r="AL301" i="1"/>
  <c r="M302" i="1"/>
  <c r="P302" i="1"/>
  <c r="AL302" i="1"/>
  <c r="M303" i="1"/>
  <c r="P303" i="1"/>
  <c r="AL303" i="1"/>
  <c r="M304" i="1"/>
  <c r="P304" i="1"/>
  <c r="AL304" i="1"/>
  <c r="M305" i="1"/>
  <c r="P305" i="1"/>
  <c r="AL305" i="1"/>
  <c r="M306" i="1"/>
  <c r="P306" i="1"/>
  <c r="AL306" i="1"/>
  <c r="M307" i="1"/>
  <c r="P307" i="1"/>
  <c r="AL307" i="1"/>
  <c r="M308" i="1"/>
  <c r="P308" i="1"/>
  <c r="AL308" i="1"/>
  <c r="M309" i="1"/>
  <c r="P309" i="1"/>
  <c r="AL309" i="1"/>
  <c r="M310" i="1"/>
  <c r="P310" i="1"/>
  <c r="AL310" i="1"/>
  <c r="M311" i="1"/>
  <c r="P311" i="1"/>
  <c r="AL311" i="1"/>
  <c r="M312" i="1"/>
  <c r="P312" i="1"/>
  <c r="AL312" i="1"/>
  <c r="M313" i="1"/>
  <c r="P313" i="1"/>
  <c r="AL313" i="1"/>
  <c r="M314" i="1"/>
  <c r="P314" i="1"/>
  <c r="AL314" i="1"/>
  <c r="M315" i="1"/>
  <c r="P315" i="1"/>
  <c r="AL315" i="1"/>
  <c r="M316" i="1"/>
  <c r="P316" i="1"/>
  <c r="AL316" i="1"/>
  <c r="M317" i="1"/>
  <c r="P317" i="1"/>
  <c r="AL317" i="1"/>
  <c r="M318" i="1"/>
  <c r="P318" i="1"/>
  <c r="AL318" i="1"/>
  <c r="M319" i="1"/>
  <c r="P319" i="1"/>
  <c r="AL319" i="1"/>
  <c r="M320" i="1"/>
  <c r="P320" i="1"/>
  <c r="AL320" i="1"/>
  <c r="M321" i="1"/>
  <c r="P321" i="1"/>
  <c r="AL321" i="1"/>
  <c r="M322" i="1"/>
  <c r="P322" i="1"/>
  <c r="AL322" i="1"/>
  <c r="M323" i="1"/>
  <c r="P323" i="1"/>
  <c r="AL323" i="1"/>
  <c r="M324" i="1"/>
  <c r="P324" i="1"/>
  <c r="AL324" i="1"/>
  <c r="M325" i="1"/>
  <c r="P325" i="1"/>
  <c r="AL325" i="1"/>
  <c r="M326" i="1"/>
  <c r="P326" i="1"/>
  <c r="AL326" i="1"/>
  <c r="M327" i="1"/>
  <c r="P327" i="1"/>
  <c r="AL327" i="1"/>
  <c r="M328" i="1"/>
  <c r="P328" i="1"/>
  <c r="AL328" i="1"/>
  <c r="M329" i="1"/>
  <c r="P329" i="1"/>
  <c r="AL329" i="1"/>
  <c r="M330" i="1"/>
  <c r="P330" i="1"/>
  <c r="AL330" i="1"/>
  <c r="M331" i="1"/>
  <c r="P331" i="1"/>
  <c r="AL331" i="1"/>
  <c r="M332" i="1"/>
  <c r="P332" i="1"/>
  <c r="AL332" i="1"/>
  <c r="M333" i="1"/>
  <c r="P333" i="1"/>
  <c r="AL333" i="1"/>
  <c r="M334" i="1"/>
  <c r="P334" i="1"/>
  <c r="AL334" i="1"/>
  <c r="M335" i="1"/>
  <c r="P335" i="1"/>
  <c r="AL335" i="1"/>
  <c r="M336" i="1"/>
  <c r="P336" i="1"/>
  <c r="AL336" i="1"/>
  <c r="M337" i="1"/>
  <c r="P337" i="1"/>
  <c r="AL337" i="1"/>
  <c r="M338" i="1"/>
  <c r="P338" i="1"/>
  <c r="AL338" i="1"/>
  <c r="M339" i="1"/>
  <c r="P339" i="1"/>
  <c r="AL339" i="1"/>
  <c r="M340" i="1"/>
  <c r="P340" i="1"/>
  <c r="AL340" i="1"/>
  <c r="M341" i="1"/>
  <c r="P341" i="1"/>
  <c r="AL341" i="1"/>
  <c r="M342" i="1"/>
  <c r="P342" i="1"/>
  <c r="AL342" i="1"/>
  <c r="M343" i="1"/>
  <c r="P343" i="1"/>
  <c r="AL343" i="1"/>
  <c r="M344" i="1"/>
  <c r="P344" i="1"/>
  <c r="AL344" i="1"/>
  <c r="M345" i="1"/>
  <c r="P345" i="1"/>
  <c r="AL345" i="1"/>
  <c r="M346" i="1"/>
  <c r="P346" i="1"/>
  <c r="AL346" i="1"/>
  <c r="M347" i="1"/>
  <c r="P347" i="1"/>
  <c r="AL347" i="1"/>
  <c r="M348" i="1"/>
  <c r="P348" i="1"/>
  <c r="AL348" i="1"/>
  <c r="M349" i="1"/>
  <c r="P349" i="1"/>
  <c r="AL349" i="1"/>
  <c r="M350" i="1"/>
  <c r="P350" i="1"/>
  <c r="AL350" i="1"/>
  <c r="M351" i="1"/>
  <c r="P351" i="1"/>
  <c r="AL351" i="1"/>
  <c r="M352" i="1"/>
  <c r="P352" i="1"/>
  <c r="AL352" i="1"/>
  <c r="M353" i="1"/>
  <c r="P353" i="1"/>
  <c r="AL353" i="1"/>
  <c r="M354" i="1"/>
  <c r="P354" i="1"/>
  <c r="AL354" i="1"/>
  <c r="M355" i="1"/>
  <c r="P355" i="1"/>
  <c r="AL355" i="1"/>
  <c r="M356" i="1"/>
  <c r="P356" i="1"/>
  <c r="AL356" i="1"/>
  <c r="M357" i="1"/>
  <c r="P357" i="1"/>
  <c r="AL357" i="1"/>
  <c r="M358" i="1"/>
  <c r="P358" i="1"/>
  <c r="AL358" i="1"/>
  <c r="M359" i="1"/>
  <c r="P359" i="1"/>
  <c r="AL359" i="1"/>
  <c r="M360" i="1"/>
  <c r="P360" i="1"/>
  <c r="AL360" i="1"/>
  <c r="M361" i="1"/>
  <c r="P361" i="1"/>
  <c r="AL361" i="1"/>
  <c r="M362" i="1"/>
  <c r="P362" i="1"/>
  <c r="AL362" i="1"/>
  <c r="M363" i="1"/>
  <c r="P363" i="1"/>
  <c r="AL363" i="1"/>
  <c r="M364" i="1"/>
  <c r="P364" i="1"/>
  <c r="AL364" i="1"/>
  <c r="M365" i="1"/>
  <c r="P365" i="1"/>
  <c r="AL365" i="1"/>
  <c r="M366" i="1"/>
  <c r="P366" i="1"/>
  <c r="AL366" i="1"/>
  <c r="M367" i="1"/>
  <c r="P367" i="1"/>
  <c r="AL367" i="1"/>
  <c r="M368" i="1"/>
  <c r="P368" i="1"/>
  <c r="AL368" i="1"/>
  <c r="M369" i="1"/>
  <c r="P369" i="1"/>
  <c r="AL369" i="1"/>
  <c r="M370" i="1"/>
  <c r="P370" i="1"/>
  <c r="AL370" i="1"/>
  <c r="M371" i="1"/>
  <c r="P371" i="1"/>
  <c r="AL371" i="1"/>
  <c r="M372" i="1"/>
  <c r="P372" i="1"/>
  <c r="AL372" i="1"/>
  <c r="M373" i="1"/>
  <c r="P373" i="1"/>
  <c r="AL373" i="1"/>
  <c r="M374" i="1"/>
  <c r="P374" i="1"/>
  <c r="AL374" i="1"/>
  <c r="M375" i="1"/>
  <c r="P375" i="1"/>
  <c r="AL375" i="1"/>
  <c r="M376" i="1"/>
  <c r="P376" i="1"/>
  <c r="AL376" i="1"/>
  <c r="M377" i="1"/>
  <c r="P377" i="1"/>
  <c r="AL377" i="1"/>
  <c r="M378" i="1"/>
  <c r="P378" i="1"/>
  <c r="AL378" i="1"/>
  <c r="M379" i="1"/>
  <c r="P379" i="1"/>
  <c r="AL379" i="1"/>
  <c r="M380" i="1"/>
  <c r="P380" i="1"/>
  <c r="AL380" i="1"/>
  <c r="M381" i="1"/>
  <c r="P381" i="1"/>
  <c r="AL381" i="1"/>
  <c r="M382" i="1"/>
  <c r="P382" i="1"/>
  <c r="AL382" i="1"/>
  <c r="M383" i="1"/>
  <c r="P383" i="1"/>
  <c r="AL383" i="1"/>
  <c r="M384" i="1"/>
  <c r="P384" i="1"/>
  <c r="AL384" i="1"/>
  <c r="M385" i="1"/>
  <c r="P385" i="1"/>
  <c r="AL385" i="1"/>
  <c r="M386" i="1"/>
  <c r="P386" i="1"/>
  <c r="AL386" i="1"/>
  <c r="M387" i="1"/>
  <c r="P387" i="1"/>
  <c r="AL387" i="1"/>
  <c r="M388" i="1"/>
  <c r="P388" i="1"/>
  <c r="AL388" i="1"/>
  <c r="M389" i="1"/>
  <c r="P389" i="1"/>
  <c r="AL389" i="1"/>
  <c r="M390" i="1"/>
  <c r="P390" i="1"/>
  <c r="AL390" i="1"/>
  <c r="M391" i="1"/>
  <c r="P391" i="1"/>
  <c r="AL391" i="1"/>
  <c r="M392" i="1"/>
  <c r="P392" i="1"/>
  <c r="AL392" i="1"/>
  <c r="M393" i="1"/>
  <c r="P393" i="1"/>
  <c r="AL393" i="1"/>
  <c r="M394" i="1"/>
  <c r="P394" i="1"/>
  <c r="AL394" i="1"/>
  <c r="M395" i="1"/>
  <c r="P395" i="1"/>
  <c r="AL395" i="1"/>
  <c r="M396" i="1"/>
  <c r="P396" i="1"/>
  <c r="AL396" i="1"/>
  <c r="M397" i="1"/>
  <c r="P397" i="1"/>
  <c r="AL397" i="1"/>
  <c r="M398" i="1"/>
  <c r="P398" i="1"/>
  <c r="AL398" i="1"/>
  <c r="M399" i="1"/>
  <c r="P399" i="1"/>
  <c r="AL399" i="1"/>
  <c r="M400" i="1"/>
  <c r="P400" i="1"/>
  <c r="AL400" i="1"/>
  <c r="M401" i="1"/>
  <c r="P401" i="1"/>
  <c r="AL401" i="1"/>
  <c r="M402" i="1"/>
  <c r="P402" i="1"/>
  <c r="AL402" i="1"/>
  <c r="M403" i="1"/>
  <c r="P403" i="1"/>
  <c r="AL403" i="1"/>
  <c r="M404" i="1"/>
  <c r="P404" i="1"/>
  <c r="AL404" i="1"/>
  <c r="M405" i="1"/>
  <c r="P405" i="1"/>
  <c r="AL405" i="1"/>
  <c r="M406" i="1"/>
  <c r="P406" i="1"/>
  <c r="AL406" i="1"/>
  <c r="M407" i="1"/>
  <c r="P407" i="1"/>
  <c r="AL407" i="1"/>
  <c r="M408" i="1"/>
  <c r="P408" i="1"/>
  <c r="AL408" i="1"/>
  <c r="M409" i="1"/>
  <c r="P409" i="1"/>
  <c r="AL409" i="1"/>
  <c r="M410" i="1"/>
  <c r="P410" i="1"/>
  <c r="AL410" i="1"/>
  <c r="M411" i="1"/>
  <c r="P411" i="1"/>
  <c r="AL411" i="1"/>
  <c r="M412" i="1"/>
  <c r="P412" i="1"/>
  <c r="AL412" i="1"/>
  <c r="M413" i="1"/>
  <c r="P413" i="1"/>
  <c r="AL413" i="1"/>
  <c r="M414" i="1"/>
  <c r="P414" i="1"/>
  <c r="AL414" i="1"/>
  <c r="M415" i="1"/>
  <c r="P415" i="1"/>
  <c r="AL415" i="1"/>
  <c r="M416" i="1"/>
  <c r="P416" i="1"/>
  <c r="AL416" i="1"/>
  <c r="M417" i="1"/>
  <c r="P417" i="1"/>
  <c r="AL417" i="1"/>
  <c r="M418" i="1"/>
  <c r="P418" i="1"/>
  <c r="AL418" i="1"/>
  <c r="M419" i="1"/>
  <c r="P419" i="1"/>
  <c r="AL419" i="1"/>
  <c r="M420" i="1"/>
  <c r="P420" i="1"/>
  <c r="AL420" i="1"/>
  <c r="M421" i="1"/>
  <c r="P421" i="1"/>
  <c r="AL421" i="1"/>
  <c r="M422" i="1"/>
  <c r="P422" i="1"/>
  <c r="AL422" i="1"/>
  <c r="M423" i="1"/>
  <c r="P423" i="1"/>
  <c r="AL423" i="1"/>
  <c r="M424" i="1"/>
  <c r="P424" i="1"/>
  <c r="AL424" i="1"/>
  <c r="M425" i="1"/>
  <c r="P425" i="1"/>
  <c r="AL425" i="1"/>
  <c r="M426" i="1"/>
  <c r="P426" i="1"/>
  <c r="AL426" i="1"/>
  <c r="M427" i="1"/>
  <c r="P427" i="1"/>
  <c r="AL427" i="1"/>
  <c r="M428" i="1"/>
  <c r="P428" i="1"/>
  <c r="AL428" i="1"/>
  <c r="M429" i="1"/>
  <c r="P429" i="1"/>
  <c r="AL429" i="1"/>
  <c r="M430" i="1"/>
  <c r="P430" i="1"/>
  <c r="AL430" i="1"/>
  <c r="M431" i="1"/>
  <c r="P431" i="1"/>
  <c r="AL431" i="1"/>
  <c r="M432" i="1"/>
  <c r="P432" i="1"/>
  <c r="AL432" i="1"/>
  <c r="M433" i="1"/>
  <c r="P433" i="1"/>
  <c r="AL433" i="1"/>
  <c r="M434" i="1"/>
  <c r="P434" i="1"/>
  <c r="AL434" i="1"/>
  <c r="M519" i="1"/>
  <c r="P519" i="1"/>
  <c r="AL519" i="1"/>
  <c r="M520" i="1"/>
  <c r="P520" i="1"/>
  <c r="AL520" i="1"/>
  <c r="M521" i="1"/>
  <c r="P521" i="1"/>
  <c r="AL521" i="1"/>
  <c r="M522" i="1"/>
  <c r="P522" i="1"/>
  <c r="AL522" i="1"/>
  <c r="M523" i="1"/>
  <c r="P523" i="1"/>
  <c r="AL523" i="1"/>
  <c r="M524" i="1"/>
  <c r="P524" i="1"/>
  <c r="AL524" i="1"/>
  <c r="M525" i="1"/>
  <c r="P525" i="1"/>
  <c r="AL525" i="1"/>
  <c r="M526" i="1"/>
  <c r="P526" i="1"/>
  <c r="AL526" i="1"/>
  <c r="M527" i="1"/>
  <c r="P527" i="1"/>
  <c r="AL527" i="1"/>
  <c r="M528" i="1"/>
  <c r="P528" i="1"/>
  <c r="AL528" i="1"/>
  <c r="M529" i="1"/>
  <c r="P529" i="1"/>
  <c r="AL529" i="1"/>
  <c r="M530" i="1"/>
  <c r="P530" i="1"/>
  <c r="AL530" i="1"/>
  <c r="M543" i="1"/>
  <c r="P543" i="1"/>
  <c r="AL543" i="1"/>
  <c r="M544" i="1"/>
  <c r="P544" i="1"/>
  <c r="AL544" i="1"/>
  <c r="M545" i="1"/>
  <c r="P545" i="1"/>
  <c r="AL545" i="1"/>
  <c r="M546" i="1"/>
  <c r="P546" i="1"/>
  <c r="AL546" i="1"/>
  <c r="M547" i="1"/>
  <c r="P547" i="1"/>
  <c r="AL547" i="1"/>
  <c r="M548" i="1"/>
  <c r="P548" i="1"/>
  <c r="AL548" i="1"/>
  <c r="M549" i="1"/>
  <c r="P549" i="1"/>
  <c r="AL549" i="1"/>
  <c r="M550" i="1"/>
  <c r="P550" i="1"/>
  <c r="AL550" i="1"/>
  <c r="M551" i="1"/>
  <c r="P551" i="1"/>
  <c r="AL551" i="1"/>
  <c r="M552" i="1"/>
  <c r="P552" i="1"/>
  <c r="AL552" i="1"/>
  <c r="M553" i="1"/>
  <c r="P553" i="1"/>
  <c r="AL553" i="1"/>
  <c r="M554" i="1"/>
  <c r="P554" i="1"/>
  <c r="AL554" i="1"/>
  <c r="M555" i="1"/>
  <c r="P555" i="1"/>
  <c r="AL555" i="1"/>
  <c r="M556" i="1"/>
  <c r="P556" i="1"/>
  <c r="AL556" i="1"/>
  <c r="M557" i="1"/>
  <c r="P557" i="1"/>
  <c r="AL557" i="1"/>
  <c r="M558" i="1"/>
  <c r="P558" i="1"/>
  <c r="AL558" i="1"/>
  <c r="M559" i="1"/>
  <c r="P559" i="1"/>
  <c r="AL559" i="1"/>
  <c r="M560" i="1"/>
  <c r="P560" i="1"/>
  <c r="AL560" i="1"/>
  <c r="M561" i="1"/>
  <c r="P561" i="1"/>
  <c r="AL561" i="1"/>
  <c r="M562" i="1"/>
  <c r="P562" i="1"/>
  <c r="AL562" i="1"/>
  <c r="M563" i="1"/>
  <c r="P563" i="1"/>
  <c r="AL563" i="1"/>
  <c r="M564" i="1"/>
  <c r="P564" i="1"/>
  <c r="AL564" i="1"/>
  <c r="M565" i="1"/>
  <c r="P565" i="1"/>
  <c r="AL565" i="1"/>
  <c r="M566" i="1"/>
  <c r="P566" i="1"/>
  <c r="AL566" i="1"/>
  <c r="M435" i="1"/>
  <c r="P435" i="1"/>
  <c r="AL435" i="1"/>
  <c r="M436" i="1"/>
  <c r="P436" i="1"/>
  <c r="AL436" i="1"/>
  <c r="M437" i="1"/>
  <c r="P437" i="1"/>
  <c r="AL437" i="1"/>
  <c r="M438" i="1"/>
  <c r="P438" i="1"/>
  <c r="AL438" i="1"/>
  <c r="M439" i="1"/>
  <c r="P439" i="1"/>
  <c r="AL439" i="1"/>
  <c r="M440" i="1"/>
  <c r="P440" i="1"/>
  <c r="AL440" i="1"/>
  <c r="M441" i="1"/>
  <c r="P441" i="1"/>
  <c r="AL441" i="1"/>
  <c r="M442" i="1"/>
  <c r="P442" i="1"/>
  <c r="AL442" i="1"/>
  <c r="M443" i="1"/>
  <c r="P443" i="1"/>
  <c r="AL443" i="1"/>
  <c r="M444" i="1"/>
  <c r="P444" i="1"/>
  <c r="AL444" i="1"/>
  <c r="M445" i="1"/>
  <c r="P445" i="1"/>
  <c r="AL445" i="1"/>
  <c r="M446" i="1"/>
  <c r="P446" i="1"/>
  <c r="AL446" i="1"/>
  <c r="M447" i="1"/>
  <c r="P447" i="1"/>
  <c r="AL447" i="1"/>
  <c r="M448" i="1"/>
  <c r="P448" i="1"/>
  <c r="AL448" i="1"/>
  <c r="M449" i="1"/>
  <c r="P449" i="1"/>
  <c r="AL449" i="1"/>
  <c r="M450" i="1"/>
  <c r="P450" i="1"/>
  <c r="AL450" i="1"/>
  <c r="M451" i="1"/>
  <c r="P451" i="1"/>
  <c r="AL451" i="1"/>
  <c r="M452" i="1"/>
  <c r="P452" i="1"/>
  <c r="AL452" i="1"/>
  <c r="M453" i="1"/>
  <c r="P453" i="1"/>
  <c r="AL453" i="1"/>
  <c r="M454" i="1"/>
  <c r="P454" i="1"/>
  <c r="AL454" i="1"/>
  <c r="M455" i="1"/>
  <c r="P455" i="1"/>
  <c r="AL455" i="1"/>
  <c r="M456" i="1"/>
  <c r="P456" i="1"/>
  <c r="AL456" i="1"/>
  <c r="M457" i="1"/>
  <c r="P457" i="1"/>
  <c r="AL457" i="1"/>
  <c r="M458" i="1"/>
  <c r="P458" i="1"/>
  <c r="AL458" i="1"/>
  <c r="M459" i="1"/>
  <c r="P459" i="1"/>
  <c r="AL459" i="1"/>
  <c r="M460" i="1"/>
  <c r="P460" i="1"/>
  <c r="AL460" i="1"/>
  <c r="M461" i="1"/>
  <c r="P461" i="1"/>
  <c r="AL461" i="1"/>
  <c r="M462" i="1"/>
  <c r="P462" i="1"/>
  <c r="AL462" i="1"/>
  <c r="M463" i="1"/>
  <c r="P463" i="1"/>
  <c r="AL463" i="1"/>
  <c r="M464" i="1"/>
  <c r="P464" i="1"/>
  <c r="AL464" i="1"/>
  <c r="M465" i="1"/>
  <c r="P465" i="1"/>
  <c r="AL465" i="1"/>
  <c r="M466" i="1"/>
  <c r="P466" i="1"/>
  <c r="AL466" i="1"/>
  <c r="M467" i="1"/>
  <c r="P467" i="1"/>
  <c r="AL467" i="1"/>
  <c r="M468" i="1"/>
  <c r="P468" i="1"/>
  <c r="AL468" i="1"/>
  <c r="M469" i="1"/>
  <c r="P469" i="1"/>
  <c r="AL469" i="1"/>
  <c r="M470" i="1"/>
  <c r="P470" i="1"/>
  <c r="AL470" i="1"/>
  <c r="M483" i="1"/>
  <c r="P483" i="1"/>
  <c r="AL483" i="1"/>
  <c r="M484" i="1"/>
  <c r="P484" i="1"/>
  <c r="AL484" i="1"/>
  <c r="M485" i="1"/>
  <c r="P485" i="1"/>
  <c r="AL485" i="1"/>
  <c r="M486" i="1"/>
  <c r="P486" i="1"/>
  <c r="AL486" i="1"/>
  <c r="M487" i="1"/>
  <c r="P487" i="1"/>
  <c r="AL487" i="1"/>
  <c r="M488" i="1"/>
  <c r="P488" i="1"/>
  <c r="AL488" i="1"/>
  <c r="M489" i="1"/>
  <c r="P489" i="1"/>
  <c r="AL489" i="1"/>
  <c r="M490" i="1"/>
  <c r="P490" i="1"/>
  <c r="AL490" i="1"/>
  <c r="M491" i="1"/>
  <c r="P491" i="1"/>
  <c r="AL491" i="1"/>
  <c r="M492" i="1"/>
  <c r="P492" i="1"/>
  <c r="AL492" i="1"/>
  <c r="M493" i="1"/>
  <c r="P493" i="1"/>
  <c r="AL493" i="1"/>
  <c r="M494" i="1"/>
  <c r="P494" i="1"/>
  <c r="AL494" i="1"/>
  <c r="M471" i="1"/>
  <c r="P471" i="1"/>
  <c r="AL471" i="1"/>
  <c r="M472" i="1"/>
  <c r="P472" i="1"/>
  <c r="AL472" i="1"/>
  <c r="M473" i="1"/>
  <c r="P473" i="1"/>
  <c r="AL473" i="1"/>
  <c r="M474" i="1"/>
  <c r="P474" i="1"/>
  <c r="AL474" i="1"/>
  <c r="M475" i="1"/>
  <c r="P475" i="1"/>
  <c r="AL475" i="1"/>
  <c r="M476" i="1"/>
  <c r="P476" i="1"/>
  <c r="AL476" i="1"/>
  <c r="M477" i="1"/>
  <c r="P477" i="1"/>
  <c r="AL477" i="1"/>
  <c r="M478" i="1"/>
  <c r="P478" i="1"/>
  <c r="AL478" i="1"/>
  <c r="M479" i="1"/>
  <c r="P479" i="1"/>
  <c r="AL479" i="1"/>
  <c r="M480" i="1"/>
  <c r="P480" i="1"/>
  <c r="AL480" i="1"/>
  <c r="M481" i="1"/>
  <c r="P481" i="1"/>
  <c r="AL481" i="1"/>
  <c r="M482" i="1"/>
  <c r="P482" i="1"/>
  <c r="AL482" i="1"/>
  <c r="M495" i="1"/>
  <c r="P495" i="1"/>
  <c r="AL495" i="1"/>
  <c r="M496" i="1"/>
  <c r="P496" i="1"/>
  <c r="AL496" i="1"/>
  <c r="M497" i="1"/>
  <c r="P497" i="1"/>
  <c r="AL497" i="1"/>
  <c r="M498" i="1"/>
  <c r="P498" i="1"/>
  <c r="AL498" i="1"/>
  <c r="M499" i="1"/>
  <c r="P499" i="1"/>
  <c r="AL499" i="1"/>
  <c r="M500" i="1"/>
  <c r="P500" i="1"/>
  <c r="AL500" i="1"/>
  <c r="M501" i="1"/>
  <c r="P501" i="1"/>
  <c r="AL501" i="1"/>
  <c r="M502" i="1"/>
  <c r="P502" i="1"/>
  <c r="AL502" i="1"/>
  <c r="M503" i="1"/>
  <c r="P503" i="1"/>
  <c r="AL503" i="1"/>
  <c r="M504" i="1"/>
  <c r="P504" i="1"/>
  <c r="AL504" i="1"/>
  <c r="M505" i="1"/>
  <c r="P505" i="1"/>
  <c r="AL505" i="1"/>
  <c r="M506" i="1"/>
  <c r="P506" i="1"/>
  <c r="AL506" i="1"/>
  <c r="M507" i="1"/>
  <c r="P507" i="1"/>
  <c r="AL507" i="1"/>
  <c r="M508" i="1"/>
  <c r="P508" i="1"/>
  <c r="AL508" i="1"/>
  <c r="M509" i="1"/>
  <c r="P509" i="1"/>
  <c r="AL509" i="1"/>
  <c r="M510" i="1"/>
  <c r="P510" i="1"/>
  <c r="AL510" i="1"/>
  <c r="M511" i="1"/>
  <c r="P511" i="1"/>
  <c r="AL511" i="1"/>
  <c r="M512" i="1"/>
  <c r="P512" i="1"/>
  <c r="AL512" i="1"/>
  <c r="M513" i="1"/>
  <c r="P513" i="1"/>
  <c r="AL513" i="1"/>
  <c r="M514" i="1"/>
  <c r="P514" i="1"/>
  <c r="AL514" i="1"/>
  <c r="M515" i="1"/>
  <c r="P515" i="1"/>
  <c r="AL515" i="1"/>
  <c r="M516" i="1"/>
  <c r="P516" i="1"/>
  <c r="AL516" i="1"/>
  <c r="M517" i="1"/>
  <c r="P517" i="1"/>
  <c r="AL517" i="1"/>
  <c r="M518" i="1"/>
  <c r="P518" i="1"/>
  <c r="AL518" i="1"/>
  <c r="M531" i="1"/>
  <c r="P531" i="1"/>
  <c r="AL531" i="1"/>
  <c r="M532" i="1"/>
  <c r="P532" i="1"/>
  <c r="AL532" i="1"/>
  <c r="M533" i="1"/>
  <c r="P533" i="1"/>
  <c r="AL533" i="1"/>
  <c r="M534" i="1"/>
  <c r="P534" i="1"/>
  <c r="AL534" i="1"/>
  <c r="M535" i="1"/>
  <c r="P535" i="1"/>
  <c r="AL535" i="1"/>
  <c r="M536" i="1"/>
  <c r="P536" i="1"/>
  <c r="AL536" i="1"/>
  <c r="M537" i="1"/>
  <c r="P537" i="1"/>
  <c r="AL537" i="1"/>
  <c r="M538" i="1"/>
  <c r="P538" i="1"/>
  <c r="AL538" i="1"/>
  <c r="M539" i="1"/>
  <c r="P539" i="1"/>
  <c r="AL539" i="1"/>
  <c r="M540" i="1"/>
  <c r="P540" i="1"/>
  <c r="AL540" i="1"/>
  <c r="M541" i="1"/>
  <c r="P541" i="1"/>
  <c r="AL541" i="1"/>
  <c r="M542" i="1"/>
  <c r="P542" i="1"/>
  <c r="AL542" i="1"/>
  <c r="M567" i="1"/>
  <c r="P567" i="1"/>
  <c r="AL567" i="1"/>
  <c r="M568" i="1"/>
  <c r="P568" i="1"/>
  <c r="AL568" i="1"/>
  <c r="M569" i="1"/>
  <c r="P569" i="1"/>
  <c r="AL569" i="1"/>
  <c r="M570" i="1"/>
  <c r="P570" i="1"/>
  <c r="AL570" i="1"/>
  <c r="M571" i="1"/>
  <c r="P571" i="1"/>
  <c r="AL571" i="1"/>
  <c r="M572" i="1"/>
  <c r="P572" i="1"/>
  <c r="AL572" i="1"/>
  <c r="M573" i="1"/>
  <c r="P573" i="1"/>
  <c r="AL573" i="1"/>
  <c r="M574" i="1"/>
  <c r="P574" i="1"/>
  <c r="AL574" i="1"/>
  <c r="M575" i="1"/>
  <c r="P575" i="1"/>
  <c r="AL575" i="1"/>
  <c r="M576" i="1"/>
  <c r="P576" i="1"/>
  <c r="AL576" i="1"/>
  <c r="M577" i="1"/>
  <c r="P577" i="1"/>
  <c r="AL577" i="1"/>
  <c r="M578" i="1"/>
  <c r="P578" i="1"/>
  <c r="AL578" i="1"/>
  <c r="M579" i="1"/>
  <c r="P579" i="1"/>
  <c r="AL579" i="1"/>
  <c r="M580" i="1"/>
  <c r="P580" i="1"/>
  <c r="AL580" i="1"/>
  <c r="M581" i="1"/>
  <c r="P581" i="1"/>
  <c r="AL581" i="1"/>
  <c r="M582" i="1"/>
  <c r="P582" i="1"/>
  <c r="AL582" i="1"/>
  <c r="M583" i="1"/>
  <c r="P583" i="1"/>
  <c r="AL583" i="1"/>
  <c r="M584" i="1"/>
  <c r="P584" i="1"/>
  <c r="AL584" i="1"/>
  <c r="M585" i="1"/>
  <c r="P585" i="1"/>
  <c r="AL585" i="1"/>
  <c r="M586" i="1"/>
  <c r="P586" i="1"/>
  <c r="AL586" i="1"/>
  <c r="M587" i="1"/>
  <c r="P587" i="1"/>
  <c r="AL587" i="1"/>
  <c r="M588" i="1"/>
  <c r="P588" i="1"/>
  <c r="AL588" i="1"/>
  <c r="M589" i="1"/>
  <c r="P589" i="1"/>
  <c r="AL589" i="1"/>
  <c r="M590" i="1"/>
  <c r="P590" i="1"/>
  <c r="AL590" i="1"/>
  <c r="M591" i="1"/>
  <c r="P591" i="1"/>
  <c r="AL591" i="1"/>
  <c r="M592" i="1"/>
  <c r="P592" i="1"/>
  <c r="AL592" i="1"/>
  <c r="M593" i="1"/>
  <c r="P593" i="1"/>
  <c r="AL593" i="1"/>
  <c r="M594" i="1"/>
  <c r="P594" i="1"/>
  <c r="AL594" i="1"/>
  <c r="M595" i="1"/>
  <c r="P595" i="1"/>
  <c r="AL595" i="1"/>
  <c r="M596" i="1"/>
  <c r="P596" i="1"/>
  <c r="AL596" i="1"/>
  <c r="M597" i="1"/>
  <c r="P597" i="1"/>
  <c r="AL597" i="1"/>
  <c r="M598" i="1"/>
  <c r="P598" i="1"/>
  <c r="AL598" i="1"/>
  <c r="M599" i="1"/>
  <c r="P599" i="1"/>
  <c r="AL599" i="1"/>
  <c r="M600" i="1"/>
  <c r="P600" i="1"/>
  <c r="AL600" i="1"/>
  <c r="M601" i="1"/>
  <c r="P601" i="1"/>
  <c r="AL601" i="1"/>
  <c r="M602" i="1"/>
  <c r="P602" i="1"/>
  <c r="AL602" i="1"/>
  <c r="M603" i="1"/>
  <c r="P603" i="1"/>
  <c r="AL603" i="1"/>
  <c r="M604" i="1"/>
  <c r="P604" i="1"/>
  <c r="AL604" i="1"/>
  <c r="M605" i="1"/>
  <c r="P605" i="1"/>
  <c r="AL605" i="1"/>
  <c r="M606" i="1"/>
  <c r="P606" i="1"/>
  <c r="AL606" i="1"/>
  <c r="M607" i="1"/>
  <c r="P607" i="1"/>
  <c r="AL607" i="1"/>
  <c r="M608" i="1"/>
  <c r="P608" i="1"/>
  <c r="AL608" i="1"/>
  <c r="M609" i="1"/>
  <c r="P609" i="1"/>
  <c r="AL609" i="1"/>
  <c r="M610" i="1"/>
  <c r="P610" i="1"/>
  <c r="AL610" i="1"/>
  <c r="M611" i="1"/>
  <c r="P611" i="1"/>
  <c r="AL611" i="1"/>
  <c r="M612" i="1"/>
  <c r="P612" i="1"/>
  <c r="AL612" i="1"/>
  <c r="M613" i="1"/>
  <c r="P613" i="1"/>
  <c r="AL613" i="1"/>
  <c r="M614" i="1"/>
  <c r="P614" i="1"/>
  <c r="AL614" i="1"/>
  <c r="M615" i="1"/>
  <c r="P615" i="1"/>
  <c r="AL615" i="1"/>
  <c r="M616" i="1"/>
  <c r="P616" i="1"/>
  <c r="AL616" i="1"/>
  <c r="M617" i="1"/>
  <c r="P617" i="1"/>
  <c r="AL617" i="1"/>
  <c r="M618" i="1"/>
  <c r="P618" i="1"/>
  <c r="AL618" i="1"/>
  <c r="M619" i="1"/>
  <c r="P619" i="1"/>
  <c r="AL619" i="1"/>
  <c r="M620" i="1"/>
  <c r="P620" i="1"/>
  <c r="AL620" i="1"/>
  <c r="M621" i="1"/>
  <c r="P621" i="1"/>
  <c r="AL621" i="1"/>
  <c r="M622" i="1"/>
  <c r="P622" i="1"/>
  <c r="AL622" i="1"/>
  <c r="M623" i="1"/>
  <c r="P623" i="1"/>
  <c r="AL623" i="1"/>
  <c r="M624" i="1"/>
  <c r="P624" i="1"/>
  <c r="AL624" i="1"/>
  <c r="M625" i="1"/>
  <c r="P625" i="1"/>
  <c r="AL625" i="1"/>
  <c r="M626" i="1"/>
  <c r="P626" i="1"/>
  <c r="AL626" i="1"/>
  <c r="M627" i="1"/>
  <c r="P627" i="1"/>
  <c r="AL627" i="1"/>
  <c r="M628" i="1"/>
  <c r="P628" i="1"/>
  <c r="AL628" i="1"/>
  <c r="M629" i="1"/>
  <c r="P629" i="1"/>
  <c r="AL629" i="1"/>
  <c r="M630" i="1"/>
  <c r="P630" i="1"/>
  <c r="AL630" i="1"/>
  <c r="M631" i="1"/>
  <c r="P631" i="1"/>
  <c r="AL631" i="1"/>
  <c r="M632" i="1"/>
  <c r="P632" i="1"/>
  <c r="AL632" i="1"/>
  <c r="M633" i="1"/>
  <c r="P633" i="1"/>
  <c r="AL633" i="1"/>
  <c r="M634" i="1"/>
  <c r="P634" i="1"/>
  <c r="AL634" i="1"/>
  <c r="M635" i="1"/>
  <c r="P635" i="1"/>
  <c r="AL635" i="1"/>
  <c r="M636" i="1"/>
  <c r="P636" i="1"/>
  <c r="AL636" i="1"/>
  <c r="M637" i="1"/>
  <c r="P637" i="1"/>
  <c r="AL637" i="1"/>
  <c r="M638" i="1"/>
  <c r="P638" i="1"/>
  <c r="AL638" i="1"/>
  <c r="M639" i="1"/>
  <c r="P639" i="1"/>
  <c r="AL639" i="1"/>
  <c r="M640" i="1"/>
  <c r="P640" i="1"/>
  <c r="AL640" i="1"/>
  <c r="M641" i="1"/>
  <c r="P641" i="1"/>
  <c r="AL641" i="1"/>
  <c r="M642" i="1"/>
  <c r="P642" i="1"/>
  <c r="AL642" i="1"/>
  <c r="M643" i="1"/>
  <c r="P643" i="1"/>
  <c r="AL643" i="1"/>
  <c r="M644" i="1"/>
  <c r="P644" i="1"/>
  <c r="AL644" i="1"/>
  <c r="M645" i="1"/>
  <c r="P645" i="1"/>
  <c r="AL645" i="1"/>
  <c r="M646" i="1"/>
  <c r="P646" i="1"/>
  <c r="AL646" i="1"/>
  <c r="M647" i="1"/>
  <c r="P647" i="1"/>
  <c r="AL647" i="1"/>
  <c r="M648" i="1"/>
  <c r="P648" i="1"/>
  <c r="AL648" i="1"/>
  <c r="M649" i="1"/>
  <c r="P649" i="1"/>
  <c r="AL649" i="1"/>
  <c r="M650" i="1"/>
  <c r="P650" i="1"/>
  <c r="AL650" i="1"/>
  <c r="M651" i="1"/>
  <c r="P651" i="1"/>
  <c r="AL651" i="1"/>
  <c r="M652" i="1"/>
  <c r="P652" i="1"/>
  <c r="AL652" i="1"/>
  <c r="M653" i="1"/>
  <c r="P653" i="1"/>
  <c r="AL653" i="1"/>
  <c r="M654" i="1"/>
  <c r="P654" i="1"/>
  <c r="AL654" i="1"/>
  <c r="M655" i="1"/>
  <c r="P655" i="1"/>
  <c r="AL655" i="1"/>
  <c r="M656" i="1"/>
  <c r="P656" i="1"/>
  <c r="AL656" i="1"/>
  <c r="M657" i="1"/>
  <c r="P657" i="1"/>
  <c r="AL657" i="1"/>
  <c r="M658" i="1"/>
  <c r="P658" i="1"/>
  <c r="AL658" i="1"/>
  <c r="M659" i="1"/>
  <c r="P659" i="1"/>
  <c r="AL659" i="1"/>
  <c r="M660" i="1"/>
  <c r="P660" i="1"/>
  <c r="AL660" i="1"/>
  <c r="M661" i="1"/>
  <c r="P661" i="1"/>
  <c r="AL661" i="1"/>
  <c r="M662" i="1"/>
  <c r="P662" i="1"/>
  <c r="AL662" i="1"/>
  <c r="M663" i="1"/>
  <c r="P663" i="1"/>
  <c r="AL663" i="1"/>
  <c r="M664" i="1"/>
  <c r="P664" i="1"/>
  <c r="AL664" i="1"/>
  <c r="M665" i="1"/>
  <c r="P665" i="1"/>
  <c r="AL665" i="1"/>
  <c r="M666" i="1"/>
  <c r="P666" i="1"/>
  <c r="AL666" i="1"/>
  <c r="M667" i="1"/>
  <c r="P667" i="1"/>
  <c r="AL667" i="1"/>
  <c r="M668" i="1"/>
  <c r="P668" i="1"/>
  <c r="AL668" i="1"/>
  <c r="M669" i="1"/>
  <c r="P669" i="1"/>
  <c r="AL669" i="1"/>
  <c r="M670" i="1"/>
  <c r="P670" i="1"/>
  <c r="AL670" i="1"/>
  <c r="M671" i="1"/>
  <c r="P671" i="1"/>
  <c r="AL671" i="1"/>
  <c r="M672" i="1"/>
  <c r="P672" i="1"/>
  <c r="AL672" i="1"/>
  <c r="M673" i="1"/>
  <c r="P673" i="1"/>
  <c r="AL673" i="1"/>
  <c r="M674" i="1"/>
  <c r="P674" i="1"/>
  <c r="AL674" i="1"/>
  <c r="M675" i="1"/>
  <c r="P675" i="1"/>
  <c r="AL675" i="1"/>
  <c r="M676" i="1"/>
  <c r="P676" i="1"/>
  <c r="AL676" i="1"/>
  <c r="M677" i="1"/>
  <c r="P677" i="1"/>
  <c r="AL677" i="1"/>
  <c r="M678" i="1"/>
  <c r="P678" i="1"/>
  <c r="AL678" i="1"/>
  <c r="M679" i="1"/>
  <c r="P679" i="1"/>
  <c r="AL679" i="1"/>
  <c r="M680" i="1"/>
  <c r="P680" i="1"/>
  <c r="AL680" i="1"/>
  <c r="M681" i="1"/>
  <c r="P681" i="1"/>
  <c r="AL681" i="1"/>
  <c r="M682" i="1"/>
  <c r="P682" i="1"/>
  <c r="AL682" i="1"/>
  <c r="M683" i="1"/>
  <c r="P683" i="1"/>
  <c r="AL683" i="1"/>
  <c r="M684" i="1"/>
  <c r="P684" i="1"/>
  <c r="AL684" i="1"/>
  <c r="M685" i="1"/>
  <c r="P685" i="1"/>
  <c r="AL685" i="1"/>
  <c r="M686" i="1"/>
  <c r="P686" i="1"/>
  <c r="AL686" i="1"/>
  <c r="M687" i="1"/>
  <c r="P687" i="1"/>
  <c r="AL687" i="1"/>
  <c r="M688" i="1"/>
  <c r="P688" i="1"/>
  <c r="AL688" i="1"/>
  <c r="M689" i="1"/>
  <c r="P689" i="1"/>
  <c r="AL689" i="1"/>
  <c r="M690" i="1"/>
  <c r="P690" i="1"/>
  <c r="AL690" i="1"/>
  <c r="M691" i="1"/>
  <c r="P691" i="1"/>
  <c r="AL691" i="1"/>
  <c r="M692" i="1"/>
  <c r="P692" i="1"/>
  <c r="AL692" i="1"/>
  <c r="M693" i="1"/>
  <c r="P693" i="1"/>
  <c r="AL693" i="1"/>
  <c r="M694" i="1"/>
  <c r="P694" i="1"/>
  <c r="AL694" i="1"/>
  <c r="M695" i="1"/>
  <c r="P695" i="1"/>
  <c r="AL695" i="1"/>
  <c r="M696" i="1"/>
  <c r="P696" i="1"/>
  <c r="AL696" i="1"/>
  <c r="M697" i="1"/>
  <c r="P697" i="1"/>
  <c r="AL697" i="1"/>
  <c r="M698" i="1"/>
  <c r="P698" i="1"/>
  <c r="AL698" i="1"/>
  <c r="M699" i="1"/>
  <c r="P699" i="1"/>
  <c r="AL699" i="1"/>
  <c r="M700" i="1"/>
  <c r="P700" i="1"/>
  <c r="AL700" i="1"/>
  <c r="M701" i="1"/>
  <c r="P701" i="1"/>
  <c r="AL701" i="1"/>
  <c r="M702" i="1"/>
  <c r="P702" i="1"/>
  <c r="AL702" i="1"/>
  <c r="M703" i="1"/>
  <c r="P703" i="1"/>
  <c r="AL703" i="1"/>
  <c r="M704" i="1"/>
  <c r="P704" i="1"/>
  <c r="AL704" i="1"/>
  <c r="M705" i="1"/>
  <c r="P705" i="1"/>
  <c r="AL705" i="1"/>
  <c r="M706" i="1"/>
  <c r="P706" i="1"/>
  <c r="AL706" i="1"/>
  <c r="M707" i="1"/>
  <c r="P707" i="1"/>
  <c r="AL707" i="1"/>
  <c r="M708" i="1"/>
  <c r="P708" i="1"/>
  <c r="AL708" i="1"/>
  <c r="M709" i="1"/>
  <c r="P709" i="1"/>
  <c r="AL709" i="1"/>
  <c r="M710" i="1"/>
  <c r="P710" i="1"/>
  <c r="AL710" i="1"/>
  <c r="M711" i="1"/>
  <c r="P711" i="1"/>
  <c r="AL711" i="1"/>
  <c r="M712" i="1"/>
  <c r="P712" i="1"/>
  <c r="AL712" i="1"/>
  <c r="M713" i="1"/>
  <c r="P713" i="1"/>
  <c r="AL713" i="1"/>
  <c r="M714" i="1"/>
  <c r="P714" i="1"/>
  <c r="AL714" i="1"/>
  <c r="M715" i="1"/>
  <c r="P715" i="1"/>
  <c r="AL715" i="1"/>
  <c r="M716" i="1"/>
  <c r="P716" i="1"/>
  <c r="AL716" i="1"/>
  <c r="M717" i="1"/>
  <c r="P717" i="1"/>
  <c r="AL717" i="1"/>
  <c r="M718" i="1"/>
  <c r="P718" i="1"/>
  <c r="AL718" i="1"/>
  <c r="M719" i="1"/>
  <c r="P719" i="1"/>
  <c r="AL719" i="1"/>
  <c r="M720" i="1"/>
  <c r="P720" i="1"/>
  <c r="AL720" i="1"/>
  <c r="M721" i="1"/>
  <c r="P721" i="1"/>
  <c r="AL721" i="1"/>
  <c r="M722" i="1"/>
  <c r="P722" i="1"/>
  <c r="AL722" i="1"/>
  <c r="M723" i="1"/>
  <c r="P723" i="1"/>
  <c r="AL723" i="1"/>
  <c r="M724" i="1"/>
  <c r="P724" i="1"/>
  <c r="AL724" i="1"/>
  <c r="M725" i="1"/>
  <c r="P725" i="1"/>
  <c r="AL725" i="1"/>
  <c r="M726" i="1"/>
  <c r="P726" i="1"/>
  <c r="AL726" i="1"/>
  <c r="M727" i="1"/>
  <c r="P727" i="1"/>
  <c r="AL727" i="1"/>
  <c r="M728" i="1"/>
  <c r="P728" i="1"/>
  <c r="AL728" i="1"/>
  <c r="M729" i="1"/>
  <c r="P729" i="1"/>
  <c r="AL729" i="1"/>
  <c r="M730" i="1"/>
  <c r="P730" i="1"/>
  <c r="AL730" i="1"/>
  <c r="M731" i="1"/>
  <c r="P731" i="1"/>
  <c r="AL731" i="1"/>
  <c r="M732" i="1"/>
  <c r="P732" i="1"/>
  <c r="AL732" i="1"/>
  <c r="M733" i="1"/>
  <c r="P733" i="1"/>
  <c r="AL733" i="1"/>
  <c r="M734" i="1"/>
  <c r="P734" i="1"/>
  <c r="AL734" i="1"/>
  <c r="M735" i="1"/>
  <c r="P735" i="1"/>
  <c r="AL735" i="1"/>
  <c r="M736" i="1"/>
  <c r="P736" i="1"/>
  <c r="AL736" i="1"/>
  <c r="M737" i="1"/>
  <c r="P737" i="1"/>
  <c r="AL737" i="1"/>
  <c r="M738" i="1"/>
  <c r="P738" i="1"/>
  <c r="AL738" i="1"/>
  <c r="M739" i="1"/>
  <c r="P739" i="1"/>
  <c r="AL739" i="1"/>
  <c r="M740" i="1"/>
  <c r="P740" i="1"/>
  <c r="AL740" i="1"/>
  <c r="M741" i="1"/>
  <c r="P741" i="1"/>
  <c r="AL741" i="1"/>
  <c r="M742" i="1"/>
  <c r="P742" i="1"/>
  <c r="AL742" i="1"/>
  <c r="M743" i="1"/>
  <c r="P743" i="1"/>
  <c r="AL743" i="1"/>
  <c r="M744" i="1"/>
  <c r="P744" i="1"/>
  <c r="AL744" i="1"/>
  <c r="M745" i="1"/>
  <c r="P745" i="1"/>
  <c r="AL745" i="1"/>
  <c r="M746" i="1"/>
  <c r="P746" i="1"/>
  <c r="AL746" i="1"/>
  <c r="M747" i="1"/>
  <c r="P747" i="1"/>
  <c r="AL747" i="1"/>
  <c r="M748" i="1"/>
  <c r="P748" i="1"/>
  <c r="AL748" i="1"/>
  <c r="M749" i="1"/>
  <c r="P749" i="1"/>
  <c r="AL749" i="1"/>
  <c r="M750" i="1"/>
  <c r="P750" i="1"/>
  <c r="AL750" i="1"/>
  <c r="M751" i="1"/>
  <c r="P751" i="1"/>
  <c r="AL751" i="1"/>
  <c r="M752" i="1"/>
  <c r="P752" i="1"/>
  <c r="AL752" i="1"/>
  <c r="M753" i="1"/>
  <c r="P753" i="1"/>
  <c r="AL753" i="1"/>
  <c r="M754" i="1"/>
  <c r="P754" i="1"/>
  <c r="AL754" i="1"/>
  <c r="M755" i="1"/>
  <c r="P755" i="1"/>
  <c r="AL755" i="1"/>
  <c r="M756" i="1"/>
  <c r="P756" i="1"/>
  <c r="AL756" i="1"/>
  <c r="M757" i="1"/>
  <c r="P757" i="1"/>
  <c r="AL757" i="1"/>
  <c r="M758" i="1"/>
  <c r="P758" i="1"/>
  <c r="AL758" i="1"/>
  <c r="M759" i="1"/>
  <c r="P759" i="1"/>
  <c r="AL759" i="1"/>
  <c r="M760" i="1"/>
  <c r="P760" i="1"/>
  <c r="AL760" i="1"/>
  <c r="M761" i="1"/>
  <c r="P761" i="1"/>
  <c r="AL761" i="1"/>
  <c r="M762" i="1"/>
  <c r="P762" i="1"/>
  <c r="AL762" i="1"/>
  <c r="M763" i="1"/>
  <c r="P763" i="1"/>
  <c r="AL763" i="1"/>
  <c r="M764" i="1"/>
  <c r="P764" i="1"/>
  <c r="AL764" i="1"/>
  <c r="M765" i="1"/>
  <c r="P765" i="1"/>
  <c r="AL765" i="1"/>
  <c r="M766" i="1"/>
  <c r="P766" i="1"/>
  <c r="AL766" i="1"/>
  <c r="M767" i="1"/>
  <c r="P767" i="1"/>
  <c r="AL767" i="1"/>
  <c r="M768" i="1"/>
  <c r="P768" i="1"/>
  <c r="AL768" i="1"/>
  <c r="M769" i="1"/>
  <c r="P769" i="1"/>
  <c r="AL769" i="1"/>
  <c r="M770" i="1"/>
  <c r="P770" i="1"/>
  <c r="AL770" i="1"/>
  <c r="M771" i="1"/>
  <c r="P771" i="1"/>
  <c r="AL771" i="1"/>
  <c r="M772" i="1"/>
  <c r="P772" i="1"/>
  <c r="AL772" i="1"/>
  <c r="M773" i="1"/>
  <c r="P773" i="1"/>
  <c r="AL773" i="1"/>
  <c r="M774" i="1"/>
  <c r="P774" i="1"/>
  <c r="AL774" i="1"/>
  <c r="M775" i="1"/>
  <c r="P775" i="1"/>
  <c r="AL775" i="1"/>
  <c r="M776" i="1"/>
  <c r="P776" i="1"/>
  <c r="AL776" i="1"/>
  <c r="M777" i="1"/>
  <c r="P777" i="1"/>
  <c r="AL777" i="1"/>
  <c r="M778" i="1"/>
  <c r="P778" i="1"/>
  <c r="AL778" i="1"/>
  <c r="M779" i="1"/>
  <c r="P779" i="1"/>
  <c r="AL779" i="1"/>
  <c r="M780" i="1"/>
  <c r="P780" i="1"/>
  <c r="AL780" i="1"/>
  <c r="M781" i="1"/>
  <c r="P781" i="1"/>
  <c r="AL781" i="1"/>
  <c r="M782" i="1"/>
  <c r="P782" i="1"/>
  <c r="AL782" i="1"/>
  <c r="M783" i="1"/>
  <c r="P783" i="1"/>
  <c r="AL783" i="1"/>
  <c r="M784" i="1"/>
  <c r="P784" i="1"/>
  <c r="AL784" i="1"/>
  <c r="M785" i="1"/>
  <c r="P785" i="1"/>
  <c r="AL785" i="1"/>
  <c r="M786" i="1"/>
  <c r="P786" i="1"/>
  <c r="AL786" i="1"/>
  <c r="M787" i="1"/>
  <c r="P787" i="1"/>
  <c r="AL787" i="1"/>
  <c r="M788" i="1"/>
  <c r="P788" i="1"/>
  <c r="AL788" i="1"/>
  <c r="M789" i="1"/>
  <c r="P789" i="1"/>
  <c r="AL789" i="1"/>
  <c r="M790" i="1"/>
  <c r="P790" i="1"/>
  <c r="AL790" i="1"/>
  <c r="M791" i="1"/>
  <c r="P791" i="1"/>
  <c r="AL791" i="1"/>
  <c r="M792" i="1"/>
  <c r="P792" i="1"/>
  <c r="AL792" i="1"/>
  <c r="M793" i="1"/>
  <c r="P793" i="1"/>
  <c r="AL793" i="1"/>
  <c r="M794" i="1"/>
  <c r="P794" i="1"/>
  <c r="AL794" i="1"/>
  <c r="M795" i="1"/>
  <c r="P795" i="1"/>
  <c r="AL795" i="1"/>
  <c r="M796" i="1"/>
  <c r="P796" i="1"/>
  <c r="AL796" i="1"/>
  <c r="M797" i="1"/>
  <c r="P797" i="1"/>
  <c r="AL797" i="1"/>
  <c r="M798" i="1"/>
  <c r="P798" i="1"/>
  <c r="AL798" i="1"/>
  <c r="M799" i="1"/>
  <c r="P799" i="1"/>
  <c r="AL799" i="1"/>
  <c r="M800" i="1"/>
  <c r="P800" i="1"/>
  <c r="AL800" i="1"/>
  <c r="M801" i="1"/>
  <c r="P801" i="1"/>
  <c r="AL801" i="1"/>
  <c r="M802" i="1"/>
  <c r="P802" i="1"/>
  <c r="AL802" i="1"/>
  <c r="M803" i="1"/>
  <c r="P803" i="1"/>
  <c r="AL803" i="1"/>
  <c r="M804" i="1"/>
  <c r="P804" i="1"/>
  <c r="AL804" i="1"/>
  <c r="M805" i="1"/>
  <c r="P805" i="1"/>
  <c r="AL805" i="1"/>
  <c r="M806" i="1"/>
  <c r="P806" i="1"/>
  <c r="AL806" i="1"/>
  <c r="M807" i="1"/>
  <c r="P807" i="1"/>
  <c r="AL807" i="1"/>
  <c r="M808" i="1"/>
  <c r="P808" i="1"/>
  <c r="AL808" i="1"/>
  <c r="M809" i="1"/>
  <c r="P809" i="1"/>
  <c r="AL809" i="1"/>
  <c r="M810" i="1"/>
  <c r="P810" i="1"/>
  <c r="AL810" i="1"/>
  <c r="M811" i="1"/>
  <c r="P811" i="1"/>
  <c r="AL811" i="1"/>
  <c r="M812" i="1"/>
  <c r="P812" i="1"/>
  <c r="AL812" i="1"/>
  <c r="M813" i="1"/>
  <c r="P813" i="1"/>
  <c r="AL813" i="1"/>
  <c r="M814" i="1"/>
  <c r="P814" i="1"/>
  <c r="AL814" i="1"/>
  <c r="M815" i="1"/>
  <c r="P815" i="1"/>
  <c r="AL815" i="1"/>
  <c r="M816" i="1"/>
  <c r="P816" i="1"/>
  <c r="AL816" i="1"/>
  <c r="M817" i="1"/>
  <c r="P817" i="1"/>
  <c r="AL817" i="1"/>
  <c r="M818" i="1"/>
  <c r="P818" i="1"/>
  <c r="AL818" i="1"/>
  <c r="M819" i="1"/>
  <c r="P819" i="1"/>
  <c r="AL819" i="1"/>
  <c r="M820" i="1"/>
  <c r="P820" i="1"/>
  <c r="AL820" i="1"/>
  <c r="M821" i="1"/>
  <c r="P821" i="1"/>
  <c r="AL821" i="1"/>
  <c r="M822" i="1"/>
  <c r="P822" i="1"/>
  <c r="AL822" i="1"/>
  <c r="M823" i="1"/>
  <c r="P823" i="1"/>
  <c r="AL823" i="1"/>
  <c r="M824" i="1"/>
  <c r="P824" i="1"/>
  <c r="AL824" i="1"/>
  <c r="M825" i="1"/>
  <c r="P825" i="1"/>
  <c r="AL825" i="1"/>
  <c r="M826" i="1"/>
  <c r="P826" i="1"/>
  <c r="AL826" i="1"/>
  <c r="M827" i="1"/>
  <c r="P827" i="1"/>
  <c r="AL827" i="1"/>
  <c r="M828" i="1"/>
  <c r="P828" i="1"/>
  <c r="AL828" i="1"/>
  <c r="M829" i="1"/>
  <c r="P829" i="1"/>
  <c r="AL829" i="1"/>
  <c r="M830" i="1"/>
  <c r="P830" i="1"/>
  <c r="AL830" i="1"/>
  <c r="M831" i="1"/>
  <c r="P831" i="1"/>
  <c r="AL831" i="1"/>
  <c r="M832" i="1"/>
  <c r="P832" i="1"/>
  <c r="AL832" i="1"/>
  <c r="M833" i="1"/>
  <c r="P833" i="1"/>
  <c r="AL833" i="1"/>
  <c r="M834" i="1"/>
  <c r="P834" i="1"/>
  <c r="AL834" i="1"/>
  <c r="M835" i="1"/>
  <c r="P835" i="1"/>
  <c r="AL835" i="1"/>
  <c r="M836" i="1"/>
  <c r="P836" i="1"/>
  <c r="AL836" i="1"/>
  <c r="M837" i="1"/>
  <c r="P837" i="1"/>
  <c r="AL837" i="1"/>
  <c r="M838" i="1"/>
  <c r="P838" i="1"/>
  <c r="AL838" i="1"/>
  <c r="M839" i="1"/>
  <c r="P839" i="1"/>
  <c r="AL839" i="1"/>
  <c r="M840" i="1"/>
  <c r="P840" i="1"/>
  <c r="AL840" i="1"/>
  <c r="M841" i="1"/>
  <c r="P841" i="1"/>
  <c r="AL841" i="1"/>
  <c r="M842" i="1"/>
  <c r="P842" i="1"/>
  <c r="AL842" i="1"/>
  <c r="M843" i="1"/>
  <c r="P843" i="1"/>
  <c r="AL843" i="1"/>
  <c r="M844" i="1"/>
  <c r="P844" i="1"/>
  <c r="AL844" i="1"/>
  <c r="M845" i="1"/>
  <c r="P845" i="1"/>
  <c r="AL845" i="1"/>
  <c r="M846" i="1"/>
  <c r="P846" i="1"/>
  <c r="AL846" i="1"/>
  <c r="M847" i="1"/>
  <c r="P847" i="1"/>
  <c r="AL847" i="1"/>
  <c r="M848" i="1"/>
  <c r="P848" i="1"/>
  <c r="AL848" i="1"/>
  <c r="M849" i="1"/>
  <c r="P849" i="1"/>
  <c r="AL849" i="1"/>
  <c r="M850" i="1"/>
  <c r="P850" i="1"/>
  <c r="AL850" i="1"/>
  <c r="M851" i="1"/>
  <c r="P851" i="1"/>
  <c r="AL851" i="1"/>
  <c r="M852" i="1"/>
  <c r="P852" i="1"/>
  <c r="AL852" i="1"/>
  <c r="M853" i="1"/>
  <c r="P853" i="1"/>
  <c r="AL853" i="1"/>
  <c r="M854" i="1"/>
  <c r="P854" i="1"/>
  <c r="AL854" i="1"/>
  <c r="M855" i="1"/>
  <c r="P855" i="1"/>
  <c r="AL855" i="1"/>
  <c r="M856" i="1"/>
  <c r="P856" i="1"/>
  <c r="AL856" i="1"/>
  <c r="M857" i="1"/>
  <c r="P857" i="1"/>
  <c r="AL857" i="1"/>
  <c r="M858" i="1"/>
  <c r="P858" i="1"/>
  <c r="AL858" i="1"/>
  <c r="M859" i="1"/>
  <c r="P859" i="1"/>
  <c r="AL859" i="1"/>
  <c r="M860" i="1"/>
  <c r="P860" i="1"/>
  <c r="AL860" i="1"/>
  <c r="M861" i="1"/>
  <c r="P861" i="1"/>
  <c r="AL861" i="1"/>
  <c r="M862" i="1"/>
  <c r="P862" i="1"/>
  <c r="AL862" i="1"/>
  <c r="M863" i="1"/>
  <c r="P863" i="1"/>
  <c r="AL863" i="1"/>
  <c r="M864" i="1"/>
  <c r="P864" i="1"/>
  <c r="AL864" i="1"/>
  <c r="M865" i="1"/>
  <c r="P865" i="1"/>
  <c r="AL865" i="1"/>
  <c r="M866" i="1"/>
  <c r="P866" i="1"/>
  <c r="AL866" i="1"/>
  <c r="M867" i="1"/>
  <c r="P867" i="1"/>
  <c r="AL867" i="1"/>
  <c r="M868" i="1"/>
  <c r="P868" i="1"/>
  <c r="AL868" i="1"/>
  <c r="M869" i="1"/>
  <c r="P869" i="1"/>
  <c r="AL869" i="1"/>
  <c r="M870" i="1"/>
  <c r="P870" i="1"/>
  <c r="AL870" i="1"/>
  <c r="M871" i="1"/>
  <c r="P871" i="1"/>
  <c r="AL871" i="1"/>
  <c r="M872" i="1"/>
  <c r="P872" i="1"/>
  <c r="AL872" i="1"/>
  <c r="M873" i="1"/>
  <c r="P873" i="1"/>
  <c r="AL873" i="1"/>
  <c r="M874" i="1"/>
  <c r="P874" i="1"/>
  <c r="AL874" i="1"/>
  <c r="M875" i="1"/>
  <c r="P875" i="1"/>
  <c r="AL875" i="1"/>
  <c r="M876" i="1"/>
  <c r="P876" i="1"/>
  <c r="AL876" i="1"/>
  <c r="M877" i="1"/>
  <c r="P877" i="1"/>
  <c r="AL877" i="1"/>
  <c r="M878" i="1"/>
  <c r="P878" i="1"/>
  <c r="AL878" i="1"/>
  <c r="M879" i="1"/>
  <c r="P879" i="1"/>
  <c r="AL879" i="1"/>
  <c r="M880" i="1"/>
  <c r="P880" i="1"/>
  <c r="AL880" i="1"/>
  <c r="M881" i="1"/>
  <c r="P881" i="1"/>
  <c r="AL881" i="1"/>
  <c r="M882" i="1"/>
  <c r="P882" i="1"/>
  <c r="AL882" i="1"/>
  <c r="M883" i="1"/>
  <c r="P883" i="1"/>
  <c r="AL883" i="1"/>
  <c r="M884" i="1"/>
  <c r="P884" i="1"/>
  <c r="AL884" i="1"/>
  <c r="M885" i="1"/>
  <c r="P885" i="1"/>
  <c r="AL885" i="1"/>
  <c r="M886" i="1"/>
  <c r="P886" i="1"/>
  <c r="AL886" i="1"/>
  <c r="M887" i="1"/>
  <c r="P887" i="1"/>
  <c r="AL887" i="1"/>
  <c r="M888" i="1"/>
  <c r="P888" i="1"/>
  <c r="AL888" i="1"/>
  <c r="M889" i="1"/>
  <c r="P889" i="1"/>
  <c r="AL889" i="1"/>
  <c r="M890" i="1"/>
  <c r="P890" i="1"/>
  <c r="AL890" i="1"/>
  <c r="M891" i="1"/>
  <c r="P891" i="1"/>
  <c r="AL891" i="1"/>
  <c r="M892" i="1"/>
  <c r="P892" i="1"/>
  <c r="AL892" i="1"/>
  <c r="M893" i="1"/>
  <c r="P893" i="1"/>
  <c r="AL893" i="1"/>
  <c r="M894" i="1"/>
  <c r="P894" i="1"/>
  <c r="AL894" i="1"/>
  <c r="M895" i="1"/>
  <c r="P895" i="1"/>
  <c r="AL895" i="1"/>
  <c r="M896" i="1"/>
  <c r="P896" i="1"/>
  <c r="AL896" i="1"/>
  <c r="M897" i="1"/>
  <c r="P897" i="1"/>
  <c r="AL897" i="1"/>
  <c r="M898" i="1"/>
  <c r="P898" i="1"/>
  <c r="AL898" i="1"/>
  <c r="M899" i="1"/>
  <c r="P899" i="1"/>
  <c r="AL899" i="1"/>
  <c r="M900" i="1"/>
  <c r="P900" i="1"/>
  <c r="AL900" i="1"/>
  <c r="M901" i="1"/>
  <c r="P901" i="1"/>
  <c r="AL901" i="1"/>
  <c r="M902" i="1"/>
  <c r="P902" i="1"/>
  <c r="AL902" i="1"/>
  <c r="M903" i="1"/>
  <c r="P903" i="1"/>
  <c r="AL903" i="1"/>
  <c r="M904" i="1"/>
  <c r="P904" i="1"/>
  <c r="AL904" i="1"/>
  <c r="M905" i="1"/>
  <c r="P905" i="1"/>
  <c r="AL905" i="1"/>
  <c r="M906" i="1"/>
  <c r="P906" i="1"/>
  <c r="AL906" i="1"/>
  <c r="M907" i="1"/>
  <c r="P907" i="1"/>
  <c r="AL907" i="1"/>
  <c r="M908" i="1"/>
  <c r="P908" i="1"/>
  <c r="AL908" i="1"/>
  <c r="M909" i="1"/>
  <c r="P909" i="1"/>
  <c r="AL909" i="1"/>
  <c r="M910" i="1"/>
  <c r="P910" i="1"/>
  <c r="AL910" i="1"/>
  <c r="M911" i="1"/>
  <c r="P911" i="1"/>
  <c r="AL911" i="1"/>
  <c r="M912" i="1"/>
  <c r="P912" i="1"/>
  <c r="AL912" i="1"/>
  <c r="M913" i="1"/>
  <c r="P913" i="1"/>
  <c r="AL913" i="1"/>
  <c r="M914" i="1"/>
  <c r="P914" i="1"/>
  <c r="AL914" i="1"/>
  <c r="M915" i="1"/>
  <c r="P915" i="1"/>
  <c r="AL915" i="1"/>
  <c r="M916" i="1"/>
  <c r="P916" i="1"/>
  <c r="AL916" i="1"/>
  <c r="M917" i="1"/>
  <c r="P917" i="1"/>
  <c r="AL917" i="1"/>
  <c r="M918" i="1"/>
  <c r="P918" i="1"/>
  <c r="AL918" i="1"/>
  <c r="M919" i="1"/>
  <c r="P919" i="1"/>
  <c r="AL919" i="1"/>
  <c r="M920" i="1"/>
  <c r="P920" i="1"/>
  <c r="AL920" i="1"/>
  <c r="M921" i="1"/>
  <c r="P921" i="1"/>
  <c r="AL921" i="1"/>
  <c r="M922" i="1"/>
  <c r="P922" i="1"/>
  <c r="AL922" i="1"/>
  <c r="M923" i="1"/>
  <c r="P923" i="1"/>
  <c r="AL923" i="1"/>
  <c r="M924" i="1"/>
  <c r="P924" i="1"/>
  <c r="AL924" i="1"/>
  <c r="M925" i="1"/>
  <c r="P925" i="1"/>
  <c r="AL925" i="1"/>
  <c r="M926" i="1"/>
  <c r="P926" i="1"/>
  <c r="AL926" i="1"/>
  <c r="M927" i="1"/>
  <c r="P927" i="1"/>
  <c r="AL927" i="1"/>
  <c r="M928" i="1"/>
  <c r="P928" i="1"/>
  <c r="AL928" i="1"/>
  <c r="M929" i="1"/>
  <c r="P929" i="1"/>
  <c r="AL929" i="1"/>
  <c r="M930" i="1"/>
  <c r="P930" i="1"/>
  <c r="AL930" i="1"/>
  <c r="M931" i="1"/>
  <c r="P931" i="1"/>
  <c r="AL931" i="1"/>
  <c r="M932" i="1"/>
  <c r="P932" i="1"/>
  <c r="AL932" i="1"/>
  <c r="M933" i="1"/>
  <c r="P933" i="1"/>
  <c r="AL933" i="1"/>
  <c r="M934" i="1"/>
  <c r="P934" i="1"/>
  <c r="AL934" i="1"/>
  <c r="M935" i="1"/>
  <c r="P935" i="1"/>
  <c r="AL935" i="1"/>
  <c r="M936" i="1"/>
  <c r="P936" i="1"/>
  <c r="AL936" i="1"/>
  <c r="M937" i="1"/>
  <c r="P937" i="1"/>
  <c r="AL937" i="1"/>
  <c r="M938" i="1"/>
  <c r="P938" i="1"/>
  <c r="AL938" i="1"/>
  <c r="M939" i="1"/>
  <c r="P939" i="1"/>
  <c r="AL939" i="1"/>
  <c r="M940" i="1"/>
  <c r="P940" i="1"/>
  <c r="AL940" i="1"/>
  <c r="M941" i="1"/>
  <c r="P941" i="1"/>
  <c r="AL941" i="1"/>
  <c r="M942" i="1"/>
  <c r="P942" i="1"/>
  <c r="AL942" i="1"/>
  <c r="M943" i="1"/>
  <c r="P943" i="1"/>
  <c r="AL943" i="1"/>
  <c r="M944" i="1"/>
  <c r="P944" i="1"/>
  <c r="AL944" i="1"/>
  <c r="M945" i="1"/>
  <c r="P945" i="1"/>
  <c r="AL945" i="1"/>
  <c r="M946" i="1"/>
  <c r="P946" i="1"/>
  <c r="AL946" i="1"/>
  <c r="M947" i="1"/>
  <c r="P947" i="1"/>
  <c r="AL947" i="1"/>
  <c r="M948" i="1"/>
  <c r="P948" i="1"/>
  <c r="AL948" i="1"/>
  <c r="M949" i="1"/>
  <c r="P949" i="1"/>
  <c r="AL949" i="1"/>
  <c r="M950" i="1"/>
  <c r="P950" i="1"/>
  <c r="AL950" i="1"/>
  <c r="M951" i="1"/>
  <c r="P951" i="1"/>
  <c r="AL951" i="1"/>
  <c r="M952" i="1"/>
  <c r="P952" i="1"/>
  <c r="AL952" i="1"/>
  <c r="M953" i="1"/>
  <c r="P953" i="1"/>
  <c r="AL953" i="1"/>
  <c r="M954" i="1"/>
  <c r="P954" i="1"/>
  <c r="AL954" i="1"/>
  <c r="M955" i="1"/>
  <c r="P955" i="1"/>
  <c r="AL955" i="1"/>
  <c r="M956" i="1"/>
  <c r="P956" i="1"/>
  <c r="AL956" i="1"/>
  <c r="M957" i="1"/>
  <c r="P957" i="1"/>
  <c r="AL957" i="1"/>
  <c r="M958" i="1"/>
  <c r="P958" i="1"/>
  <c r="AL958" i="1"/>
  <c r="M959" i="1"/>
  <c r="P959" i="1"/>
  <c r="AL959" i="1"/>
  <c r="M960" i="1"/>
  <c r="P960" i="1"/>
  <c r="AL960" i="1"/>
  <c r="M961" i="1"/>
  <c r="P961" i="1"/>
  <c r="AL961" i="1"/>
  <c r="M962" i="1"/>
  <c r="P962" i="1"/>
  <c r="AL962" i="1"/>
  <c r="M963" i="1"/>
  <c r="P963" i="1"/>
  <c r="AL963" i="1"/>
  <c r="M964" i="1"/>
  <c r="P964" i="1"/>
  <c r="AL964" i="1"/>
  <c r="M965" i="1"/>
  <c r="P965" i="1"/>
  <c r="AL965" i="1"/>
  <c r="M966" i="1"/>
  <c r="P966" i="1"/>
  <c r="AL966" i="1"/>
  <c r="M967" i="1"/>
  <c r="P967" i="1"/>
  <c r="AL967" i="1"/>
  <c r="M968" i="1"/>
  <c r="P968" i="1"/>
  <c r="AL968" i="1"/>
  <c r="M969" i="1"/>
  <c r="P969" i="1"/>
  <c r="AL969" i="1"/>
  <c r="M970" i="1"/>
  <c r="P970" i="1"/>
  <c r="AL970" i="1"/>
  <c r="M971" i="1"/>
  <c r="P971" i="1"/>
  <c r="AL971" i="1"/>
  <c r="M972" i="1"/>
  <c r="P972" i="1"/>
  <c r="AL972" i="1"/>
  <c r="M973" i="1"/>
  <c r="P973" i="1"/>
  <c r="AL973" i="1"/>
  <c r="M974" i="1"/>
  <c r="P974" i="1"/>
  <c r="AL974" i="1"/>
  <c r="M975" i="1"/>
  <c r="P975" i="1"/>
  <c r="AL975" i="1"/>
  <c r="M976" i="1"/>
  <c r="P976" i="1"/>
  <c r="AL976" i="1"/>
  <c r="M977" i="1"/>
  <c r="P977" i="1"/>
  <c r="AL977" i="1"/>
  <c r="M978" i="1"/>
  <c r="P978" i="1"/>
  <c r="AL978" i="1"/>
  <c r="M979" i="1"/>
  <c r="P979" i="1"/>
  <c r="AL979" i="1"/>
  <c r="M980" i="1"/>
  <c r="P980" i="1"/>
  <c r="AL980" i="1"/>
  <c r="M981" i="1"/>
  <c r="P981" i="1"/>
  <c r="AL981" i="1"/>
  <c r="M982" i="1"/>
  <c r="P982" i="1"/>
  <c r="AL982" i="1"/>
  <c r="M983" i="1"/>
  <c r="P983" i="1"/>
  <c r="AL983" i="1"/>
  <c r="M984" i="1"/>
  <c r="P984" i="1"/>
  <c r="AL984" i="1"/>
  <c r="M985" i="1"/>
  <c r="P985" i="1"/>
  <c r="AL985" i="1"/>
  <c r="M986" i="1"/>
  <c r="P986" i="1"/>
  <c r="AL986" i="1"/>
  <c r="M987" i="1"/>
  <c r="P987" i="1"/>
  <c r="AL987" i="1"/>
  <c r="M988" i="1"/>
  <c r="P988" i="1"/>
  <c r="AL988" i="1"/>
  <c r="M989" i="1"/>
  <c r="P989" i="1"/>
  <c r="AL989" i="1"/>
  <c r="M990" i="1"/>
  <c r="P990" i="1"/>
  <c r="AL990" i="1"/>
  <c r="M991" i="1"/>
  <c r="P991" i="1"/>
  <c r="AL991" i="1"/>
  <c r="M992" i="1"/>
  <c r="P992" i="1"/>
  <c r="AL992" i="1"/>
  <c r="M993" i="1"/>
  <c r="P993" i="1"/>
  <c r="AL993" i="1"/>
  <c r="M994" i="1"/>
  <c r="P994" i="1"/>
  <c r="AL994" i="1"/>
  <c r="M995" i="1"/>
  <c r="P995" i="1"/>
  <c r="AL995" i="1"/>
  <c r="M996" i="1"/>
  <c r="P996" i="1"/>
  <c r="AL996" i="1"/>
  <c r="M997" i="1"/>
  <c r="P997" i="1"/>
  <c r="AL997" i="1"/>
  <c r="M998" i="1"/>
  <c r="P998" i="1"/>
  <c r="AL998" i="1"/>
  <c r="M999" i="1"/>
  <c r="P999" i="1"/>
  <c r="AL999" i="1"/>
  <c r="M1000" i="1"/>
  <c r="P1000" i="1"/>
  <c r="AL1000" i="1"/>
  <c r="M1001" i="1"/>
  <c r="P1001" i="1"/>
  <c r="AL1001" i="1"/>
  <c r="M1002" i="1"/>
  <c r="P1002" i="1"/>
  <c r="AL1002" i="1"/>
  <c r="M1003" i="1"/>
  <c r="P1003" i="1"/>
  <c r="AL1003" i="1"/>
  <c r="M1004" i="1"/>
  <c r="P1004" i="1"/>
  <c r="AL1004" i="1"/>
  <c r="M1005" i="1"/>
  <c r="P1005" i="1"/>
  <c r="AL1005" i="1"/>
  <c r="M1006" i="1"/>
  <c r="P1006" i="1"/>
  <c r="AL1006" i="1"/>
  <c r="M1007" i="1"/>
  <c r="P1007" i="1"/>
  <c r="AL1007" i="1"/>
  <c r="M1008" i="1"/>
  <c r="P1008" i="1"/>
  <c r="AL1008" i="1"/>
  <c r="M1009" i="1"/>
  <c r="P1009" i="1"/>
  <c r="AL1009" i="1"/>
  <c r="M1010" i="1"/>
  <c r="P1010" i="1"/>
  <c r="AL1010" i="1"/>
  <c r="M1011" i="1"/>
  <c r="P1011" i="1"/>
  <c r="AL1011" i="1"/>
  <c r="M1012" i="1"/>
  <c r="P1012" i="1"/>
  <c r="AL1012" i="1"/>
  <c r="M1013" i="1"/>
  <c r="P1013" i="1"/>
  <c r="AL1013" i="1"/>
  <c r="M1014" i="1"/>
  <c r="P1014" i="1"/>
  <c r="AL1014" i="1"/>
  <c r="M1015" i="1"/>
  <c r="P1015" i="1"/>
  <c r="AL1015" i="1"/>
  <c r="M1016" i="1"/>
  <c r="P1016" i="1"/>
  <c r="AL1016" i="1"/>
  <c r="M1017" i="1"/>
  <c r="P1017" i="1"/>
  <c r="AL1017" i="1"/>
  <c r="M1018" i="1"/>
  <c r="P1018" i="1"/>
  <c r="AL1018" i="1"/>
  <c r="M1019" i="1"/>
  <c r="P1019" i="1"/>
  <c r="AL1019" i="1"/>
  <c r="M1020" i="1"/>
  <c r="P1020" i="1"/>
  <c r="AL1020" i="1"/>
  <c r="M1021" i="1"/>
  <c r="P1021" i="1"/>
  <c r="AL1021" i="1"/>
  <c r="M1022" i="1"/>
  <c r="P1022" i="1"/>
  <c r="AL1022" i="1"/>
  <c r="M1023" i="1"/>
  <c r="P1023" i="1"/>
  <c r="AL1023" i="1"/>
  <c r="M1024" i="1"/>
  <c r="P1024" i="1"/>
  <c r="AL1024" i="1"/>
  <c r="M1025" i="1"/>
  <c r="P1025" i="1"/>
  <c r="AL1025" i="1"/>
  <c r="M1026" i="1"/>
  <c r="P1026" i="1"/>
  <c r="AL1026" i="1"/>
  <c r="M1027" i="1"/>
  <c r="P1027" i="1"/>
  <c r="AL1027" i="1"/>
  <c r="M1028" i="1"/>
  <c r="P1028" i="1"/>
  <c r="AL1028" i="1"/>
  <c r="M1029" i="1"/>
  <c r="P1029" i="1"/>
  <c r="AL1029" i="1"/>
  <c r="M1030" i="1"/>
  <c r="P1030" i="1"/>
  <c r="AL1030" i="1"/>
  <c r="M1031" i="1"/>
  <c r="P1031" i="1"/>
  <c r="AL1031" i="1"/>
  <c r="M1032" i="1"/>
  <c r="P1032" i="1"/>
  <c r="AL1032" i="1"/>
  <c r="M1033" i="1"/>
  <c r="P1033" i="1"/>
  <c r="AL1033" i="1"/>
  <c r="M1034" i="1"/>
  <c r="P1034" i="1"/>
  <c r="AL1034" i="1"/>
  <c r="M1035" i="1"/>
  <c r="P1035" i="1"/>
  <c r="AL1035" i="1"/>
  <c r="M1036" i="1"/>
  <c r="P1036" i="1"/>
  <c r="AL1036" i="1"/>
  <c r="M1037" i="1"/>
  <c r="P1037" i="1"/>
  <c r="AL1037" i="1"/>
  <c r="M1038" i="1"/>
  <c r="P1038" i="1"/>
  <c r="AL1038" i="1"/>
  <c r="M1039" i="1"/>
  <c r="P1039" i="1"/>
  <c r="AL1039" i="1"/>
  <c r="M1040" i="1"/>
  <c r="P1040" i="1"/>
  <c r="AL1040" i="1"/>
  <c r="M1041" i="1"/>
  <c r="P1041" i="1"/>
  <c r="AL1041" i="1"/>
  <c r="M1042" i="1"/>
  <c r="P1042" i="1"/>
  <c r="AL1042" i="1"/>
  <c r="M1043" i="1"/>
  <c r="P1043" i="1"/>
  <c r="AL1043" i="1"/>
  <c r="M1044" i="1"/>
  <c r="P1044" i="1"/>
  <c r="AL1044" i="1"/>
  <c r="M1045" i="1"/>
  <c r="P1045" i="1"/>
  <c r="AL1045" i="1"/>
  <c r="M1046" i="1"/>
  <c r="P1046" i="1"/>
  <c r="AL1046" i="1"/>
  <c r="M1047" i="1"/>
  <c r="P1047" i="1"/>
  <c r="AL1047" i="1"/>
  <c r="M1048" i="1"/>
  <c r="P1048" i="1"/>
  <c r="AL1048" i="1"/>
  <c r="M1049" i="1"/>
  <c r="P1049" i="1"/>
  <c r="AL1049" i="1"/>
  <c r="M1050" i="1"/>
  <c r="P1050" i="1"/>
  <c r="AL1050" i="1"/>
  <c r="M1051" i="1"/>
  <c r="P1051" i="1"/>
  <c r="AL1051" i="1"/>
  <c r="M1052" i="1"/>
  <c r="P1052" i="1"/>
  <c r="AL1052" i="1"/>
  <c r="M1053" i="1"/>
  <c r="P1053" i="1"/>
  <c r="AL1053" i="1"/>
  <c r="M1054" i="1"/>
  <c r="P1054" i="1"/>
  <c r="AL1054" i="1"/>
  <c r="M1055" i="1"/>
  <c r="P1055" i="1"/>
  <c r="AL1055" i="1"/>
  <c r="M1056" i="1"/>
  <c r="P1056" i="1"/>
  <c r="AL1056" i="1"/>
  <c r="M1057" i="1"/>
  <c r="P1057" i="1"/>
  <c r="AL1057" i="1"/>
  <c r="M1058" i="1"/>
  <c r="P1058" i="1"/>
  <c r="AL1058" i="1"/>
  <c r="M1059" i="1"/>
  <c r="P1059" i="1"/>
  <c r="AL1059" i="1"/>
  <c r="M1060" i="1"/>
  <c r="P1060" i="1"/>
  <c r="AL1060" i="1"/>
  <c r="M1061" i="1"/>
  <c r="P1061" i="1"/>
  <c r="AL1061" i="1"/>
  <c r="M1062" i="1"/>
  <c r="P1062" i="1"/>
  <c r="AL1062" i="1"/>
  <c r="M1063" i="1"/>
  <c r="P1063" i="1"/>
  <c r="AL1063" i="1"/>
  <c r="M1064" i="1"/>
  <c r="P1064" i="1"/>
  <c r="AL1064" i="1"/>
  <c r="M1065" i="1"/>
  <c r="P1065" i="1"/>
  <c r="AL1065" i="1"/>
  <c r="M1066" i="1"/>
  <c r="P1066" i="1"/>
  <c r="AL1066" i="1"/>
  <c r="M1067" i="1"/>
  <c r="P1067" i="1"/>
  <c r="AL1067" i="1"/>
  <c r="M1068" i="1"/>
  <c r="P1068" i="1"/>
  <c r="AL1068" i="1"/>
  <c r="M1069" i="1"/>
  <c r="P1069" i="1"/>
  <c r="AL1069" i="1"/>
  <c r="M1070" i="1"/>
  <c r="P1070" i="1"/>
  <c r="AL1070" i="1"/>
  <c r="M1071" i="1"/>
  <c r="P1071" i="1"/>
  <c r="AL1071" i="1"/>
  <c r="M1072" i="1"/>
  <c r="P1072" i="1"/>
  <c r="AL1072" i="1"/>
  <c r="M1073" i="1"/>
  <c r="P1073" i="1"/>
  <c r="AL1073" i="1"/>
  <c r="M1074" i="1"/>
  <c r="P1074" i="1"/>
  <c r="AL1074" i="1"/>
  <c r="M1075" i="1"/>
  <c r="P1075" i="1"/>
  <c r="AL1075" i="1"/>
  <c r="M1076" i="1"/>
  <c r="P1076" i="1"/>
  <c r="AL1076" i="1"/>
  <c r="M1077" i="1"/>
  <c r="P1077" i="1"/>
  <c r="AL1077" i="1"/>
  <c r="M1078" i="1"/>
  <c r="P1078" i="1"/>
  <c r="AL1078" i="1"/>
  <c r="M1079" i="1"/>
  <c r="P1079" i="1"/>
  <c r="AL1079" i="1"/>
  <c r="M1080" i="1"/>
  <c r="P1080" i="1"/>
  <c r="AL1080" i="1"/>
  <c r="M1081" i="1"/>
  <c r="P1081" i="1"/>
  <c r="AL1081" i="1"/>
  <c r="M1082" i="1"/>
  <c r="P1082" i="1"/>
  <c r="AL1082" i="1"/>
  <c r="M1083" i="1"/>
  <c r="P1083" i="1"/>
  <c r="AL1083" i="1"/>
  <c r="M1084" i="1"/>
  <c r="P1084" i="1"/>
  <c r="AL1084" i="1"/>
  <c r="M1085" i="1"/>
  <c r="P1085" i="1"/>
  <c r="AL1085" i="1"/>
  <c r="M1086" i="1"/>
  <c r="P1086" i="1"/>
  <c r="AL1086" i="1"/>
  <c r="M1087" i="1"/>
  <c r="P1087" i="1"/>
  <c r="AL1087" i="1"/>
  <c r="M1088" i="1"/>
  <c r="P1088" i="1"/>
  <c r="AL1088" i="1"/>
  <c r="M1089" i="1"/>
  <c r="P1089" i="1"/>
  <c r="AL1089" i="1"/>
  <c r="M1090" i="1"/>
  <c r="P1090" i="1"/>
  <c r="AL1090" i="1"/>
  <c r="M1091" i="1"/>
  <c r="P1091" i="1"/>
  <c r="AL1091" i="1"/>
  <c r="M1092" i="1"/>
  <c r="P1092" i="1"/>
  <c r="AL1092" i="1"/>
  <c r="M1093" i="1"/>
  <c r="P1093" i="1"/>
  <c r="AL1093" i="1"/>
  <c r="M1094" i="1"/>
  <c r="P1094" i="1"/>
  <c r="AL1094" i="1"/>
  <c r="M1095" i="1"/>
  <c r="P1095" i="1"/>
  <c r="AL1095" i="1"/>
  <c r="M1096" i="1"/>
  <c r="P1096" i="1"/>
  <c r="AL1096" i="1"/>
  <c r="M1097" i="1"/>
  <c r="P1097" i="1"/>
  <c r="AL1097" i="1"/>
  <c r="M1098" i="1"/>
  <c r="P1098" i="1"/>
  <c r="AL1098" i="1"/>
  <c r="M1099" i="1"/>
  <c r="P1099" i="1"/>
  <c r="AL1099" i="1"/>
  <c r="M1100" i="1"/>
  <c r="P1100" i="1"/>
  <c r="AL1100" i="1"/>
  <c r="M1101" i="1"/>
  <c r="P1101" i="1"/>
  <c r="AL1101" i="1"/>
  <c r="M1102" i="1"/>
  <c r="P1102" i="1"/>
  <c r="AL1102" i="1"/>
  <c r="M1103" i="1"/>
  <c r="P1103" i="1"/>
  <c r="AL1103" i="1"/>
  <c r="M1104" i="1"/>
  <c r="P1104" i="1"/>
  <c r="AL1104" i="1"/>
  <c r="M1105" i="1"/>
  <c r="P1105" i="1"/>
  <c r="AL1105" i="1"/>
  <c r="M1106" i="1"/>
  <c r="P1106" i="1"/>
  <c r="AL1106" i="1"/>
  <c r="M1107" i="1"/>
  <c r="P1107" i="1"/>
  <c r="AL1107" i="1"/>
  <c r="M1108" i="1"/>
  <c r="P1108" i="1"/>
  <c r="AL1108" i="1"/>
  <c r="M1109" i="1"/>
  <c r="P1109" i="1"/>
  <c r="AL1109" i="1"/>
  <c r="M1110" i="1"/>
  <c r="P1110" i="1"/>
  <c r="AL1110" i="1"/>
  <c r="M1111" i="1"/>
  <c r="P1111" i="1"/>
  <c r="AL1111" i="1"/>
  <c r="M1112" i="1"/>
  <c r="P1112" i="1"/>
  <c r="AL1112" i="1"/>
  <c r="M1113" i="1"/>
  <c r="P1113" i="1"/>
  <c r="AL1113" i="1"/>
  <c r="M1114" i="1"/>
  <c r="P1114" i="1"/>
  <c r="AL1114" i="1"/>
  <c r="M1115" i="1"/>
  <c r="P1115" i="1"/>
  <c r="AL1115" i="1"/>
  <c r="M1116" i="1"/>
  <c r="P1116" i="1"/>
  <c r="AL1116" i="1"/>
  <c r="M1117" i="1"/>
  <c r="P1117" i="1"/>
  <c r="AL1117" i="1"/>
  <c r="M1118" i="1"/>
  <c r="P1118" i="1"/>
  <c r="AL1118" i="1"/>
  <c r="M1119" i="1"/>
  <c r="P1119" i="1"/>
  <c r="AL1119" i="1"/>
  <c r="M1120" i="1"/>
  <c r="P1120" i="1"/>
  <c r="AL1120" i="1"/>
  <c r="M1121" i="1"/>
  <c r="P1121" i="1"/>
  <c r="AL1121" i="1"/>
  <c r="M1122" i="1"/>
  <c r="P1122" i="1"/>
  <c r="AL1122" i="1"/>
  <c r="M1123" i="1"/>
  <c r="P1123" i="1"/>
  <c r="AL1123" i="1"/>
  <c r="M1124" i="1"/>
  <c r="P1124" i="1"/>
  <c r="AL1124" i="1"/>
  <c r="M1125" i="1"/>
  <c r="P1125" i="1"/>
  <c r="AL1125" i="1"/>
  <c r="M1126" i="1"/>
  <c r="P1126" i="1"/>
  <c r="AL1126" i="1"/>
  <c r="M1127" i="1"/>
  <c r="P1127" i="1"/>
  <c r="AL1127" i="1"/>
  <c r="M1128" i="1"/>
  <c r="P1128" i="1"/>
  <c r="AL1128" i="1"/>
  <c r="M1129" i="1"/>
  <c r="P1129" i="1"/>
  <c r="AL1129" i="1"/>
  <c r="M1130" i="1"/>
  <c r="P1130" i="1"/>
  <c r="AL1130" i="1"/>
  <c r="M1131" i="1"/>
  <c r="P1131" i="1"/>
  <c r="AL1131" i="1"/>
  <c r="M1132" i="1"/>
  <c r="P1132" i="1"/>
  <c r="AL1132" i="1"/>
  <c r="M1133" i="1"/>
  <c r="P1133" i="1"/>
  <c r="AL1133" i="1"/>
  <c r="M1134" i="1"/>
  <c r="P1134" i="1"/>
  <c r="AL1134" i="1"/>
  <c r="M1135" i="1"/>
  <c r="P1135" i="1"/>
  <c r="AL1135" i="1"/>
  <c r="M1136" i="1"/>
  <c r="P1136" i="1"/>
  <c r="AL1136" i="1"/>
  <c r="M1137" i="1"/>
  <c r="P1137" i="1"/>
  <c r="AL1137" i="1"/>
  <c r="M1138" i="1"/>
  <c r="P1138" i="1"/>
  <c r="AL1138" i="1"/>
  <c r="M1139" i="1"/>
  <c r="P1139" i="1"/>
  <c r="AL1139" i="1"/>
  <c r="M1140" i="1"/>
  <c r="P1140" i="1"/>
  <c r="AL1140" i="1"/>
  <c r="M1141" i="1"/>
  <c r="P1141" i="1"/>
  <c r="AL1141" i="1"/>
  <c r="M1142" i="1"/>
  <c r="P1142" i="1"/>
  <c r="AL1142" i="1"/>
  <c r="M1143" i="1"/>
  <c r="P1143" i="1"/>
  <c r="AL1143" i="1"/>
  <c r="M1144" i="1"/>
  <c r="P1144" i="1"/>
  <c r="AL1144" i="1"/>
  <c r="M1145" i="1"/>
  <c r="P1145" i="1"/>
  <c r="AL1145" i="1"/>
  <c r="M1146" i="1"/>
  <c r="P1146" i="1"/>
  <c r="AL1146" i="1"/>
  <c r="M1147" i="1"/>
  <c r="P1147" i="1"/>
  <c r="AL1147" i="1"/>
  <c r="M1148" i="1"/>
  <c r="P1148" i="1"/>
  <c r="AL1148" i="1"/>
  <c r="M1149" i="1"/>
  <c r="P1149" i="1"/>
  <c r="AL1149" i="1"/>
  <c r="M1150" i="1"/>
  <c r="P1150" i="1"/>
  <c r="AL1150" i="1"/>
  <c r="M1151" i="1"/>
  <c r="P1151" i="1"/>
  <c r="AL1151" i="1"/>
  <c r="M1152" i="1"/>
  <c r="P1152" i="1"/>
  <c r="AL1152" i="1"/>
  <c r="M1153" i="1"/>
  <c r="P1153" i="1"/>
  <c r="AL1153" i="1"/>
  <c r="M1154" i="1"/>
  <c r="P1154" i="1"/>
  <c r="AL1154" i="1"/>
  <c r="M1155" i="1"/>
  <c r="P1155" i="1"/>
  <c r="AL1155" i="1"/>
  <c r="M1156" i="1"/>
  <c r="P1156" i="1"/>
  <c r="AL1156" i="1"/>
  <c r="M1157" i="1"/>
  <c r="P1157" i="1"/>
  <c r="AL1157" i="1"/>
  <c r="M1158" i="1"/>
  <c r="P1158" i="1"/>
  <c r="AL1158" i="1"/>
  <c r="M1159" i="1"/>
  <c r="P1159" i="1"/>
  <c r="AL1159" i="1"/>
  <c r="M1160" i="1"/>
  <c r="P1160" i="1"/>
  <c r="AL1160" i="1"/>
  <c r="M1161" i="1"/>
  <c r="P1161" i="1"/>
  <c r="AL1161" i="1"/>
  <c r="M1162" i="1"/>
  <c r="P1162" i="1"/>
  <c r="AL1162" i="1"/>
  <c r="M1163" i="1"/>
  <c r="P1163" i="1"/>
  <c r="AL1163" i="1"/>
  <c r="M1164" i="1"/>
  <c r="P1164" i="1"/>
  <c r="AL1164" i="1"/>
  <c r="M1165" i="1"/>
  <c r="P1165" i="1"/>
  <c r="AL1165" i="1"/>
  <c r="M1166" i="1"/>
  <c r="P1166" i="1"/>
  <c r="AL1166" i="1"/>
  <c r="M1167" i="1"/>
  <c r="P1167" i="1"/>
  <c r="AL1167" i="1"/>
  <c r="M1168" i="1"/>
  <c r="P1168" i="1"/>
  <c r="AL1168" i="1"/>
  <c r="M1169" i="1"/>
  <c r="P1169" i="1"/>
  <c r="AL1169" i="1"/>
  <c r="M1170" i="1"/>
  <c r="P1170" i="1"/>
  <c r="AL1170" i="1"/>
  <c r="M1171" i="1"/>
  <c r="P1171" i="1"/>
  <c r="AL1171" i="1"/>
  <c r="M1172" i="1"/>
  <c r="P1172" i="1"/>
  <c r="AL1172" i="1"/>
  <c r="M1173" i="1"/>
  <c r="P1173" i="1"/>
  <c r="AL1173" i="1"/>
  <c r="M1174" i="1"/>
  <c r="P1174" i="1"/>
  <c r="AL1174" i="1"/>
  <c r="M1175" i="1"/>
  <c r="P1175" i="1"/>
  <c r="AL1175" i="1"/>
  <c r="M1176" i="1"/>
  <c r="P1176" i="1"/>
  <c r="AL1176" i="1"/>
  <c r="M1177" i="1"/>
  <c r="P1177" i="1"/>
  <c r="AL1177" i="1"/>
  <c r="M1178" i="1"/>
  <c r="P1178" i="1"/>
  <c r="AL1178" i="1"/>
  <c r="M1179" i="1"/>
  <c r="P1179" i="1"/>
  <c r="AL1179" i="1"/>
  <c r="M1180" i="1"/>
  <c r="P1180" i="1"/>
  <c r="AL1180" i="1"/>
  <c r="M1181" i="1"/>
  <c r="P1181" i="1"/>
  <c r="AL1181" i="1"/>
  <c r="M1182" i="1"/>
  <c r="P1182" i="1"/>
  <c r="AL1182" i="1"/>
  <c r="M1183" i="1"/>
  <c r="P1183" i="1"/>
  <c r="AL1183" i="1"/>
  <c r="M1184" i="1"/>
  <c r="P1184" i="1"/>
  <c r="AL1184" i="1"/>
  <c r="M1185" i="1"/>
  <c r="P1185" i="1"/>
  <c r="AL1185" i="1"/>
  <c r="M1186" i="1"/>
  <c r="P1186" i="1"/>
  <c r="AL1186" i="1"/>
  <c r="M1187" i="1"/>
  <c r="P1187" i="1"/>
  <c r="AL1187" i="1"/>
  <c r="M1188" i="1"/>
  <c r="P1188" i="1"/>
  <c r="AL1188" i="1"/>
  <c r="M1189" i="1"/>
  <c r="P1189" i="1"/>
  <c r="AL1189" i="1"/>
  <c r="M1190" i="1"/>
  <c r="P1190" i="1"/>
  <c r="AL1190" i="1"/>
  <c r="M1191" i="1"/>
  <c r="P1191" i="1"/>
  <c r="AL1191" i="1"/>
  <c r="M1192" i="1"/>
  <c r="P1192" i="1"/>
  <c r="AL1192" i="1"/>
  <c r="M1193" i="1"/>
  <c r="P1193" i="1"/>
  <c r="AL1193" i="1"/>
  <c r="M1194" i="1"/>
  <c r="P1194" i="1"/>
  <c r="AL1194" i="1"/>
  <c r="M1195" i="1"/>
  <c r="P1195" i="1"/>
  <c r="AL1195" i="1"/>
  <c r="M1196" i="1"/>
  <c r="P1196" i="1"/>
  <c r="AL1196" i="1"/>
  <c r="M1197" i="1"/>
  <c r="P1197" i="1"/>
  <c r="AL1197" i="1"/>
  <c r="M1198" i="1"/>
  <c r="P1198" i="1"/>
  <c r="AL1198" i="1"/>
  <c r="M1199" i="1"/>
  <c r="P1199" i="1"/>
  <c r="AL1199" i="1"/>
  <c r="M1200" i="1"/>
  <c r="P1200" i="1"/>
  <c r="AL1200" i="1"/>
  <c r="M1201" i="1"/>
  <c r="P1201" i="1"/>
  <c r="AL1201" i="1"/>
  <c r="M1202" i="1"/>
  <c r="P1202" i="1"/>
  <c r="AL1202" i="1"/>
  <c r="M1203" i="1"/>
  <c r="P1203" i="1"/>
  <c r="AL1203" i="1"/>
  <c r="M1204" i="1"/>
  <c r="P1204" i="1"/>
  <c r="AL1204" i="1"/>
  <c r="M1205" i="1"/>
  <c r="P1205" i="1"/>
  <c r="AL1205" i="1"/>
  <c r="M1206" i="1"/>
  <c r="P1206" i="1"/>
  <c r="AL1206" i="1"/>
  <c r="M1207" i="1"/>
  <c r="P1207" i="1"/>
  <c r="AL1207" i="1"/>
  <c r="M1208" i="1"/>
  <c r="P1208" i="1"/>
  <c r="AL1208" i="1"/>
  <c r="M1209" i="1"/>
  <c r="P1209" i="1"/>
  <c r="AL1209" i="1"/>
  <c r="M1210" i="1"/>
  <c r="P1210" i="1"/>
  <c r="AL1210" i="1"/>
  <c r="M1211" i="1"/>
  <c r="P1211" i="1"/>
  <c r="AL1211" i="1"/>
  <c r="M1212" i="1"/>
  <c r="P1212" i="1"/>
  <c r="AL1212" i="1"/>
  <c r="M1213" i="1"/>
  <c r="P1213" i="1"/>
  <c r="AL1213" i="1"/>
  <c r="M1214" i="1"/>
  <c r="P1214" i="1"/>
  <c r="AL1214" i="1"/>
  <c r="M1215" i="1"/>
  <c r="P1215" i="1"/>
  <c r="AL1215" i="1"/>
  <c r="M1216" i="1"/>
  <c r="P1216" i="1"/>
  <c r="AL1216" i="1"/>
  <c r="M1217" i="1"/>
  <c r="P1217" i="1"/>
  <c r="AL1217" i="1"/>
  <c r="M1218" i="1"/>
  <c r="P1218" i="1"/>
  <c r="AL1218" i="1"/>
  <c r="M1219" i="1"/>
  <c r="P1219" i="1"/>
  <c r="AL1219" i="1"/>
  <c r="M1220" i="1"/>
  <c r="P1220" i="1"/>
  <c r="AL1220" i="1"/>
  <c r="M1221" i="1"/>
  <c r="P1221" i="1"/>
  <c r="AL1221" i="1"/>
  <c r="M1222" i="1"/>
  <c r="P1222" i="1"/>
  <c r="AL1222" i="1"/>
  <c r="M1223" i="1"/>
  <c r="P1223" i="1"/>
  <c r="AL1223" i="1"/>
  <c r="M1224" i="1"/>
  <c r="P1224" i="1"/>
  <c r="AL1224" i="1"/>
  <c r="M1225" i="1"/>
  <c r="P1225" i="1"/>
  <c r="AL1225" i="1"/>
  <c r="M1226" i="1"/>
  <c r="P1226" i="1"/>
  <c r="AL1226" i="1"/>
  <c r="M1227" i="1"/>
  <c r="P1227" i="1"/>
  <c r="AL1227" i="1"/>
  <c r="M1228" i="1"/>
  <c r="P1228" i="1"/>
  <c r="AL1228" i="1"/>
  <c r="M1229" i="1"/>
  <c r="P1229" i="1"/>
  <c r="AL1229" i="1"/>
  <c r="M1230" i="1"/>
  <c r="P1230" i="1"/>
  <c r="AL1230" i="1"/>
  <c r="M1231" i="1"/>
  <c r="P1231" i="1"/>
  <c r="AL1231" i="1"/>
  <c r="M1232" i="1"/>
  <c r="P1232" i="1"/>
  <c r="AL1232" i="1"/>
  <c r="M1233" i="1"/>
  <c r="P1233" i="1"/>
  <c r="AL1233" i="1"/>
  <c r="M1234" i="1"/>
  <c r="P1234" i="1"/>
  <c r="AL1234" i="1"/>
  <c r="M1235" i="1"/>
  <c r="P1235" i="1"/>
  <c r="AL1235" i="1"/>
  <c r="M1236" i="1"/>
  <c r="P1236" i="1"/>
  <c r="AL1236" i="1"/>
  <c r="M1237" i="1"/>
  <c r="P1237" i="1"/>
  <c r="AL1237" i="1"/>
  <c r="M1238" i="1"/>
  <c r="P1238" i="1"/>
  <c r="AL1238" i="1"/>
  <c r="M1239" i="1"/>
  <c r="P1239" i="1"/>
  <c r="AL1239" i="1"/>
  <c r="M1240" i="1"/>
  <c r="P1240" i="1"/>
  <c r="AL1240" i="1"/>
  <c r="M1241" i="1"/>
  <c r="P1241" i="1"/>
  <c r="AL1241" i="1"/>
  <c r="M1242" i="1"/>
  <c r="P1242" i="1"/>
  <c r="AL1242" i="1"/>
  <c r="M1243" i="1"/>
  <c r="P1243" i="1"/>
  <c r="AL1243" i="1"/>
  <c r="M1244" i="1"/>
  <c r="P1244" i="1"/>
  <c r="AL1244" i="1"/>
  <c r="M1245" i="1"/>
  <c r="P1245" i="1"/>
  <c r="AL1245" i="1"/>
  <c r="M1246" i="1"/>
  <c r="P1246" i="1"/>
  <c r="AL1246" i="1"/>
  <c r="M1247" i="1"/>
  <c r="P1247" i="1"/>
  <c r="AL1247" i="1"/>
  <c r="M1248" i="1"/>
  <c r="P1248" i="1"/>
  <c r="AL1248" i="1"/>
  <c r="M1249" i="1"/>
  <c r="P1249" i="1"/>
  <c r="AL1249" i="1"/>
  <c r="M1250" i="1"/>
  <c r="P1250" i="1"/>
  <c r="AL1250" i="1"/>
  <c r="M1251" i="1"/>
  <c r="P1251" i="1"/>
  <c r="AL1251" i="1"/>
  <c r="M1252" i="1"/>
  <c r="P1252" i="1"/>
  <c r="AL1252" i="1"/>
  <c r="M1253" i="1"/>
  <c r="P1253" i="1"/>
  <c r="AL1253" i="1"/>
  <c r="M1254" i="1"/>
  <c r="P1254" i="1"/>
  <c r="AL1254" i="1"/>
  <c r="M1255" i="1"/>
  <c r="P1255" i="1"/>
  <c r="AL1255" i="1"/>
  <c r="M1256" i="1"/>
  <c r="P1256" i="1"/>
  <c r="AL1256" i="1"/>
  <c r="M1257" i="1"/>
  <c r="P1257" i="1"/>
  <c r="AL1257" i="1"/>
  <c r="M1258" i="1"/>
  <c r="P1258" i="1"/>
  <c r="AL1258" i="1"/>
  <c r="M1259" i="1"/>
  <c r="P1259" i="1"/>
  <c r="AL1259" i="1"/>
  <c r="M1260" i="1"/>
  <c r="P1260" i="1"/>
  <c r="AL1260" i="1"/>
  <c r="M1261" i="1"/>
  <c r="P1261" i="1"/>
  <c r="AL1261" i="1"/>
  <c r="M1262" i="1"/>
  <c r="P1262" i="1"/>
  <c r="AL1262" i="1"/>
  <c r="M1263" i="1"/>
  <c r="P1263" i="1"/>
  <c r="AL1263" i="1"/>
  <c r="M1264" i="1"/>
  <c r="P1264" i="1"/>
  <c r="AL1264" i="1"/>
  <c r="M1265" i="1"/>
  <c r="P1265" i="1"/>
  <c r="AL1265" i="1"/>
  <c r="M1266" i="1"/>
  <c r="P1266" i="1"/>
  <c r="AL1266" i="1"/>
  <c r="M1267" i="1"/>
  <c r="P1267" i="1"/>
  <c r="AL1267" i="1"/>
  <c r="M1268" i="1"/>
  <c r="P1268" i="1"/>
  <c r="AL1268" i="1"/>
  <c r="M1269" i="1"/>
  <c r="P1269" i="1"/>
  <c r="AL1269" i="1"/>
  <c r="M1270" i="1"/>
  <c r="P1270" i="1"/>
  <c r="AL1270" i="1"/>
  <c r="M1271" i="1"/>
  <c r="P1271" i="1"/>
  <c r="AL1271" i="1"/>
  <c r="M1272" i="1"/>
  <c r="P1272" i="1"/>
  <c r="AL1272" i="1"/>
  <c r="M1273" i="1"/>
  <c r="P1273" i="1"/>
  <c r="AL1273" i="1"/>
  <c r="M1274" i="1"/>
  <c r="P1274" i="1"/>
  <c r="AL1274" i="1"/>
  <c r="M1275" i="1"/>
  <c r="P1275" i="1"/>
  <c r="AL1275" i="1"/>
  <c r="M1276" i="1"/>
  <c r="P1276" i="1"/>
  <c r="AL1276" i="1"/>
  <c r="M1277" i="1"/>
  <c r="P1277" i="1"/>
  <c r="AL1277" i="1"/>
  <c r="M1278" i="1"/>
  <c r="P1278" i="1"/>
  <c r="AL1278" i="1"/>
  <c r="M1279" i="1"/>
  <c r="P1279" i="1"/>
  <c r="AL1279" i="1"/>
  <c r="M1280" i="1"/>
  <c r="P1280" i="1"/>
  <c r="AL1280" i="1"/>
  <c r="M1281" i="1"/>
  <c r="P1281" i="1"/>
  <c r="AL1281" i="1"/>
  <c r="M1282" i="1"/>
  <c r="P1282" i="1"/>
  <c r="AL1282" i="1"/>
  <c r="M1283" i="1"/>
  <c r="P1283" i="1"/>
  <c r="AL1283" i="1"/>
  <c r="M1284" i="1"/>
  <c r="P1284" i="1"/>
  <c r="AL1284" i="1"/>
  <c r="M1285" i="1"/>
  <c r="P1285" i="1"/>
  <c r="AL1285" i="1"/>
  <c r="M1286" i="1"/>
  <c r="P1286" i="1"/>
  <c r="AL1286" i="1"/>
  <c r="M1287" i="1"/>
  <c r="P1287" i="1"/>
  <c r="AL1287" i="1"/>
  <c r="M1288" i="1"/>
  <c r="P1288" i="1"/>
  <c r="AL1288" i="1"/>
  <c r="M1289" i="1"/>
  <c r="P1289" i="1"/>
  <c r="AL1289" i="1"/>
  <c r="M1290" i="1"/>
  <c r="P1290" i="1"/>
  <c r="AL1290" i="1"/>
  <c r="M1291" i="1"/>
  <c r="P1291" i="1"/>
  <c r="AL1291" i="1"/>
  <c r="M1292" i="1"/>
  <c r="P1292" i="1"/>
  <c r="AL1292" i="1"/>
  <c r="M1293" i="1"/>
  <c r="P1293" i="1"/>
  <c r="AL1293" i="1"/>
  <c r="M1294" i="1"/>
  <c r="P1294" i="1"/>
  <c r="AL1294" i="1"/>
  <c r="M1295" i="1"/>
  <c r="P1295" i="1"/>
  <c r="AL1295" i="1"/>
  <c r="M1296" i="1"/>
  <c r="P1296" i="1"/>
  <c r="AL1296" i="1"/>
  <c r="M1297" i="1"/>
  <c r="P1297" i="1"/>
  <c r="AL1297" i="1"/>
  <c r="M1298" i="1"/>
  <c r="P1298" i="1"/>
  <c r="AL1298" i="1"/>
  <c r="M1299" i="1"/>
  <c r="P1299" i="1"/>
  <c r="AL1299" i="1"/>
  <c r="M1300" i="1"/>
  <c r="P1300" i="1"/>
  <c r="AL1300" i="1"/>
  <c r="M1301" i="1"/>
  <c r="P1301" i="1"/>
  <c r="AL1301" i="1"/>
  <c r="M1302" i="1"/>
  <c r="P1302" i="1"/>
  <c r="AL1302" i="1"/>
  <c r="M1303" i="1"/>
  <c r="P1303" i="1"/>
  <c r="AL1303" i="1"/>
  <c r="M1304" i="1"/>
  <c r="P1304" i="1"/>
  <c r="AL1304" i="1"/>
  <c r="M1305" i="1"/>
  <c r="P1305" i="1"/>
  <c r="AL1305" i="1"/>
  <c r="M1306" i="1"/>
  <c r="P1306" i="1"/>
  <c r="AL1306" i="1"/>
  <c r="M1307" i="1"/>
  <c r="P1307" i="1"/>
  <c r="AL1307" i="1"/>
  <c r="M1308" i="1"/>
  <c r="P1308" i="1"/>
  <c r="AL1308" i="1"/>
  <c r="M1309" i="1"/>
  <c r="P1309" i="1"/>
  <c r="AL1309" i="1"/>
  <c r="M1310" i="1"/>
  <c r="P1310" i="1"/>
  <c r="AL1310" i="1"/>
  <c r="M1311" i="1"/>
  <c r="P1311" i="1"/>
  <c r="AL1311" i="1"/>
  <c r="M1312" i="1"/>
  <c r="P1312" i="1"/>
  <c r="AL1312" i="1"/>
  <c r="M1313" i="1"/>
  <c r="P1313" i="1"/>
  <c r="AL1313" i="1"/>
  <c r="M1314" i="1"/>
  <c r="P1314" i="1"/>
  <c r="AL1314" i="1"/>
  <c r="M1315" i="1"/>
  <c r="P1315" i="1"/>
  <c r="AL1315" i="1"/>
  <c r="M1316" i="1"/>
  <c r="P1316" i="1"/>
  <c r="AL1316" i="1"/>
  <c r="M1317" i="1"/>
  <c r="P1317" i="1"/>
  <c r="AL1317" i="1"/>
  <c r="M1318" i="1"/>
  <c r="P1318" i="1"/>
  <c r="AL1318" i="1"/>
  <c r="M1319" i="1"/>
  <c r="P1319" i="1"/>
  <c r="AL1319" i="1"/>
  <c r="M1320" i="1"/>
  <c r="P1320" i="1"/>
  <c r="AL1320" i="1"/>
  <c r="M1321" i="1"/>
  <c r="P1321" i="1"/>
  <c r="AL1321" i="1"/>
  <c r="M1322" i="1"/>
  <c r="P1322" i="1"/>
  <c r="AL1322" i="1"/>
  <c r="M1323" i="1"/>
  <c r="P1323" i="1"/>
  <c r="AL1323" i="1"/>
  <c r="M1324" i="1"/>
  <c r="P1324" i="1"/>
  <c r="AL1324" i="1"/>
  <c r="M1325" i="1"/>
  <c r="P1325" i="1"/>
  <c r="AL1325" i="1"/>
  <c r="M1326" i="1"/>
  <c r="P1326" i="1"/>
  <c r="AL1326" i="1"/>
  <c r="M1327" i="1"/>
  <c r="P1327" i="1"/>
  <c r="AL1327" i="1"/>
  <c r="M1328" i="1"/>
  <c r="P1328" i="1"/>
  <c r="AL1328" i="1"/>
  <c r="M1329" i="1"/>
  <c r="P1329" i="1"/>
  <c r="AL1329" i="1"/>
  <c r="M1330" i="1"/>
  <c r="P1330" i="1"/>
  <c r="AL1330" i="1"/>
  <c r="M1331" i="1"/>
  <c r="P1331" i="1"/>
  <c r="AL1331" i="1"/>
  <c r="M1332" i="1"/>
  <c r="P1332" i="1"/>
  <c r="AL1332" i="1"/>
  <c r="M1333" i="1"/>
  <c r="P1333" i="1"/>
  <c r="AL1333" i="1"/>
  <c r="M1334" i="1"/>
  <c r="P1334" i="1"/>
  <c r="AL1334" i="1"/>
  <c r="M1335" i="1"/>
  <c r="P1335" i="1"/>
  <c r="AL1335" i="1"/>
  <c r="M1336" i="1"/>
  <c r="P1336" i="1"/>
  <c r="AL1336" i="1"/>
  <c r="M1337" i="1"/>
  <c r="P1337" i="1"/>
  <c r="AL1337" i="1"/>
  <c r="M1338" i="1"/>
  <c r="P1338" i="1"/>
  <c r="AL1338" i="1"/>
  <c r="M1339" i="1"/>
  <c r="P1339" i="1"/>
  <c r="AL1339" i="1"/>
  <c r="M1340" i="1"/>
  <c r="P1340" i="1"/>
  <c r="AL1340" i="1"/>
  <c r="M1341" i="1"/>
  <c r="P1341" i="1"/>
  <c r="AL1341" i="1"/>
  <c r="M1342" i="1"/>
  <c r="P1342" i="1"/>
  <c r="AL1342" i="1"/>
  <c r="M1343" i="1"/>
  <c r="P1343" i="1"/>
  <c r="AL1343" i="1"/>
  <c r="M1344" i="1"/>
  <c r="P1344" i="1"/>
  <c r="AL1344" i="1"/>
  <c r="M1345" i="1"/>
  <c r="P1345" i="1"/>
  <c r="AL1345" i="1"/>
  <c r="M1346" i="1"/>
  <c r="P1346" i="1"/>
  <c r="AL1346" i="1"/>
  <c r="M1347" i="1"/>
  <c r="P1347" i="1"/>
  <c r="AL1347" i="1"/>
  <c r="M1348" i="1"/>
  <c r="P1348" i="1"/>
  <c r="AL1348" i="1"/>
  <c r="M1349" i="1"/>
  <c r="P1349" i="1"/>
  <c r="AL1349" i="1"/>
  <c r="M1350" i="1"/>
  <c r="P1350" i="1"/>
  <c r="AL1350" i="1"/>
  <c r="M1351" i="1"/>
  <c r="P1351" i="1"/>
  <c r="AL1351" i="1"/>
  <c r="M1352" i="1"/>
  <c r="P1352" i="1"/>
  <c r="AL1352" i="1"/>
  <c r="M1353" i="1"/>
  <c r="P1353" i="1"/>
  <c r="AL1353" i="1"/>
  <c r="M1354" i="1"/>
  <c r="P1354" i="1"/>
  <c r="AL1354" i="1"/>
  <c r="M1355" i="1"/>
  <c r="P1355" i="1"/>
  <c r="AL1355" i="1"/>
  <c r="M1356" i="1"/>
  <c r="P1356" i="1"/>
  <c r="AL1356" i="1"/>
  <c r="M1357" i="1"/>
  <c r="P1357" i="1"/>
  <c r="AL1357" i="1"/>
  <c r="M1358" i="1"/>
  <c r="P1358" i="1"/>
  <c r="AL1358" i="1"/>
  <c r="M1359" i="1"/>
  <c r="P1359" i="1"/>
  <c r="AL1359" i="1"/>
  <c r="M1360" i="1"/>
  <c r="P1360" i="1"/>
  <c r="AL1360" i="1"/>
  <c r="M1361" i="1"/>
  <c r="P1361" i="1"/>
  <c r="AL1361" i="1"/>
  <c r="M1362" i="1"/>
  <c r="P1362" i="1"/>
  <c r="AL1362" i="1"/>
  <c r="M1363" i="1"/>
  <c r="P1363" i="1"/>
  <c r="AL1363" i="1"/>
  <c r="M1364" i="1"/>
  <c r="P1364" i="1"/>
  <c r="AL1364" i="1"/>
  <c r="M1365" i="1"/>
  <c r="P1365" i="1"/>
  <c r="AL1365" i="1"/>
  <c r="M1366" i="1"/>
  <c r="P1366" i="1"/>
  <c r="AL1366" i="1"/>
  <c r="M1367" i="1"/>
  <c r="P1367" i="1"/>
  <c r="AL1367" i="1"/>
  <c r="M1368" i="1"/>
  <c r="P1368" i="1"/>
  <c r="AL1368" i="1"/>
  <c r="M1369" i="1"/>
  <c r="P1369" i="1"/>
  <c r="AL1369" i="1"/>
  <c r="M1370" i="1"/>
  <c r="P1370" i="1"/>
  <c r="AL1370" i="1"/>
  <c r="M1371" i="1"/>
  <c r="P1371" i="1"/>
  <c r="AL1371" i="1"/>
  <c r="M1372" i="1"/>
  <c r="P1372" i="1"/>
  <c r="AL1372" i="1"/>
  <c r="M1373" i="1"/>
  <c r="P1373" i="1"/>
  <c r="AL1373" i="1"/>
  <c r="M1374" i="1"/>
  <c r="P1374" i="1"/>
  <c r="AL1374" i="1"/>
  <c r="M1375" i="1"/>
  <c r="P1375" i="1"/>
  <c r="AL1375" i="1"/>
  <c r="M1376" i="1"/>
  <c r="P1376" i="1"/>
  <c r="AL1376" i="1"/>
  <c r="M1377" i="1"/>
  <c r="P1377" i="1"/>
  <c r="AL1377" i="1"/>
  <c r="M1378" i="1"/>
  <c r="P1378" i="1"/>
  <c r="AL1378" i="1"/>
  <c r="M1379" i="1"/>
  <c r="P1379" i="1"/>
  <c r="AL1379" i="1"/>
  <c r="M1380" i="1"/>
  <c r="P1380" i="1"/>
  <c r="AL1380" i="1"/>
  <c r="M1381" i="1"/>
  <c r="P1381" i="1"/>
  <c r="AL1381" i="1"/>
  <c r="M1382" i="1"/>
  <c r="P1382" i="1"/>
  <c r="AL1382" i="1"/>
  <c r="M1383" i="1"/>
  <c r="P1383" i="1"/>
  <c r="AL1383" i="1"/>
  <c r="M1384" i="1"/>
  <c r="P1384" i="1"/>
  <c r="AL1384" i="1"/>
  <c r="M1385" i="1"/>
  <c r="P1385" i="1"/>
  <c r="AL1385" i="1"/>
  <c r="M1386" i="1"/>
  <c r="P1386" i="1"/>
  <c r="AL1386" i="1"/>
  <c r="M1387" i="1"/>
  <c r="P1387" i="1"/>
  <c r="AL1387" i="1"/>
  <c r="M1388" i="1"/>
  <c r="P1388" i="1"/>
  <c r="AL1388" i="1"/>
  <c r="M1389" i="1"/>
  <c r="P1389" i="1"/>
  <c r="AL1389" i="1"/>
  <c r="M1390" i="1"/>
  <c r="P1390" i="1"/>
  <c r="AL1390" i="1"/>
  <c r="M1391" i="1"/>
  <c r="P1391" i="1"/>
  <c r="AL1391" i="1"/>
  <c r="M1392" i="1"/>
  <c r="P1392" i="1"/>
  <c r="AL1392" i="1"/>
  <c r="M1393" i="1"/>
  <c r="P1393" i="1"/>
  <c r="AL1393" i="1"/>
  <c r="M1394" i="1"/>
  <c r="P1394" i="1"/>
  <c r="AL1394" i="1"/>
  <c r="M1395" i="1"/>
  <c r="P1395" i="1"/>
  <c r="AL1395" i="1"/>
  <c r="M1396" i="1"/>
  <c r="P1396" i="1"/>
  <c r="AL1396" i="1"/>
  <c r="M1397" i="1"/>
  <c r="P1397" i="1"/>
  <c r="AL1397" i="1"/>
  <c r="M1398" i="1"/>
  <c r="P1398" i="1"/>
  <c r="AL1398" i="1"/>
  <c r="M1399" i="1"/>
  <c r="P1399" i="1"/>
  <c r="AL1399" i="1"/>
  <c r="M1400" i="1"/>
  <c r="P1400" i="1"/>
  <c r="AL1400" i="1"/>
  <c r="M1401" i="1"/>
  <c r="P1401" i="1"/>
  <c r="AL1401" i="1"/>
  <c r="M1402" i="1"/>
  <c r="P1402" i="1"/>
  <c r="AL1402" i="1"/>
  <c r="M1403" i="1"/>
  <c r="P1403" i="1"/>
  <c r="AL1403" i="1"/>
  <c r="M1404" i="1"/>
  <c r="P1404" i="1"/>
  <c r="AL1404" i="1"/>
  <c r="M1405" i="1"/>
  <c r="P1405" i="1"/>
  <c r="AL1405" i="1"/>
  <c r="M1406" i="1"/>
  <c r="P1406" i="1"/>
  <c r="AL1406" i="1"/>
  <c r="M1407" i="1"/>
  <c r="P1407" i="1"/>
  <c r="AL1407" i="1"/>
  <c r="M1408" i="1"/>
  <c r="P1408" i="1"/>
  <c r="AL1408" i="1"/>
  <c r="M1409" i="1"/>
  <c r="P1409" i="1"/>
  <c r="AL1409" i="1"/>
  <c r="M1410" i="1"/>
  <c r="P1410" i="1"/>
  <c r="AL1410" i="1"/>
  <c r="M1411" i="1"/>
  <c r="P1411" i="1"/>
  <c r="AL1411" i="1"/>
  <c r="M1412" i="1"/>
  <c r="P1412" i="1"/>
  <c r="AL1412" i="1"/>
  <c r="M1413" i="1"/>
  <c r="P1413" i="1"/>
  <c r="AL1413" i="1"/>
  <c r="M1414" i="1"/>
  <c r="P1414" i="1"/>
  <c r="AL1414" i="1"/>
  <c r="M1415" i="1"/>
  <c r="P1415" i="1"/>
  <c r="AL1415" i="1"/>
  <c r="M1416" i="1"/>
  <c r="P1416" i="1"/>
  <c r="AL1416" i="1"/>
  <c r="M1417" i="1"/>
  <c r="P1417" i="1"/>
  <c r="AL1417" i="1"/>
  <c r="M1418" i="1"/>
  <c r="P1418" i="1"/>
  <c r="AL1418" i="1"/>
  <c r="M1419" i="1"/>
  <c r="P1419" i="1"/>
  <c r="AL1419" i="1"/>
  <c r="M1420" i="1"/>
  <c r="P1420" i="1"/>
  <c r="AL1420" i="1"/>
  <c r="M1421" i="1"/>
  <c r="P1421" i="1"/>
  <c r="AL1421" i="1"/>
  <c r="M1422" i="1"/>
  <c r="P1422" i="1"/>
  <c r="AL1422" i="1"/>
  <c r="M1423" i="1"/>
  <c r="P1423" i="1"/>
  <c r="AL1423" i="1"/>
  <c r="M1424" i="1"/>
  <c r="P1424" i="1"/>
  <c r="AL1424" i="1"/>
  <c r="M1425" i="1"/>
  <c r="P1425" i="1"/>
  <c r="AL1425" i="1"/>
  <c r="M1426" i="1"/>
  <c r="P1426" i="1"/>
  <c r="AL1426" i="1"/>
  <c r="M1427" i="1"/>
  <c r="P1427" i="1"/>
  <c r="AL1427" i="1"/>
  <c r="M1428" i="1"/>
  <c r="P1428" i="1"/>
  <c r="AL1428" i="1"/>
  <c r="M1429" i="1"/>
  <c r="P1429" i="1"/>
  <c r="AL1429" i="1"/>
  <c r="M1430" i="1"/>
  <c r="P1430" i="1"/>
  <c r="AL1430" i="1"/>
  <c r="M1431" i="1"/>
  <c r="P1431" i="1"/>
  <c r="AL1431" i="1"/>
  <c r="M1432" i="1"/>
  <c r="P1432" i="1"/>
  <c r="AL1432" i="1"/>
  <c r="M1433" i="1"/>
  <c r="P1433" i="1"/>
  <c r="AL1433" i="1"/>
  <c r="M1434" i="1"/>
  <c r="P1434" i="1"/>
  <c r="AL1434" i="1"/>
  <c r="M1435" i="1"/>
  <c r="P1435" i="1"/>
  <c r="AL1435" i="1"/>
  <c r="M1436" i="1"/>
  <c r="P1436" i="1"/>
  <c r="AL1436" i="1"/>
  <c r="M1437" i="1"/>
  <c r="P1437" i="1"/>
  <c r="AL1437" i="1"/>
  <c r="M1438" i="1"/>
  <c r="P1438" i="1"/>
  <c r="AL1438" i="1"/>
  <c r="M1439" i="1"/>
  <c r="P1439" i="1"/>
  <c r="AL1439" i="1"/>
  <c r="M1440" i="1"/>
  <c r="P1440" i="1"/>
  <c r="AL1440" i="1"/>
  <c r="M1441" i="1"/>
  <c r="P1441" i="1"/>
  <c r="AL1441" i="1"/>
  <c r="M1442" i="1"/>
  <c r="P1442" i="1"/>
  <c r="AL1442" i="1"/>
  <c r="M1443" i="1"/>
  <c r="P1443" i="1"/>
  <c r="AL1443" i="1"/>
  <c r="M1444" i="1"/>
  <c r="P1444" i="1"/>
  <c r="AL1444" i="1"/>
  <c r="M1445" i="1"/>
  <c r="P1445" i="1"/>
  <c r="AL1445" i="1"/>
  <c r="M1446" i="1"/>
  <c r="P1446" i="1"/>
  <c r="AL1446" i="1"/>
  <c r="M1447" i="1"/>
  <c r="P1447" i="1"/>
  <c r="AL1447" i="1"/>
  <c r="M1448" i="1"/>
  <c r="P1448" i="1"/>
  <c r="AL1448" i="1"/>
  <c r="M1449" i="1"/>
  <c r="P1449" i="1"/>
  <c r="AL1449" i="1"/>
  <c r="M1450" i="1"/>
  <c r="P1450" i="1"/>
  <c r="AL1450" i="1"/>
  <c r="M1451" i="1"/>
  <c r="P1451" i="1"/>
  <c r="AL1451" i="1"/>
  <c r="M1452" i="1"/>
  <c r="P1452" i="1"/>
  <c r="AL1452" i="1"/>
  <c r="M1453" i="1"/>
  <c r="P1453" i="1"/>
  <c r="AL1453" i="1"/>
  <c r="M1454" i="1"/>
  <c r="P1454" i="1"/>
  <c r="AL1454" i="1"/>
  <c r="M1455" i="1"/>
  <c r="P1455" i="1"/>
  <c r="AL1455" i="1"/>
  <c r="M1456" i="1"/>
  <c r="P1456" i="1"/>
  <c r="AL1456" i="1"/>
  <c r="M1457" i="1"/>
  <c r="P1457" i="1"/>
  <c r="AL1457" i="1"/>
  <c r="M1458" i="1"/>
  <c r="P1458" i="1"/>
  <c r="AL1458" i="1"/>
  <c r="M1459" i="1"/>
  <c r="P1459" i="1"/>
  <c r="AL1459" i="1"/>
  <c r="M1460" i="1"/>
  <c r="P1460" i="1"/>
  <c r="AL1460" i="1"/>
  <c r="M1461" i="1"/>
  <c r="P1461" i="1"/>
  <c r="AL1461" i="1"/>
  <c r="M1462" i="1"/>
  <c r="P1462" i="1"/>
  <c r="AL1462" i="1"/>
  <c r="M1463" i="1"/>
  <c r="P1463" i="1"/>
  <c r="AL1463" i="1"/>
  <c r="M1464" i="1"/>
  <c r="P1464" i="1"/>
  <c r="AL1464" i="1"/>
  <c r="M1465" i="1"/>
  <c r="P1465" i="1"/>
  <c r="AL1465" i="1"/>
  <c r="M1466" i="1"/>
  <c r="P1466" i="1"/>
  <c r="AL1466" i="1"/>
  <c r="M1467" i="1"/>
  <c r="P1467" i="1"/>
  <c r="AL1467" i="1"/>
  <c r="M1468" i="1"/>
  <c r="P1468" i="1"/>
  <c r="AL1468" i="1"/>
  <c r="M1469" i="1"/>
  <c r="P1469" i="1"/>
  <c r="AL1469" i="1"/>
  <c r="M1470" i="1"/>
  <c r="P1470" i="1"/>
  <c r="AL1470" i="1"/>
  <c r="M1471" i="1"/>
  <c r="P1471" i="1"/>
  <c r="AL1471" i="1"/>
  <c r="M1472" i="1"/>
  <c r="P1472" i="1"/>
  <c r="AL1472" i="1"/>
  <c r="M1473" i="1"/>
  <c r="P1473" i="1"/>
  <c r="AL1473" i="1"/>
  <c r="M1474" i="1"/>
  <c r="P1474" i="1"/>
  <c r="AL1474" i="1"/>
  <c r="M1475" i="1"/>
  <c r="P1475" i="1"/>
  <c r="AL1475" i="1"/>
  <c r="M1476" i="1"/>
  <c r="P1476" i="1"/>
  <c r="AL1476" i="1"/>
  <c r="M1477" i="1"/>
  <c r="P1477" i="1"/>
  <c r="AL1477" i="1"/>
  <c r="M1478" i="1"/>
  <c r="P1478" i="1"/>
  <c r="AL1478" i="1"/>
  <c r="M1479" i="1"/>
  <c r="P1479" i="1"/>
  <c r="AL1479" i="1"/>
  <c r="M1480" i="1"/>
  <c r="P1480" i="1"/>
  <c r="AL1480" i="1"/>
  <c r="M1481" i="1"/>
  <c r="P1481" i="1"/>
  <c r="AL1481" i="1"/>
  <c r="M1482" i="1"/>
  <c r="P1482" i="1"/>
  <c r="AL1482" i="1"/>
  <c r="M1483" i="1"/>
  <c r="P1483" i="1"/>
  <c r="AL1483" i="1"/>
  <c r="M1484" i="1"/>
  <c r="P1484" i="1"/>
  <c r="AL1484" i="1"/>
  <c r="M1485" i="1"/>
  <c r="P1485" i="1"/>
  <c r="AL1485" i="1"/>
  <c r="M1486" i="1"/>
  <c r="P1486" i="1"/>
  <c r="AL1486" i="1"/>
  <c r="M1487" i="1"/>
  <c r="P1487" i="1"/>
  <c r="AL1487" i="1"/>
  <c r="M1488" i="1"/>
  <c r="P1488" i="1"/>
  <c r="AL1488" i="1"/>
  <c r="M1489" i="1"/>
  <c r="P1489" i="1"/>
  <c r="AL1489" i="1"/>
  <c r="M1490" i="1"/>
  <c r="P1490" i="1"/>
  <c r="AL1490" i="1"/>
  <c r="M1491" i="1"/>
  <c r="P1491" i="1"/>
  <c r="AL1491" i="1"/>
  <c r="M1492" i="1"/>
  <c r="P1492" i="1"/>
  <c r="AL1492" i="1"/>
  <c r="M1493" i="1"/>
  <c r="P1493" i="1"/>
  <c r="AL1493" i="1"/>
  <c r="M1494" i="1"/>
  <c r="P1494" i="1"/>
  <c r="AL1494" i="1"/>
  <c r="M1495" i="1"/>
  <c r="P1495" i="1"/>
  <c r="AL1495" i="1"/>
  <c r="M1496" i="1"/>
  <c r="P1496" i="1"/>
  <c r="AL1496" i="1"/>
  <c r="M1497" i="1"/>
  <c r="P1497" i="1"/>
  <c r="AL1497" i="1"/>
  <c r="M1498" i="1"/>
  <c r="P1498" i="1"/>
  <c r="AL1498" i="1"/>
  <c r="M1499" i="1"/>
  <c r="P1499" i="1"/>
  <c r="AL1499" i="1"/>
  <c r="M1500" i="1"/>
  <c r="P1500" i="1"/>
  <c r="AL1500" i="1"/>
  <c r="M1501" i="1"/>
  <c r="P1501" i="1"/>
  <c r="AL1501" i="1"/>
  <c r="M1502" i="1"/>
  <c r="P1502" i="1"/>
  <c r="AL1502" i="1"/>
  <c r="M1503" i="1"/>
  <c r="P1503" i="1"/>
  <c r="AL1503" i="1"/>
  <c r="M1504" i="1"/>
  <c r="P1504" i="1"/>
  <c r="AL1504" i="1"/>
  <c r="M1505" i="1"/>
  <c r="P1505" i="1"/>
  <c r="AL1505" i="1"/>
  <c r="M1506" i="1"/>
  <c r="P1506" i="1"/>
  <c r="AL1506" i="1"/>
  <c r="M1507" i="1"/>
  <c r="P1507" i="1"/>
  <c r="AL1507" i="1"/>
  <c r="M1508" i="1"/>
  <c r="P1508" i="1"/>
  <c r="AL1508" i="1"/>
  <c r="M1509" i="1"/>
  <c r="P1509" i="1"/>
  <c r="AL1509" i="1"/>
  <c r="M1510" i="1"/>
  <c r="P1510" i="1"/>
  <c r="AL1510" i="1"/>
  <c r="M1511" i="1"/>
  <c r="P1511" i="1"/>
  <c r="AL1511" i="1"/>
  <c r="M1512" i="1"/>
  <c r="P1512" i="1"/>
  <c r="AL1512" i="1"/>
  <c r="M1513" i="1"/>
  <c r="P1513" i="1"/>
  <c r="AL1513" i="1"/>
  <c r="M1514" i="1"/>
  <c r="P1514" i="1"/>
  <c r="AL1514" i="1"/>
  <c r="M1515" i="1"/>
  <c r="P1515" i="1"/>
  <c r="AL1515" i="1"/>
  <c r="M1516" i="1"/>
  <c r="P1516" i="1"/>
  <c r="AL1516" i="1"/>
  <c r="M1517" i="1"/>
  <c r="P1517" i="1"/>
  <c r="AL1517" i="1"/>
  <c r="M1518" i="1"/>
  <c r="P1518" i="1"/>
  <c r="AL1518" i="1"/>
  <c r="M1519" i="1"/>
  <c r="P1519" i="1"/>
  <c r="AL1519" i="1"/>
  <c r="M1520" i="1"/>
  <c r="P1520" i="1"/>
  <c r="AL1520" i="1"/>
  <c r="M1521" i="1"/>
  <c r="P1521" i="1"/>
  <c r="AL1521" i="1"/>
  <c r="M1522" i="1"/>
  <c r="P1522" i="1"/>
  <c r="AL1522" i="1"/>
  <c r="M1523" i="1"/>
  <c r="P1523" i="1"/>
  <c r="AL1523" i="1"/>
  <c r="M1524" i="1"/>
  <c r="P1524" i="1"/>
  <c r="AL1524" i="1"/>
  <c r="M1525" i="1"/>
  <c r="P1525" i="1"/>
  <c r="AL1525" i="1"/>
  <c r="M1526" i="1"/>
  <c r="P1526" i="1"/>
  <c r="AL1526" i="1"/>
  <c r="M1527" i="1"/>
  <c r="P1527" i="1"/>
  <c r="AL1527" i="1"/>
  <c r="M1528" i="1"/>
  <c r="P1528" i="1"/>
  <c r="AL1528" i="1"/>
  <c r="M1529" i="1"/>
  <c r="P1529" i="1"/>
  <c r="AL1529" i="1"/>
  <c r="M1530" i="1"/>
  <c r="P1530" i="1"/>
  <c r="AL1530" i="1"/>
  <c r="M1531" i="1"/>
  <c r="P1531" i="1"/>
  <c r="AL1531" i="1"/>
  <c r="M1532" i="1"/>
  <c r="P1532" i="1"/>
  <c r="AL1532" i="1"/>
  <c r="M1533" i="1"/>
  <c r="P1533" i="1"/>
  <c r="AL1533" i="1"/>
  <c r="M1534" i="1"/>
  <c r="P1534" i="1"/>
  <c r="AL1534" i="1"/>
  <c r="M1535" i="1"/>
  <c r="P1535" i="1"/>
  <c r="AL1535" i="1"/>
  <c r="M1536" i="1"/>
  <c r="P1536" i="1"/>
  <c r="AL1536" i="1"/>
  <c r="M1537" i="1"/>
  <c r="P1537" i="1"/>
  <c r="AL1537" i="1"/>
  <c r="M1538" i="1"/>
  <c r="P1538" i="1"/>
  <c r="AL1538" i="1"/>
  <c r="M1539" i="1"/>
  <c r="P1539" i="1"/>
  <c r="AL1539" i="1"/>
  <c r="M1540" i="1"/>
  <c r="P1540" i="1"/>
  <c r="AL1540" i="1"/>
  <c r="M1541" i="1"/>
  <c r="P1541" i="1"/>
  <c r="AL1541" i="1"/>
  <c r="M1542" i="1"/>
  <c r="P1542" i="1"/>
  <c r="AL1542" i="1"/>
  <c r="M1543" i="1"/>
  <c r="P1543" i="1"/>
  <c r="AL1543" i="1"/>
  <c r="M1544" i="1"/>
  <c r="P1544" i="1"/>
  <c r="AL1544" i="1"/>
  <c r="M1545" i="1"/>
  <c r="P1545" i="1"/>
  <c r="AL1545" i="1"/>
  <c r="M1546" i="1"/>
  <c r="P1546" i="1"/>
  <c r="AL1546" i="1"/>
  <c r="M1547" i="1"/>
  <c r="P1547" i="1"/>
  <c r="AL1547" i="1"/>
  <c r="M1548" i="1"/>
  <c r="P1548" i="1"/>
  <c r="AL1548" i="1"/>
  <c r="M1549" i="1"/>
  <c r="P1549" i="1"/>
  <c r="AL1549" i="1"/>
  <c r="M1550" i="1"/>
  <c r="P1550" i="1"/>
  <c r="AL1550" i="1"/>
  <c r="M1551" i="1"/>
  <c r="P1551" i="1"/>
  <c r="AL1551" i="1"/>
  <c r="M1552" i="1"/>
  <c r="P1552" i="1"/>
  <c r="AL1552" i="1"/>
  <c r="M1553" i="1"/>
  <c r="P1553" i="1"/>
  <c r="AL1553" i="1"/>
  <c r="M1554" i="1"/>
  <c r="P1554" i="1"/>
  <c r="AL1554" i="1"/>
  <c r="M1555" i="1"/>
  <c r="P1555" i="1"/>
  <c r="AL1555" i="1"/>
  <c r="M1556" i="1"/>
  <c r="P1556" i="1"/>
  <c r="AL1556" i="1"/>
  <c r="M1557" i="1"/>
  <c r="P1557" i="1"/>
  <c r="AL1557" i="1"/>
  <c r="M1558" i="1"/>
  <c r="P1558" i="1"/>
  <c r="AL1558" i="1"/>
  <c r="M1559" i="1"/>
  <c r="P1559" i="1"/>
  <c r="AL1559" i="1"/>
  <c r="M1560" i="1"/>
  <c r="P1560" i="1"/>
  <c r="AL1560" i="1"/>
  <c r="M1561" i="1"/>
  <c r="P1561" i="1"/>
  <c r="AL1561" i="1"/>
  <c r="M1562" i="1"/>
  <c r="P1562" i="1"/>
  <c r="AL1562" i="1"/>
  <c r="M1563" i="1"/>
  <c r="P1563" i="1"/>
  <c r="AL1563" i="1"/>
  <c r="M1564" i="1"/>
  <c r="P1564" i="1"/>
  <c r="AL1564" i="1"/>
  <c r="M1565" i="1"/>
  <c r="P1565" i="1"/>
  <c r="AL1565" i="1"/>
  <c r="M1566" i="1"/>
  <c r="P1566" i="1"/>
  <c r="AL1566" i="1"/>
  <c r="M1567" i="1"/>
  <c r="P1567" i="1"/>
  <c r="AL1567" i="1"/>
  <c r="M1568" i="1"/>
  <c r="P1568" i="1"/>
  <c r="AL1568" i="1"/>
  <c r="M1569" i="1"/>
  <c r="P1569" i="1"/>
  <c r="AL1569" i="1"/>
  <c r="M1570" i="1"/>
  <c r="P1570" i="1"/>
  <c r="AL1570" i="1"/>
  <c r="M1571" i="1"/>
  <c r="P1571" i="1"/>
  <c r="AL1571" i="1"/>
  <c r="M1572" i="1"/>
  <c r="P1572" i="1"/>
  <c r="AL1572" i="1"/>
  <c r="M1573" i="1"/>
  <c r="P1573" i="1"/>
  <c r="AL1573" i="1"/>
  <c r="M1574" i="1"/>
  <c r="P1574" i="1"/>
  <c r="AL1574" i="1"/>
  <c r="M1575" i="1"/>
  <c r="P1575" i="1"/>
  <c r="AL1575" i="1"/>
  <c r="M1576" i="1"/>
  <c r="P1576" i="1"/>
  <c r="AL1576" i="1"/>
  <c r="M1577" i="1"/>
  <c r="P1577" i="1"/>
  <c r="AL1577" i="1"/>
  <c r="M1578" i="1"/>
  <c r="P1578" i="1"/>
  <c r="AL1578" i="1"/>
  <c r="M1579" i="1"/>
  <c r="P1579" i="1"/>
  <c r="AL1579" i="1"/>
  <c r="M1580" i="1"/>
  <c r="P1580" i="1"/>
  <c r="AL1580" i="1"/>
  <c r="M1581" i="1"/>
  <c r="P1581" i="1"/>
  <c r="AL1581" i="1"/>
  <c r="M1582" i="1"/>
  <c r="P1582" i="1"/>
  <c r="AL1582" i="1"/>
  <c r="M1583" i="1"/>
  <c r="P1583" i="1"/>
  <c r="AL1583" i="1"/>
  <c r="M1584" i="1"/>
  <c r="P1584" i="1"/>
  <c r="AL1584" i="1"/>
  <c r="M1585" i="1"/>
  <c r="P1585" i="1"/>
  <c r="AL1585" i="1"/>
  <c r="M1586" i="1"/>
  <c r="P1586" i="1"/>
  <c r="AL1586" i="1"/>
  <c r="M1587" i="1"/>
  <c r="P1587" i="1"/>
  <c r="AL1587" i="1"/>
  <c r="M1588" i="1"/>
  <c r="P1588" i="1"/>
  <c r="AL1588" i="1"/>
  <c r="M1589" i="1"/>
  <c r="P1589" i="1"/>
  <c r="AL1589" i="1"/>
  <c r="M1590" i="1"/>
  <c r="P1590" i="1"/>
  <c r="AL1590" i="1"/>
  <c r="M1591" i="1"/>
  <c r="P1591" i="1"/>
  <c r="AL1591" i="1"/>
  <c r="M1592" i="1"/>
  <c r="P1592" i="1"/>
  <c r="AL1592" i="1"/>
  <c r="M1593" i="1"/>
  <c r="P1593" i="1"/>
  <c r="AL1593" i="1"/>
  <c r="M1594" i="1"/>
  <c r="P1594" i="1"/>
  <c r="AL1594" i="1"/>
  <c r="M1595" i="1"/>
  <c r="P1595" i="1"/>
  <c r="AL1595" i="1"/>
  <c r="M1596" i="1"/>
  <c r="P1596" i="1"/>
  <c r="AL1596" i="1"/>
  <c r="M1597" i="1"/>
  <c r="P1597" i="1"/>
  <c r="AL1597" i="1"/>
  <c r="M1598" i="1"/>
  <c r="P1598" i="1"/>
  <c r="AL1598" i="1"/>
  <c r="M1599" i="1"/>
  <c r="P1599" i="1"/>
  <c r="AL1599" i="1"/>
  <c r="M1600" i="1"/>
  <c r="P1600" i="1"/>
  <c r="AL1600" i="1"/>
  <c r="M1601" i="1"/>
  <c r="P1601" i="1"/>
  <c r="AL1601" i="1"/>
  <c r="M1602" i="1"/>
  <c r="P1602" i="1"/>
  <c r="AL1602" i="1"/>
  <c r="M1603" i="1"/>
  <c r="P1603" i="1"/>
  <c r="AL1603" i="1"/>
  <c r="M1604" i="1"/>
  <c r="P1604" i="1"/>
  <c r="AL1604" i="1"/>
  <c r="M1605" i="1"/>
  <c r="P1605" i="1"/>
  <c r="AL1605" i="1"/>
  <c r="M1606" i="1"/>
  <c r="P1606" i="1"/>
  <c r="AL1606" i="1"/>
  <c r="M1607" i="1"/>
  <c r="P1607" i="1"/>
  <c r="AL1607" i="1"/>
  <c r="M1608" i="1"/>
  <c r="P1608" i="1"/>
  <c r="AL1608" i="1"/>
  <c r="M1609" i="1"/>
  <c r="P1609" i="1"/>
  <c r="AL1609" i="1"/>
  <c r="M1610" i="1"/>
  <c r="P1610" i="1"/>
  <c r="AL1610" i="1"/>
  <c r="M1611" i="1"/>
  <c r="P1611" i="1"/>
  <c r="AL1611" i="1"/>
  <c r="M1612" i="1"/>
  <c r="P1612" i="1"/>
  <c r="AL1612" i="1"/>
  <c r="M1613" i="1"/>
  <c r="P1613" i="1"/>
  <c r="AL1613" i="1"/>
  <c r="M1614" i="1"/>
  <c r="P1614" i="1"/>
  <c r="AL1614" i="1"/>
  <c r="M1615" i="1"/>
  <c r="P1615" i="1"/>
  <c r="AL1615" i="1"/>
  <c r="M1616" i="1"/>
  <c r="P1616" i="1"/>
  <c r="AL1616" i="1"/>
  <c r="M1617" i="1"/>
  <c r="P1617" i="1"/>
  <c r="AL1617" i="1"/>
  <c r="M1618" i="1"/>
  <c r="P1618" i="1"/>
  <c r="AL1618" i="1"/>
  <c r="M1619" i="1"/>
  <c r="P1619" i="1"/>
  <c r="AL1619" i="1"/>
  <c r="M1620" i="1"/>
  <c r="P1620" i="1"/>
  <c r="AL1620" i="1"/>
  <c r="M1621" i="1"/>
  <c r="P1621" i="1"/>
  <c r="AL1621" i="1"/>
  <c r="M1622" i="1"/>
  <c r="P1622" i="1"/>
  <c r="AL1622" i="1"/>
  <c r="M1623" i="1"/>
  <c r="P1623" i="1"/>
  <c r="AL1623" i="1"/>
  <c r="M1624" i="1"/>
  <c r="P1624" i="1"/>
  <c r="AL1624" i="1"/>
  <c r="M1625" i="1"/>
  <c r="P1625" i="1"/>
  <c r="AL1625" i="1"/>
  <c r="M1626" i="1"/>
  <c r="P1626" i="1"/>
  <c r="AL1626" i="1"/>
  <c r="M1627" i="1"/>
  <c r="P1627" i="1"/>
  <c r="AL1627" i="1"/>
  <c r="M1628" i="1"/>
  <c r="P1628" i="1"/>
  <c r="AL1628" i="1"/>
  <c r="M1629" i="1"/>
  <c r="P1629" i="1"/>
  <c r="AL1629" i="1"/>
  <c r="M1630" i="1"/>
  <c r="P1630" i="1"/>
  <c r="AL1630" i="1"/>
  <c r="M1631" i="1"/>
  <c r="P1631" i="1"/>
  <c r="AL1631" i="1"/>
  <c r="M1632" i="1"/>
  <c r="P1632" i="1"/>
  <c r="AL1632" i="1"/>
  <c r="M1633" i="1"/>
  <c r="P1633" i="1"/>
  <c r="AL1633" i="1"/>
  <c r="M1634" i="1"/>
  <c r="P1634" i="1"/>
  <c r="AL1634" i="1"/>
  <c r="M1635" i="1"/>
  <c r="P1635" i="1"/>
  <c r="AL1635" i="1"/>
  <c r="M1636" i="1"/>
  <c r="P1636" i="1"/>
  <c r="AL1636" i="1"/>
  <c r="M1637" i="1"/>
  <c r="P1637" i="1"/>
  <c r="AL1637" i="1"/>
  <c r="M1638" i="1"/>
  <c r="P1638" i="1"/>
  <c r="AL1638" i="1"/>
  <c r="M1639" i="1"/>
  <c r="P1639" i="1"/>
  <c r="AL1639" i="1"/>
  <c r="M1640" i="1"/>
  <c r="P1640" i="1"/>
  <c r="AL1640" i="1"/>
  <c r="M1641" i="1"/>
  <c r="P1641" i="1"/>
  <c r="AL1641" i="1"/>
  <c r="M1642" i="1"/>
  <c r="P1642" i="1"/>
  <c r="AL1642" i="1"/>
  <c r="M1643" i="1"/>
  <c r="P1643" i="1"/>
  <c r="AL1643" i="1"/>
  <c r="M1644" i="1"/>
  <c r="P1644" i="1"/>
  <c r="AL1644" i="1"/>
  <c r="M1645" i="1"/>
  <c r="P1645" i="1"/>
  <c r="AL1645" i="1"/>
  <c r="M1646" i="1"/>
  <c r="P1646" i="1"/>
  <c r="AL1646" i="1"/>
  <c r="M1647" i="1"/>
  <c r="P1647" i="1"/>
  <c r="AL1647" i="1"/>
  <c r="M1648" i="1"/>
  <c r="P1648" i="1"/>
  <c r="AL1648" i="1"/>
  <c r="M1649" i="1"/>
  <c r="P1649" i="1"/>
  <c r="AL1649" i="1"/>
  <c r="M1650" i="1"/>
  <c r="P1650" i="1"/>
  <c r="AL1650" i="1"/>
  <c r="M1651" i="1"/>
  <c r="P1651" i="1"/>
  <c r="AL1651" i="1"/>
  <c r="M1652" i="1"/>
  <c r="P1652" i="1"/>
  <c r="AL1652" i="1"/>
  <c r="M1653" i="1"/>
  <c r="P1653" i="1"/>
  <c r="AL1653" i="1"/>
  <c r="M1654" i="1"/>
  <c r="P1654" i="1"/>
  <c r="AL1654" i="1"/>
  <c r="M1655" i="1"/>
  <c r="P1655" i="1"/>
  <c r="AL1655" i="1"/>
  <c r="M1656" i="1"/>
  <c r="P1656" i="1"/>
  <c r="AL1656" i="1"/>
  <c r="M1657" i="1"/>
  <c r="P1657" i="1"/>
  <c r="AL1657" i="1"/>
  <c r="M1658" i="1"/>
  <c r="P1658" i="1"/>
  <c r="AL1658" i="1"/>
  <c r="M1659" i="1"/>
  <c r="P1659" i="1"/>
  <c r="AL1659" i="1"/>
  <c r="M1660" i="1"/>
  <c r="P1660" i="1"/>
  <c r="AL1660" i="1"/>
  <c r="M1661" i="1"/>
  <c r="P1661" i="1"/>
  <c r="AL1661" i="1"/>
  <c r="M1662" i="1"/>
  <c r="P1662" i="1"/>
  <c r="AL1662" i="1"/>
  <c r="M1663" i="1"/>
  <c r="P1663" i="1"/>
  <c r="AL1663" i="1"/>
  <c r="M1664" i="1"/>
  <c r="P1664" i="1"/>
  <c r="AL1664" i="1"/>
  <c r="M1665" i="1"/>
  <c r="P1665" i="1"/>
  <c r="AL1665" i="1"/>
  <c r="M1666" i="1"/>
  <c r="P1666" i="1"/>
  <c r="AL1666" i="1"/>
  <c r="M1667" i="1"/>
  <c r="P1667" i="1"/>
  <c r="AL1667" i="1"/>
  <c r="M1668" i="1"/>
  <c r="P1668" i="1"/>
  <c r="AL1668" i="1"/>
  <c r="M1669" i="1"/>
  <c r="P1669" i="1"/>
  <c r="AL1669" i="1"/>
  <c r="M1670" i="1"/>
  <c r="P1670" i="1"/>
  <c r="AL1670" i="1"/>
  <c r="M1671" i="1"/>
  <c r="P1671" i="1"/>
  <c r="AL1671" i="1"/>
  <c r="M1672" i="1"/>
  <c r="P1672" i="1"/>
  <c r="AL1672" i="1"/>
  <c r="M1673" i="1"/>
  <c r="P1673" i="1"/>
  <c r="AL1673" i="1"/>
  <c r="M1674" i="1"/>
  <c r="P1674" i="1"/>
  <c r="AL1674" i="1"/>
  <c r="M1675" i="1"/>
  <c r="P1675" i="1"/>
  <c r="AL1675" i="1"/>
  <c r="M1676" i="1"/>
  <c r="P1676" i="1"/>
  <c r="AL1676" i="1"/>
  <c r="M1677" i="1"/>
  <c r="P1677" i="1"/>
  <c r="AL1677" i="1"/>
  <c r="M1678" i="1"/>
  <c r="P1678" i="1"/>
  <c r="AL1678" i="1"/>
  <c r="M1679" i="1"/>
  <c r="P1679" i="1"/>
  <c r="AL1679" i="1"/>
  <c r="M1680" i="1"/>
  <c r="P1680" i="1"/>
  <c r="AL1680" i="1"/>
  <c r="M1681" i="1"/>
  <c r="P1681" i="1"/>
  <c r="AL1681" i="1"/>
  <c r="M1682" i="1"/>
  <c r="P1682" i="1"/>
  <c r="AL1682" i="1"/>
  <c r="M1683" i="1"/>
  <c r="P1683" i="1"/>
  <c r="AL1683" i="1"/>
  <c r="M1684" i="1"/>
  <c r="P1684" i="1"/>
  <c r="AL1684" i="1"/>
  <c r="M1685" i="1"/>
  <c r="P1685" i="1"/>
  <c r="AL1685" i="1"/>
  <c r="M1686" i="1"/>
  <c r="P1686" i="1"/>
  <c r="AL1686" i="1"/>
  <c r="M1687" i="1"/>
  <c r="P1687" i="1"/>
  <c r="AL1687" i="1"/>
  <c r="M1688" i="1"/>
  <c r="P1688" i="1"/>
  <c r="AL1688" i="1"/>
  <c r="M1689" i="1"/>
  <c r="P1689" i="1"/>
  <c r="AL1689" i="1"/>
  <c r="M1690" i="1"/>
  <c r="P1690" i="1"/>
  <c r="AL1690" i="1"/>
  <c r="M1691" i="1"/>
  <c r="P1691" i="1"/>
  <c r="AL1691" i="1"/>
  <c r="M1692" i="1"/>
  <c r="P1692" i="1"/>
  <c r="AL1692" i="1"/>
  <c r="M1693" i="1"/>
  <c r="P1693" i="1"/>
  <c r="AL1693" i="1"/>
  <c r="M1694" i="1"/>
  <c r="P1694" i="1"/>
  <c r="AL1694" i="1"/>
  <c r="M1695" i="1"/>
  <c r="P1695" i="1"/>
  <c r="AL1695" i="1"/>
  <c r="M1696" i="1"/>
  <c r="P1696" i="1"/>
  <c r="AL1696" i="1"/>
  <c r="M1697" i="1"/>
  <c r="P1697" i="1"/>
  <c r="AL1697" i="1"/>
  <c r="M1698" i="1"/>
  <c r="P1698" i="1"/>
  <c r="AL1698" i="1"/>
  <c r="M1699" i="1"/>
  <c r="P1699" i="1"/>
  <c r="AL1699" i="1"/>
  <c r="M1700" i="1"/>
  <c r="P1700" i="1"/>
  <c r="AL1700" i="1"/>
  <c r="M1701" i="1"/>
  <c r="P1701" i="1"/>
  <c r="AL1701" i="1"/>
  <c r="M1702" i="1"/>
  <c r="P1702" i="1"/>
  <c r="AL1702" i="1"/>
  <c r="M1703" i="1"/>
  <c r="P1703" i="1"/>
  <c r="AL1703" i="1"/>
  <c r="M1704" i="1"/>
  <c r="P1704" i="1"/>
  <c r="AL1704" i="1"/>
  <c r="M1705" i="1"/>
  <c r="P1705" i="1"/>
  <c r="AL1705" i="1"/>
  <c r="M1706" i="1"/>
  <c r="P1706" i="1"/>
  <c r="AL1706" i="1"/>
  <c r="M1707" i="1"/>
  <c r="P1707" i="1"/>
  <c r="AL1707" i="1"/>
  <c r="M1708" i="1"/>
  <c r="P1708" i="1"/>
  <c r="AL1708" i="1"/>
  <c r="M1709" i="1"/>
  <c r="P1709" i="1"/>
  <c r="AL1709" i="1"/>
  <c r="M1710" i="1"/>
  <c r="P1710" i="1"/>
  <c r="AL1710" i="1"/>
  <c r="M1711" i="1"/>
  <c r="P1711" i="1"/>
  <c r="AL1711" i="1"/>
  <c r="M1712" i="1"/>
  <c r="P1712" i="1"/>
  <c r="AL1712" i="1"/>
  <c r="M1713" i="1"/>
  <c r="P1713" i="1"/>
  <c r="AL1713" i="1"/>
  <c r="M1714" i="1"/>
  <c r="P1714" i="1"/>
  <c r="AL1714" i="1"/>
  <c r="M1715" i="1"/>
  <c r="P1715" i="1"/>
  <c r="AL1715" i="1"/>
  <c r="M1716" i="1"/>
  <c r="P1716" i="1"/>
  <c r="AL1716" i="1"/>
  <c r="M1717" i="1"/>
  <c r="P1717" i="1"/>
  <c r="AL1717" i="1"/>
  <c r="M1718" i="1"/>
  <c r="P1718" i="1"/>
  <c r="AL1718" i="1"/>
  <c r="M1719" i="1"/>
  <c r="P1719" i="1"/>
  <c r="AL1719" i="1"/>
  <c r="M1720" i="1"/>
  <c r="P1720" i="1"/>
  <c r="AL1720" i="1"/>
  <c r="M1721" i="1"/>
  <c r="P1721" i="1"/>
  <c r="AL1721" i="1"/>
  <c r="M1722" i="1"/>
  <c r="P1722" i="1"/>
  <c r="AL1722" i="1"/>
  <c r="M1723" i="1"/>
  <c r="P1723" i="1"/>
  <c r="AL1723" i="1"/>
  <c r="M1724" i="1"/>
  <c r="P1724" i="1"/>
  <c r="AL1724" i="1"/>
  <c r="M1725" i="1"/>
  <c r="P1725" i="1"/>
  <c r="AL1725" i="1"/>
  <c r="M1726" i="1"/>
  <c r="P1726" i="1"/>
  <c r="AL1726" i="1"/>
  <c r="M1727" i="1"/>
  <c r="P1727" i="1"/>
  <c r="AL1727" i="1"/>
  <c r="M1728" i="1"/>
  <c r="P1728" i="1"/>
  <c r="AL1728" i="1"/>
  <c r="M1729" i="1"/>
  <c r="P1729" i="1"/>
  <c r="AL1729" i="1"/>
  <c r="M1730" i="1"/>
  <c r="P1730" i="1"/>
  <c r="AL1730" i="1"/>
  <c r="M1731" i="1"/>
  <c r="P1731" i="1"/>
  <c r="AL1731" i="1"/>
  <c r="M1732" i="1"/>
  <c r="P1732" i="1"/>
  <c r="AL1732" i="1"/>
  <c r="M1733" i="1"/>
  <c r="P1733" i="1"/>
  <c r="AL1733" i="1"/>
  <c r="M1734" i="1"/>
  <c r="P1734" i="1"/>
  <c r="AL1734" i="1"/>
  <c r="M1735" i="1"/>
  <c r="P1735" i="1"/>
  <c r="AL1735" i="1"/>
  <c r="M1736" i="1"/>
  <c r="P1736" i="1"/>
  <c r="AL1736" i="1"/>
  <c r="M1737" i="1"/>
  <c r="P1737" i="1"/>
  <c r="AL1737" i="1"/>
  <c r="M1738" i="1"/>
  <c r="P1738" i="1"/>
  <c r="AL1738" i="1"/>
  <c r="M1739" i="1"/>
  <c r="P1739" i="1"/>
  <c r="AL1739" i="1"/>
  <c r="M1740" i="1"/>
  <c r="P1740" i="1"/>
  <c r="AL1740" i="1"/>
  <c r="M1741" i="1"/>
  <c r="P1741" i="1"/>
  <c r="AL1741" i="1"/>
  <c r="M1742" i="1"/>
  <c r="P1742" i="1"/>
  <c r="AL1742" i="1"/>
  <c r="M1743" i="1"/>
  <c r="P1743" i="1"/>
  <c r="AL1743" i="1"/>
  <c r="M1744" i="1"/>
  <c r="P1744" i="1"/>
  <c r="AL1744" i="1"/>
  <c r="M1745" i="1"/>
  <c r="P1745" i="1"/>
  <c r="AL1745" i="1"/>
  <c r="M1746" i="1"/>
  <c r="P1746" i="1"/>
  <c r="AL1746" i="1"/>
  <c r="M1747" i="1"/>
  <c r="P1747" i="1"/>
  <c r="AL1747" i="1"/>
  <c r="M1748" i="1"/>
  <c r="P1748" i="1"/>
  <c r="AL1748" i="1"/>
  <c r="M1749" i="1"/>
  <c r="P1749" i="1"/>
  <c r="AL1749" i="1"/>
  <c r="M1750" i="1"/>
  <c r="P1750" i="1"/>
  <c r="AL1750" i="1"/>
  <c r="M1751" i="1"/>
  <c r="P1751" i="1"/>
  <c r="AL1751" i="1"/>
  <c r="M1752" i="1"/>
  <c r="P1752" i="1"/>
  <c r="AL1752" i="1"/>
  <c r="M1753" i="1"/>
  <c r="P1753" i="1"/>
  <c r="AL1753" i="1"/>
  <c r="M1754" i="1"/>
  <c r="P1754" i="1"/>
  <c r="AL1754" i="1"/>
  <c r="M1755" i="1"/>
  <c r="P1755" i="1"/>
  <c r="AL1755" i="1"/>
  <c r="M1756" i="1"/>
  <c r="P1756" i="1"/>
  <c r="AL1756" i="1"/>
  <c r="M1757" i="1"/>
  <c r="P1757" i="1"/>
  <c r="AL1757" i="1"/>
  <c r="M1758" i="1"/>
  <c r="P1758" i="1"/>
  <c r="AL1758" i="1"/>
  <c r="M1759" i="1"/>
  <c r="P1759" i="1"/>
  <c r="AL1759" i="1"/>
  <c r="M1760" i="1"/>
  <c r="P1760" i="1"/>
  <c r="AL1760" i="1"/>
  <c r="M1761" i="1"/>
  <c r="P1761" i="1"/>
  <c r="AL1761" i="1"/>
  <c r="M1762" i="1"/>
  <c r="P1762" i="1"/>
  <c r="AL1762" i="1"/>
  <c r="M1763" i="1"/>
  <c r="P1763" i="1"/>
  <c r="AL1763" i="1"/>
  <c r="M1764" i="1"/>
  <c r="P1764" i="1"/>
  <c r="AL1764" i="1"/>
  <c r="M1765" i="1"/>
  <c r="P1765" i="1"/>
  <c r="AL1765" i="1"/>
  <c r="M1766" i="1"/>
  <c r="P1766" i="1"/>
  <c r="AL1766" i="1"/>
  <c r="M1767" i="1"/>
  <c r="P1767" i="1"/>
  <c r="AL1767" i="1"/>
  <c r="M1768" i="1"/>
  <c r="P1768" i="1"/>
  <c r="AL1768" i="1"/>
  <c r="M1769" i="1"/>
  <c r="P1769" i="1"/>
  <c r="AL1769" i="1"/>
  <c r="M1770" i="1"/>
  <c r="P1770" i="1"/>
  <c r="AL1770" i="1"/>
  <c r="M1771" i="1"/>
  <c r="P1771" i="1"/>
  <c r="AL1771" i="1"/>
  <c r="M1772" i="1"/>
  <c r="P1772" i="1"/>
  <c r="AL1772" i="1"/>
  <c r="M1773" i="1"/>
  <c r="P1773" i="1"/>
  <c r="AL1773" i="1"/>
  <c r="M1774" i="1"/>
  <c r="P1774" i="1"/>
  <c r="AL1774" i="1"/>
  <c r="M1775" i="1"/>
  <c r="P1775" i="1"/>
  <c r="AL1775" i="1"/>
  <c r="M1776" i="1"/>
  <c r="P1776" i="1"/>
  <c r="AL1776" i="1"/>
  <c r="M1777" i="1"/>
  <c r="P1777" i="1"/>
  <c r="AL1777" i="1"/>
  <c r="M1778" i="1"/>
  <c r="P1778" i="1"/>
  <c r="AL1778" i="1"/>
  <c r="M1779" i="1"/>
  <c r="P1779" i="1"/>
  <c r="AL1779" i="1"/>
  <c r="M1780" i="1"/>
  <c r="P1780" i="1"/>
  <c r="AL1780" i="1"/>
  <c r="M1781" i="1"/>
  <c r="P1781" i="1"/>
  <c r="AL1781" i="1"/>
  <c r="M1782" i="1"/>
  <c r="P1782" i="1"/>
  <c r="AL1782" i="1"/>
  <c r="M1783" i="1"/>
  <c r="P1783" i="1"/>
  <c r="AL1783" i="1"/>
  <c r="M1784" i="1"/>
  <c r="P1784" i="1"/>
  <c r="AL1784" i="1"/>
  <c r="M1785" i="1"/>
  <c r="P1785" i="1"/>
  <c r="AL1785" i="1"/>
  <c r="M1786" i="1"/>
  <c r="P1786" i="1"/>
  <c r="AL1786" i="1"/>
  <c r="M1787" i="1"/>
  <c r="P1787" i="1"/>
  <c r="AL1787" i="1"/>
  <c r="M1788" i="1"/>
  <c r="P1788" i="1"/>
  <c r="AL1788" i="1"/>
  <c r="M1789" i="1"/>
  <c r="P1789" i="1"/>
  <c r="AL1789" i="1"/>
  <c r="M1790" i="1"/>
  <c r="P1790" i="1"/>
  <c r="AL1790" i="1"/>
  <c r="M1791" i="1"/>
  <c r="P1791" i="1"/>
  <c r="AL1791" i="1"/>
  <c r="M1792" i="1"/>
  <c r="P1792" i="1"/>
  <c r="AL1792" i="1"/>
  <c r="M1793" i="1"/>
  <c r="P1793" i="1"/>
  <c r="AL1793" i="1"/>
  <c r="M1794" i="1"/>
  <c r="P1794" i="1"/>
  <c r="AL1794" i="1"/>
  <c r="M1795" i="1"/>
  <c r="P1795" i="1"/>
  <c r="AL1795" i="1"/>
  <c r="M1796" i="1"/>
  <c r="P1796" i="1"/>
  <c r="AL1796" i="1"/>
  <c r="M1797" i="1"/>
  <c r="P1797" i="1"/>
  <c r="AL1797" i="1"/>
  <c r="M1798" i="1"/>
  <c r="P1798" i="1"/>
  <c r="AL1798" i="1"/>
  <c r="M1799" i="1"/>
  <c r="P1799" i="1"/>
  <c r="AL1799" i="1"/>
  <c r="M1800" i="1"/>
  <c r="P1800" i="1"/>
  <c r="AL1800" i="1"/>
  <c r="M1801" i="1"/>
  <c r="P1801" i="1"/>
  <c r="AL1801" i="1"/>
  <c r="M1802" i="1"/>
  <c r="P1802" i="1"/>
  <c r="AL1802" i="1"/>
  <c r="M1803" i="1"/>
  <c r="P1803" i="1"/>
  <c r="AL1803" i="1"/>
  <c r="M1804" i="1"/>
  <c r="P1804" i="1"/>
  <c r="AL1804" i="1"/>
  <c r="M1805" i="1"/>
  <c r="P1805" i="1"/>
  <c r="AL1805" i="1"/>
  <c r="M1806" i="1"/>
  <c r="P1806" i="1"/>
  <c r="AL1806" i="1"/>
  <c r="M1807" i="1"/>
  <c r="P1807" i="1"/>
  <c r="AL1807" i="1"/>
  <c r="M1808" i="1"/>
  <c r="P1808" i="1"/>
  <c r="AL1808" i="1"/>
  <c r="M1809" i="1"/>
  <c r="P1809" i="1"/>
  <c r="AL1809" i="1"/>
  <c r="M1810" i="1"/>
  <c r="P1810" i="1"/>
  <c r="AL1810" i="1"/>
  <c r="M1811" i="1"/>
  <c r="P1811" i="1"/>
  <c r="AL1811" i="1"/>
  <c r="M1812" i="1"/>
  <c r="P1812" i="1"/>
  <c r="AL1812" i="1"/>
  <c r="M1813" i="1"/>
  <c r="P1813" i="1"/>
  <c r="AL1813" i="1"/>
  <c r="M1814" i="1"/>
  <c r="P1814" i="1"/>
  <c r="AL1814" i="1"/>
  <c r="M1815" i="1"/>
  <c r="P1815" i="1"/>
  <c r="AL1815" i="1"/>
  <c r="M1816" i="1"/>
  <c r="P1816" i="1"/>
  <c r="AL1816" i="1"/>
  <c r="M1817" i="1"/>
  <c r="P1817" i="1"/>
  <c r="AL1817" i="1"/>
  <c r="M1818" i="1"/>
  <c r="P1818" i="1"/>
  <c r="AL1818" i="1"/>
  <c r="M1819" i="1"/>
  <c r="P1819" i="1"/>
  <c r="AL1819" i="1"/>
  <c r="M1820" i="1"/>
  <c r="P1820" i="1"/>
  <c r="AL1820" i="1"/>
  <c r="M1821" i="1"/>
  <c r="P1821" i="1"/>
  <c r="AL1821" i="1"/>
  <c r="M1822" i="1"/>
  <c r="P1822" i="1"/>
  <c r="AL1822" i="1"/>
  <c r="M1823" i="1"/>
  <c r="P1823" i="1"/>
  <c r="AL1823" i="1"/>
  <c r="M1824" i="1"/>
  <c r="P1824" i="1"/>
  <c r="AL1824" i="1"/>
  <c r="M1825" i="1"/>
  <c r="P1825" i="1"/>
  <c r="AL1825" i="1"/>
  <c r="M1826" i="1"/>
  <c r="P1826" i="1"/>
  <c r="AL1826" i="1"/>
  <c r="M1827" i="1"/>
  <c r="P1827" i="1"/>
  <c r="AL1827" i="1"/>
  <c r="M1828" i="1"/>
  <c r="P1828" i="1"/>
  <c r="AL1828" i="1"/>
  <c r="M1829" i="1"/>
  <c r="P1829" i="1"/>
  <c r="AL1829" i="1"/>
  <c r="M1830" i="1"/>
  <c r="P1830" i="1"/>
  <c r="AL1830" i="1"/>
  <c r="M1831" i="1"/>
  <c r="P1831" i="1"/>
  <c r="AL1831" i="1"/>
  <c r="M1832" i="1"/>
  <c r="P1832" i="1"/>
  <c r="AL1832" i="1"/>
  <c r="M1833" i="1"/>
  <c r="P1833" i="1"/>
  <c r="AL1833" i="1"/>
  <c r="M1834" i="1"/>
  <c r="P1834" i="1"/>
  <c r="AL1834" i="1"/>
  <c r="M1835" i="1"/>
  <c r="P1835" i="1"/>
  <c r="AL1835" i="1"/>
  <c r="M1836" i="1"/>
  <c r="P1836" i="1"/>
  <c r="AL1836" i="1"/>
  <c r="M1837" i="1"/>
  <c r="P1837" i="1"/>
  <c r="AL1837" i="1"/>
  <c r="M1838" i="1"/>
  <c r="P1838" i="1"/>
  <c r="AL1838" i="1"/>
  <c r="M1839" i="1"/>
  <c r="P1839" i="1"/>
  <c r="AL1839" i="1"/>
  <c r="M1840" i="1"/>
  <c r="P1840" i="1"/>
  <c r="AL1840" i="1"/>
  <c r="M1841" i="1"/>
  <c r="P1841" i="1"/>
  <c r="AL1841" i="1"/>
  <c r="M1842" i="1"/>
  <c r="P1842" i="1"/>
  <c r="AL1842" i="1"/>
  <c r="M1843" i="1"/>
  <c r="P1843" i="1"/>
  <c r="AL1843" i="1"/>
  <c r="M1844" i="1"/>
  <c r="P1844" i="1"/>
  <c r="AL1844" i="1"/>
  <c r="M1845" i="1"/>
  <c r="P1845" i="1"/>
  <c r="AL1845" i="1"/>
  <c r="M1846" i="1"/>
  <c r="P1846" i="1"/>
  <c r="AL1846" i="1"/>
  <c r="M1847" i="1"/>
  <c r="P1847" i="1"/>
  <c r="AL1847" i="1"/>
  <c r="M1848" i="1"/>
  <c r="P1848" i="1"/>
  <c r="AL1848" i="1"/>
  <c r="M1849" i="1"/>
  <c r="P1849" i="1"/>
  <c r="AL1849" i="1"/>
  <c r="M1850" i="1"/>
  <c r="P1850" i="1"/>
  <c r="AL1850" i="1"/>
  <c r="M1851" i="1"/>
  <c r="P1851" i="1"/>
  <c r="AL1851" i="1"/>
  <c r="M1852" i="1"/>
  <c r="P1852" i="1"/>
  <c r="AL1852" i="1"/>
  <c r="M1853" i="1"/>
  <c r="P1853" i="1"/>
  <c r="AL1853" i="1"/>
  <c r="M1854" i="1"/>
  <c r="P1854" i="1"/>
  <c r="AL1854" i="1"/>
  <c r="M1855" i="1"/>
  <c r="P1855" i="1"/>
  <c r="AL1855" i="1"/>
  <c r="M1856" i="1"/>
  <c r="P1856" i="1"/>
  <c r="AL1856" i="1"/>
  <c r="M1857" i="1"/>
  <c r="P1857" i="1"/>
  <c r="AL1857" i="1"/>
  <c r="M1858" i="1"/>
  <c r="P1858" i="1"/>
  <c r="AL1858" i="1"/>
  <c r="M1859" i="1"/>
  <c r="P1859" i="1"/>
  <c r="AL1859" i="1"/>
  <c r="M1860" i="1"/>
  <c r="P1860" i="1"/>
  <c r="AL1860" i="1"/>
  <c r="M1861" i="1"/>
  <c r="P1861" i="1"/>
  <c r="AL1861" i="1"/>
  <c r="M1862" i="1"/>
  <c r="P1862" i="1"/>
  <c r="AL1862" i="1"/>
  <c r="M1863" i="1"/>
  <c r="P1863" i="1"/>
  <c r="AL1863" i="1"/>
  <c r="M1864" i="1"/>
  <c r="P1864" i="1"/>
  <c r="AL1864" i="1"/>
  <c r="M1865" i="1"/>
  <c r="P1865" i="1"/>
  <c r="AL1865" i="1"/>
  <c r="M1866" i="1"/>
  <c r="P1866" i="1"/>
  <c r="AL1866" i="1"/>
  <c r="M1867" i="1"/>
  <c r="P1867" i="1"/>
  <c r="AL1867" i="1"/>
  <c r="M1868" i="1"/>
  <c r="P1868" i="1"/>
  <c r="AL1868" i="1"/>
  <c r="M1869" i="1"/>
  <c r="P1869" i="1"/>
  <c r="AL1869" i="1"/>
  <c r="M1870" i="1"/>
  <c r="P1870" i="1"/>
  <c r="AL1870" i="1"/>
  <c r="M1871" i="1"/>
  <c r="P1871" i="1"/>
  <c r="AL1871" i="1"/>
  <c r="M1872" i="1"/>
  <c r="P1872" i="1"/>
  <c r="AL1872" i="1"/>
  <c r="M1873" i="1"/>
  <c r="P1873" i="1"/>
  <c r="AL1873" i="1"/>
  <c r="M1874" i="1"/>
  <c r="P1874" i="1"/>
  <c r="AL1874" i="1"/>
  <c r="M1875" i="1"/>
  <c r="P1875" i="1"/>
  <c r="AL1875" i="1"/>
  <c r="M1876" i="1"/>
  <c r="P1876" i="1"/>
  <c r="AL1876" i="1"/>
  <c r="M1877" i="1"/>
  <c r="P1877" i="1"/>
  <c r="AL1877" i="1"/>
  <c r="M1878" i="1"/>
  <c r="P1878" i="1"/>
  <c r="AL1878" i="1"/>
  <c r="M1879" i="1"/>
  <c r="P1879" i="1"/>
  <c r="AL1879" i="1"/>
  <c r="M1880" i="1"/>
  <c r="P1880" i="1"/>
  <c r="AL1880" i="1"/>
  <c r="M1881" i="1"/>
  <c r="P1881" i="1"/>
  <c r="AL1881" i="1"/>
  <c r="M1882" i="1"/>
  <c r="P1882" i="1"/>
  <c r="AL1882" i="1"/>
  <c r="M1883" i="1"/>
  <c r="P1883" i="1"/>
  <c r="AL1883" i="1"/>
  <c r="M1884" i="1"/>
  <c r="P1884" i="1"/>
  <c r="AL1884" i="1"/>
  <c r="M1885" i="1"/>
  <c r="P1885" i="1"/>
  <c r="AL1885" i="1"/>
  <c r="M1886" i="1"/>
  <c r="P1886" i="1"/>
  <c r="AL1886" i="1"/>
  <c r="M1887" i="1"/>
  <c r="P1887" i="1"/>
  <c r="AL1887" i="1"/>
  <c r="M1888" i="1"/>
  <c r="P1888" i="1"/>
  <c r="AL1888" i="1"/>
  <c r="M1889" i="1"/>
  <c r="P1889" i="1"/>
  <c r="AL1889" i="1"/>
  <c r="M1890" i="1"/>
  <c r="P1890" i="1"/>
  <c r="AL1890" i="1"/>
  <c r="M1891" i="1"/>
  <c r="P1891" i="1"/>
  <c r="AL1891" i="1"/>
  <c r="M1892" i="1"/>
  <c r="P1892" i="1"/>
  <c r="AL1892" i="1"/>
  <c r="M1893" i="1"/>
  <c r="P1893" i="1"/>
  <c r="AL1893" i="1"/>
  <c r="M1894" i="1"/>
  <c r="P1894" i="1"/>
  <c r="AL1894" i="1"/>
  <c r="M1895" i="1"/>
  <c r="P1895" i="1"/>
  <c r="AL1895" i="1"/>
  <c r="M1896" i="1"/>
  <c r="P1896" i="1"/>
  <c r="AL1896" i="1"/>
  <c r="M1897" i="1"/>
  <c r="P1897" i="1"/>
  <c r="AL1897" i="1"/>
  <c r="M1898" i="1"/>
  <c r="P1898" i="1"/>
  <c r="AL1898" i="1"/>
  <c r="M1899" i="1"/>
  <c r="P1899" i="1"/>
  <c r="AL1899" i="1"/>
  <c r="M1900" i="1"/>
  <c r="P1900" i="1"/>
  <c r="AL1900" i="1"/>
  <c r="M1901" i="1"/>
  <c r="P1901" i="1"/>
  <c r="AL1901" i="1"/>
  <c r="M1902" i="1"/>
  <c r="P1902" i="1"/>
  <c r="AL1902" i="1"/>
  <c r="M1903" i="1"/>
  <c r="P1903" i="1"/>
  <c r="AL1903" i="1"/>
  <c r="M1904" i="1"/>
  <c r="P1904" i="1"/>
  <c r="AL1904" i="1"/>
  <c r="M1905" i="1"/>
  <c r="P1905" i="1"/>
  <c r="AL1905" i="1"/>
  <c r="M1906" i="1"/>
  <c r="P1906" i="1"/>
  <c r="AL1906" i="1"/>
  <c r="M1907" i="1"/>
  <c r="P1907" i="1"/>
  <c r="AL1907" i="1"/>
  <c r="M1908" i="1"/>
  <c r="P1908" i="1"/>
  <c r="AL1908" i="1"/>
  <c r="M1909" i="1"/>
  <c r="P1909" i="1"/>
  <c r="AL1909" i="1"/>
  <c r="M1910" i="1"/>
  <c r="P1910" i="1"/>
  <c r="AL1910" i="1"/>
  <c r="M1911" i="1"/>
  <c r="P1911" i="1"/>
  <c r="AL1911" i="1"/>
  <c r="M1912" i="1"/>
  <c r="P1912" i="1"/>
  <c r="AL1912" i="1"/>
  <c r="M1913" i="1"/>
  <c r="P1913" i="1"/>
  <c r="AL1913" i="1"/>
  <c r="M1914" i="1"/>
  <c r="P1914" i="1"/>
  <c r="AL1914" i="1"/>
  <c r="M1915" i="1"/>
  <c r="P1915" i="1"/>
  <c r="AL1915" i="1"/>
  <c r="M1916" i="1"/>
  <c r="P1916" i="1"/>
  <c r="AL1916" i="1"/>
  <c r="M1917" i="1"/>
  <c r="P1917" i="1"/>
  <c r="AL1917" i="1"/>
  <c r="M1918" i="1"/>
  <c r="P1918" i="1"/>
  <c r="AL1918" i="1"/>
  <c r="M1919" i="1"/>
  <c r="P1919" i="1"/>
  <c r="AL1919" i="1"/>
  <c r="M1920" i="1"/>
  <c r="P1920" i="1"/>
  <c r="AL1920" i="1"/>
  <c r="M1921" i="1"/>
  <c r="P1921" i="1"/>
  <c r="AL1921" i="1"/>
  <c r="M1922" i="1"/>
  <c r="P1922" i="1"/>
  <c r="AL1922" i="1"/>
  <c r="M1923" i="1"/>
  <c r="P1923" i="1"/>
  <c r="AL1923" i="1"/>
  <c r="M1924" i="1"/>
  <c r="P1924" i="1"/>
  <c r="AL1924" i="1"/>
  <c r="M1925" i="1"/>
  <c r="P1925" i="1"/>
  <c r="AL1925" i="1"/>
  <c r="M1926" i="1"/>
  <c r="P1926" i="1"/>
  <c r="AL1926" i="1"/>
  <c r="M1927" i="1"/>
  <c r="P1927" i="1"/>
  <c r="AL1927" i="1"/>
  <c r="M1928" i="1"/>
  <c r="P1928" i="1"/>
  <c r="AL1928" i="1"/>
  <c r="M1929" i="1"/>
  <c r="P1929" i="1"/>
  <c r="AL1929" i="1"/>
  <c r="M1930" i="1"/>
  <c r="P1930" i="1"/>
  <c r="AL1930" i="1"/>
  <c r="M1931" i="1"/>
  <c r="P1931" i="1"/>
  <c r="AL1931" i="1"/>
  <c r="M1932" i="1"/>
  <c r="P1932" i="1"/>
  <c r="AL1932" i="1"/>
  <c r="M1933" i="1"/>
  <c r="P1933" i="1"/>
  <c r="AL1933" i="1"/>
  <c r="M1934" i="1"/>
  <c r="P1934" i="1"/>
  <c r="AL1934" i="1"/>
  <c r="M1935" i="1"/>
  <c r="P1935" i="1"/>
  <c r="AL1935" i="1"/>
  <c r="M1936" i="1"/>
  <c r="P1936" i="1"/>
  <c r="AL1936" i="1"/>
  <c r="M1937" i="1"/>
  <c r="P1937" i="1"/>
  <c r="AL1937" i="1"/>
  <c r="M1938" i="1"/>
  <c r="P1938" i="1"/>
  <c r="AL1938" i="1"/>
  <c r="M1939" i="1"/>
  <c r="P1939" i="1"/>
  <c r="AL1939" i="1"/>
  <c r="M1940" i="1"/>
  <c r="P1940" i="1"/>
  <c r="AL1940" i="1"/>
  <c r="M1941" i="1"/>
  <c r="P1941" i="1"/>
  <c r="AL1941" i="1"/>
  <c r="M1942" i="1"/>
  <c r="P1942" i="1"/>
  <c r="AL1942" i="1"/>
  <c r="M1943" i="1"/>
  <c r="P1943" i="1"/>
  <c r="AL1943" i="1"/>
  <c r="M1944" i="1"/>
  <c r="P1944" i="1"/>
  <c r="AL1944" i="1"/>
  <c r="M1945" i="1"/>
  <c r="P1945" i="1"/>
  <c r="AL1945" i="1"/>
  <c r="M1946" i="1"/>
  <c r="P1946" i="1"/>
  <c r="AL1946" i="1"/>
  <c r="M1947" i="1"/>
  <c r="P1947" i="1"/>
  <c r="AL1947" i="1"/>
  <c r="M1948" i="1"/>
  <c r="P1948" i="1"/>
  <c r="AL1948" i="1"/>
  <c r="M1949" i="1"/>
  <c r="P1949" i="1"/>
  <c r="AL1949" i="1"/>
  <c r="M1950" i="1"/>
  <c r="P1950" i="1"/>
  <c r="AL1950" i="1"/>
  <c r="M1951" i="1"/>
  <c r="P1951" i="1"/>
  <c r="AL1951" i="1"/>
  <c r="M1952" i="1"/>
  <c r="P1952" i="1"/>
  <c r="AL1952" i="1"/>
  <c r="M1953" i="1"/>
  <c r="P1953" i="1"/>
  <c r="AL1953" i="1"/>
  <c r="M1954" i="1"/>
  <c r="P1954" i="1"/>
  <c r="AL1954" i="1"/>
  <c r="M1955" i="1"/>
  <c r="P1955" i="1"/>
  <c r="AL1955" i="1"/>
  <c r="M1956" i="1"/>
  <c r="P1956" i="1"/>
  <c r="AL1956" i="1"/>
  <c r="M1957" i="1"/>
  <c r="P1957" i="1"/>
  <c r="AL1957" i="1"/>
  <c r="M1958" i="1"/>
  <c r="P1958" i="1"/>
  <c r="AL1958" i="1"/>
  <c r="M1959" i="1"/>
  <c r="P1959" i="1"/>
  <c r="AL1959" i="1"/>
  <c r="M1960" i="1"/>
  <c r="P1960" i="1"/>
  <c r="AL1960" i="1"/>
  <c r="M1961" i="1"/>
  <c r="P1961" i="1"/>
  <c r="AL1961" i="1"/>
  <c r="M1962" i="1"/>
  <c r="P1962" i="1"/>
  <c r="AL1962" i="1"/>
  <c r="M1963" i="1"/>
  <c r="P1963" i="1"/>
  <c r="AL1963" i="1"/>
  <c r="M1964" i="1"/>
  <c r="P1964" i="1"/>
  <c r="AL1964" i="1"/>
  <c r="M1965" i="1"/>
  <c r="P1965" i="1"/>
  <c r="AL1965" i="1"/>
  <c r="M1966" i="1"/>
  <c r="P1966" i="1"/>
  <c r="AL1966" i="1"/>
  <c r="M1967" i="1"/>
  <c r="P1967" i="1"/>
  <c r="AL1967" i="1"/>
  <c r="M1968" i="1"/>
  <c r="P1968" i="1"/>
  <c r="AL1968" i="1"/>
  <c r="M1969" i="1"/>
  <c r="P1969" i="1"/>
  <c r="AL1969" i="1"/>
  <c r="M1970" i="1"/>
  <c r="P1970" i="1"/>
  <c r="AL1970" i="1"/>
  <c r="M1971" i="1"/>
  <c r="P1971" i="1"/>
  <c r="AL1971" i="1"/>
  <c r="M1972" i="1"/>
  <c r="P1972" i="1"/>
  <c r="AL1972" i="1"/>
  <c r="M1973" i="1"/>
  <c r="P1973" i="1"/>
  <c r="AL1973" i="1"/>
  <c r="M1974" i="1"/>
  <c r="P1974" i="1"/>
  <c r="AL1974" i="1"/>
  <c r="M1975" i="1"/>
  <c r="P1975" i="1"/>
  <c r="AL1975" i="1"/>
  <c r="M1976" i="1"/>
  <c r="P1976" i="1"/>
  <c r="AL1976" i="1"/>
  <c r="M1977" i="1"/>
  <c r="P1977" i="1"/>
  <c r="AL1977" i="1"/>
  <c r="M1978" i="1"/>
  <c r="P1978" i="1"/>
  <c r="AL1978" i="1"/>
  <c r="M1979" i="1"/>
  <c r="P1979" i="1"/>
  <c r="AL1979" i="1"/>
  <c r="M1980" i="1"/>
  <c r="P1980" i="1"/>
  <c r="AL1980" i="1"/>
  <c r="M1981" i="1"/>
  <c r="P1981" i="1"/>
  <c r="AL1981" i="1"/>
  <c r="M1982" i="1"/>
  <c r="P1982" i="1"/>
  <c r="AL1982" i="1"/>
  <c r="M1983" i="1"/>
  <c r="P1983" i="1"/>
  <c r="AL1983" i="1"/>
  <c r="M1984" i="1"/>
  <c r="P1984" i="1"/>
  <c r="AL1984" i="1"/>
  <c r="M1985" i="1"/>
  <c r="P1985" i="1"/>
  <c r="AL1985" i="1"/>
  <c r="M1986" i="1"/>
  <c r="P1986" i="1"/>
  <c r="AL1986" i="1"/>
  <c r="M1987" i="1"/>
  <c r="P1987" i="1"/>
  <c r="AL1987" i="1"/>
  <c r="M1988" i="1"/>
  <c r="P1988" i="1"/>
  <c r="AL1988" i="1"/>
  <c r="M1989" i="1"/>
  <c r="P1989" i="1"/>
  <c r="AL1989" i="1"/>
  <c r="M1990" i="1"/>
  <c r="P1990" i="1"/>
  <c r="AL1990" i="1"/>
  <c r="M1991" i="1"/>
  <c r="P1991" i="1"/>
  <c r="AL1991" i="1"/>
  <c r="M1992" i="1"/>
  <c r="P1992" i="1"/>
  <c r="AL1992" i="1"/>
  <c r="M1993" i="1"/>
  <c r="P1993" i="1"/>
  <c r="AL1993" i="1"/>
  <c r="M1994" i="1"/>
  <c r="P1994" i="1"/>
  <c r="AL1994" i="1"/>
  <c r="M1995" i="1"/>
  <c r="P1995" i="1"/>
  <c r="AL1995" i="1"/>
  <c r="M1996" i="1"/>
  <c r="P1996" i="1"/>
  <c r="AL1996" i="1"/>
  <c r="M1997" i="1"/>
  <c r="P1997" i="1"/>
  <c r="AL1997" i="1"/>
  <c r="M1998" i="1"/>
  <c r="P1998" i="1"/>
  <c r="AL1998" i="1"/>
  <c r="M1999" i="1"/>
  <c r="P1999" i="1"/>
  <c r="AL1999" i="1"/>
  <c r="M2000" i="1"/>
  <c r="P2000" i="1"/>
  <c r="AL2000" i="1"/>
  <c r="M2001" i="1"/>
  <c r="P2001" i="1"/>
  <c r="AL2001" i="1"/>
  <c r="M2002" i="1"/>
  <c r="P2002" i="1"/>
  <c r="AL2002" i="1"/>
  <c r="M2003" i="1"/>
  <c r="P2003" i="1"/>
  <c r="AL2003" i="1"/>
  <c r="M2004" i="1"/>
  <c r="P2004" i="1"/>
  <c r="AL2004" i="1"/>
  <c r="M2005" i="1"/>
  <c r="P2005" i="1"/>
  <c r="AL2005" i="1"/>
  <c r="M2006" i="1"/>
  <c r="P2006" i="1"/>
  <c r="AL2006" i="1"/>
  <c r="M2007" i="1"/>
  <c r="P2007" i="1"/>
  <c r="AL2007" i="1"/>
  <c r="M2008" i="1"/>
  <c r="P2008" i="1"/>
  <c r="AL2008" i="1"/>
  <c r="M2009" i="1"/>
  <c r="P2009" i="1"/>
  <c r="AL2009" i="1"/>
  <c r="M2010" i="1"/>
  <c r="P2010" i="1"/>
  <c r="AL2010" i="1"/>
  <c r="M2011" i="1"/>
  <c r="P2011" i="1"/>
  <c r="AL2011" i="1"/>
  <c r="M2012" i="1"/>
  <c r="P2012" i="1"/>
  <c r="AL2012" i="1"/>
  <c r="M2013" i="1"/>
  <c r="P2013" i="1"/>
  <c r="AL2013" i="1"/>
  <c r="M2014" i="1"/>
  <c r="P2014" i="1"/>
  <c r="AL2014" i="1"/>
  <c r="M2015" i="1"/>
  <c r="P2015" i="1"/>
  <c r="AL2015" i="1"/>
  <c r="M2016" i="1"/>
  <c r="P2016" i="1"/>
  <c r="AL2016" i="1"/>
  <c r="M2017" i="1"/>
  <c r="P2017" i="1"/>
  <c r="AL2017" i="1"/>
  <c r="M2018" i="1"/>
  <c r="P2018" i="1"/>
  <c r="AL2018" i="1"/>
  <c r="M2019" i="1"/>
  <c r="P2019" i="1"/>
  <c r="AL2019" i="1"/>
  <c r="M2020" i="1"/>
  <c r="P2020" i="1"/>
  <c r="AL2020" i="1"/>
  <c r="M2021" i="1"/>
  <c r="P2021" i="1"/>
  <c r="AL2021" i="1"/>
  <c r="M2022" i="1"/>
  <c r="P2022" i="1"/>
  <c r="AL2022" i="1"/>
  <c r="M2023" i="1"/>
  <c r="P2023" i="1"/>
  <c r="AL2023" i="1"/>
  <c r="M2024" i="1"/>
  <c r="P2024" i="1"/>
  <c r="AL2024" i="1"/>
  <c r="M2025" i="1"/>
  <c r="P2025" i="1"/>
  <c r="AL2025" i="1"/>
  <c r="M2026" i="1"/>
  <c r="P2026" i="1"/>
  <c r="AL2026" i="1"/>
  <c r="M2027" i="1"/>
  <c r="P2027" i="1"/>
  <c r="AL2027" i="1"/>
  <c r="M2028" i="1"/>
  <c r="P2028" i="1"/>
  <c r="AL2028" i="1"/>
  <c r="M2029" i="1"/>
  <c r="P2029" i="1"/>
  <c r="AL2029" i="1"/>
  <c r="M2030" i="1"/>
  <c r="P2030" i="1"/>
  <c r="AL2030" i="1"/>
  <c r="M2031" i="1"/>
  <c r="P2031" i="1"/>
  <c r="AL2031" i="1"/>
  <c r="M2032" i="1"/>
  <c r="P2032" i="1"/>
  <c r="AL2032" i="1"/>
  <c r="M2033" i="1"/>
  <c r="P2033" i="1"/>
  <c r="AL2033" i="1"/>
  <c r="M2034" i="1"/>
  <c r="P2034" i="1"/>
  <c r="AL2034" i="1"/>
  <c r="M2035" i="1"/>
  <c r="P2035" i="1"/>
  <c r="AL2035" i="1"/>
  <c r="M2036" i="1"/>
  <c r="P2036" i="1"/>
  <c r="AL2036" i="1"/>
  <c r="M2037" i="1"/>
  <c r="P2037" i="1"/>
  <c r="AL2037" i="1"/>
  <c r="M2038" i="1"/>
  <c r="P2038" i="1"/>
  <c r="AL2038" i="1"/>
  <c r="M2039" i="1"/>
  <c r="P2039" i="1"/>
  <c r="AL2039" i="1"/>
  <c r="M2040" i="1"/>
  <c r="P2040" i="1"/>
  <c r="AL2040" i="1"/>
  <c r="M2041" i="1"/>
  <c r="P2041" i="1"/>
  <c r="AL2041" i="1"/>
  <c r="M2042" i="1"/>
  <c r="P2042" i="1"/>
  <c r="AL2042" i="1"/>
  <c r="M2043" i="1"/>
  <c r="P2043" i="1"/>
  <c r="AL2043" i="1"/>
  <c r="M2044" i="1"/>
  <c r="P2044" i="1"/>
  <c r="AL2044" i="1"/>
  <c r="M2045" i="1"/>
  <c r="P2045" i="1"/>
  <c r="AL2045" i="1"/>
  <c r="M2046" i="1"/>
  <c r="P2046" i="1"/>
  <c r="AL2046" i="1"/>
  <c r="M2047" i="1"/>
  <c r="P2047" i="1"/>
  <c r="AL2047" i="1"/>
  <c r="M2048" i="1"/>
  <c r="P2048" i="1"/>
  <c r="AL2048" i="1"/>
  <c r="M2049" i="1"/>
  <c r="P2049" i="1"/>
  <c r="AL2049" i="1"/>
  <c r="M2050" i="1"/>
  <c r="P2050" i="1"/>
  <c r="AL2050" i="1"/>
  <c r="M2051" i="1"/>
  <c r="P2051" i="1"/>
  <c r="AL2051" i="1"/>
  <c r="M2052" i="1"/>
  <c r="P2052" i="1"/>
  <c r="AL2052" i="1"/>
  <c r="M2053" i="1"/>
  <c r="P2053" i="1"/>
  <c r="AL2053" i="1"/>
  <c r="M2054" i="1"/>
  <c r="P2054" i="1"/>
  <c r="AL2054" i="1"/>
  <c r="M2055" i="1"/>
  <c r="P2055" i="1"/>
  <c r="AL2055" i="1"/>
  <c r="M2056" i="1"/>
  <c r="P2056" i="1"/>
  <c r="AL2056" i="1"/>
  <c r="M2057" i="1"/>
  <c r="P2057" i="1"/>
  <c r="AL2057" i="1"/>
  <c r="M2058" i="1"/>
  <c r="P2058" i="1"/>
  <c r="AL2058" i="1"/>
  <c r="M2059" i="1"/>
  <c r="P2059" i="1"/>
  <c r="AL2059" i="1"/>
  <c r="M2060" i="1"/>
  <c r="P2060" i="1"/>
  <c r="AL2060" i="1"/>
  <c r="M2061" i="1"/>
  <c r="P2061" i="1"/>
  <c r="AL2061" i="1"/>
  <c r="M2062" i="1"/>
  <c r="P2062" i="1"/>
  <c r="AL2062" i="1"/>
  <c r="M2063" i="1"/>
  <c r="P2063" i="1"/>
  <c r="AL2063" i="1"/>
  <c r="M2064" i="1"/>
  <c r="P2064" i="1"/>
  <c r="AL2064" i="1"/>
  <c r="M2065" i="1"/>
  <c r="P2065" i="1"/>
  <c r="AL2065" i="1"/>
  <c r="M2066" i="1"/>
  <c r="P2066" i="1"/>
  <c r="AL2066" i="1"/>
  <c r="M2067" i="1"/>
  <c r="P2067" i="1"/>
  <c r="AL2067" i="1"/>
  <c r="M2068" i="1"/>
  <c r="P2068" i="1"/>
  <c r="AL2068" i="1"/>
  <c r="M2069" i="1"/>
  <c r="P2069" i="1"/>
  <c r="AL2069" i="1"/>
  <c r="M2070" i="1"/>
  <c r="P2070" i="1"/>
  <c r="AL2070" i="1"/>
  <c r="M2071" i="1"/>
  <c r="P2071" i="1"/>
  <c r="AL2071" i="1"/>
  <c r="M2072" i="1"/>
  <c r="P2072" i="1"/>
  <c r="AL2072" i="1"/>
  <c r="M2073" i="1"/>
  <c r="P2073" i="1"/>
  <c r="AL2073" i="1"/>
  <c r="M2074" i="1"/>
  <c r="P2074" i="1"/>
  <c r="AL2074" i="1"/>
  <c r="M2075" i="1"/>
  <c r="P2075" i="1"/>
  <c r="AL2075" i="1"/>
  <c r="M2076" i="1"/>
  <c r="P2076" i="1"/>
  <c r="AL2076" i="1"/>
  <c r="M2077" i="1"/>
  <c r="P2077" i="1"/>
  <c r="AL2077" i="1"/>
  <c r="M2078" i="1"/>
  <c r="P2078" i="1"/>
  <c r="AL2078" i="1"/>
  <c r="M2079" i="1"/>
  <c r="P2079" i="1"/>
  <c r="AL2079" i="1"/>
  <c r="M2080" i="1"/>
  <c r="P2080" i="1"/>
  <c r="AL2080" i="1"/>
  <c r="M2081" i="1"/>
  <c r="P2081" i="1"/>
  <c r="AL2081" i="1"/>
  <c r="M2082" i="1"/>
  <c r="P2082" i="1"/>
  <c r="AL2082" i="1"/>
  <c r="M2083" i="1"/>
  <c r="P2083" i="1"/>
  <c r="AL2083" i="1"/>
  <c r="M2084" i="1"/>
  <c r="P2084" i="1"/>
  <c r="AL2084" i="1"/>
  <c r="M2085" i="1"/>
  <c r="P2085" i="1"/>
  <c r="AL2085" i="1"/>
  <c r="M2086" i="1"/>
  <c r="P2086" i="1"/>
  <c r="AL2086" i="1"/>
  <c r="M2087" i="1"/>
  <c r="P2087" i="1"/>
  <c r="AL2087" i="1"/>
  <c r="M2088" i="1"/>
  <c r="P2088" i="1"/>
  <c r="AL2088" i="1"/>
  <c r="M2089" i="1"/>
  <c r="P2089" i="1"/>
  <c r="AL2089" i="1"/>
  <c r="M2090" i="1"/>
  <c r="P2090" i="1"/>
  <c r="AL2090" i="1"/>
  <c r="M2091" i="1"/>
  <c r="P2091" i="1"/>
  <c r="AL2091" i="1"/>
  <c r="M2092" i="1"/>
  <c r="P2092" i="1"/>
  <c r="AL2092" i="1"/>
  <c r="M2093" i="1"/>
  <c r="P2093" i="1"/>
  <c r="AL2093" i="1"/>
  <c r="M2094" i="1"/>
  <c r="P2094" i="1"/>
  <c r="AL2094" i="1"/>
  <c r="M2095" i="1"/>
  <c r="P2095" i="1"/>
  <c r="AL2095" i="1"/>
  <c r="M2096" i="1"/>
  <c r="P2096" i="1"/>
  <c r="AL2096" i="1"/>
  <c r="M2097" i="1"/>
  <c r="P2097" i="1"/>
  <c r="AL2097" i="1"/>
  <c r="M2098" i="1"/>
  <c r="P2098" i="1"/>
  <c r="AL2098" i="1"/>
  <c r="M2099" i="1"/>
  <c r="P2099" i="1"/>
  <c r="AL2099" i="1"/>
  <c r="M2100" i="1"/>
  <c r="P2100" i="1"/>
  <c r="AL2100" i="1"/>
  <c r="M2101" i="1"/>
  <c r="P2101" i="1"/>
  <c r="AL2101" i="1"/>
  <c r="M2102" i="1"/>
  <c r="P2102" i="1"/>
  <c r="AL2102" i="1"/>
  <c r="M2103" i="1"/>
  <c r="P2103" i="1"/>
  <c r="AL2103" i="1"/>
  <c r="M2104" i="1"/>
  <c r="P2104" i="1"/>
  <c r="AL2104" i="1"/>
  <c r="M2105" i="1"/>
  <c r="P2105" i="1"/>
  <c r="AL2105" i="1"/>
  <c r="M2106" i="1"/>
  <c r="P2106" i="1"/>
  <c r="AL2106" i="1"/>
  <c r="M2107" i="1"/>
  <c r="P2107" i="1"/>
  <c r="AL2107" i="1"/>
  <c r="M2108" i="1"/>
  <c r="P2108" i="1"/>
  <c r="AL2108" i="1"/>
  <c r="M2109" i="1"/>
  <c r="P2109" i="1"/>
  <c r="AL2109" i="1"/>
  <c r="M2110" i="1"/>
  <c r="P2110" i="1"/>
  <c r="AL2110" i="1"/>
  <c r="M2111" i="1"/>
  <c r="P2111" i="1"/>
  <c r="AL2111" i="1"/>
  <c r="M2112" i="1"/>
  <c r="P2112" i="1"/>
  <c r="AL2112" i="1"/>
  <c r="M2113" i="1"/>
  <c r="P2113" i="1"/>
  <c r="AL2113" i="1"/>
  <c r="M2114" i="1"/>
  <c r="P2114" i="1"/>
  <c r="AL2114" i="1"/>
  <c r="M2115" i="1"/>
  <c r="P2115" i="1"/>
  <c r="AL2115" i="1"/>
  <c r="M2116" i="1"/>
  <c r="P2116" i="1"/>
  <c r="AL2116" i="1"/>
  <c r="M2117" i="1"/>
  <c r="P2117" i="1"/>
  <c r="AL2117" i="1"/>
  <c r="M2118" i="1"/>
  <c r="P2118" i="1"/>
  <c r="AL2118" i="1"/>
  <c r="M2119" i="1"/>
  <c r="P2119" i="1"/>
  <c r="AL2119" i="1"/>
  <c r="M2120" i="1"/>
  <c r="P2120" i="1"/>
  <c r="AL2120" i="1"/>
  <c r="M2121" i="1"/>
  <c r="P2121" i="1"/>
  <c r="AL2121" i="1"/>
  <c r="M2122" i="1"/>
  <c r="P2122" i="1"/>
  <c r="AL2122" i="1"/>
  <c r="M2123" i="1"/>
  <c r="P2123" i="1"/>
  <c r="AL2123" i="1"/>
  <c r="M2124" i="1"/>
  <c r="P2124" i="1"/>
  <c r="AL2124" i="1"/>
  <c r="M2125" i="1"/>
  <c r="P2125" i="1"/>
  <c r="AL2125" i="1"/>
  <c r="M2126" i="1"/>
  <c r="P2126" i="1"/>
  <c r="AL2126" i="1"/>
  <c r="M2127" i="1"/>
  <c r="P2127" i="1"/>
  <c r="AL2127" i="1"/>
  <c r="M2128" i="1"/>
  <c r="P2128" i="1"/>
  <c r="AL2128" i="1"/>
  <c r="M2129" i="1"/>
  <c r="P2129" i="1"/>
  <c r="AL2129" i="1"/>
  <c r="M2130" i="1"/>
  <c r="P2130" i="1"/>
  <c r="AL2130" i="1"/>
  <c r="M2131" i="1"/>
  <c r="P2131" i="1"/>
  <c r="AL2131" i="1"/>
  <c r="M2132" i="1"/>
  <c r="P2132" i="1"/>
  <c r="AL2132" i="1"/>
  <c r="M2133" i="1"/>
  <c r="P2133" i="1"/>
  <c r="AL2133" i="1"/>
  <c r="M2134" i="1"/>
  <c r="P2134" i="1"/>
  <c r="AL2134" i="1"/>
  <c r="M2135" i="1"/>
  <c r="P2135" i="1"/>
  <c r="AL2135" i="1"/>
  <c r="M2136" i="1"/>
  <c r="P2136" i="1"/>
  <c r="AL2136" i="1"/>
  <c r="M2137" i="1"/>
  <c r="P2137" i="1"/>
  <c r="AL2137" i="1"/>
  <c r="M2138" i="1"/>
  <c r="P2138" i="1"/>
  <c r="AL2138" i="1"/>
  <c r="M2139" i="1"/>
  <c r="P2139" i="1"/>
  <c r="AL2139" i="1"/>
  <c r="M2140" i="1"/>
  <c r="P2140" i="1"/>
  <c r="AL2140" i="1"/>
  <c r="M2141" i="1"/>
  <c r="P2141" i="1"/>
  <c r="AL2141" i="1"/>
  <c r="M2142" i="1"/>
  <c r="P2142" i="1"/>
  <c r="AL2142" i="1"/>
  <c r="M2143" i="1"/>
  <c r="P2143" i="1"/>
  <c r="AL2143" i="1"/>
  <c r="M2144" i="1"/>
  <c r="P2144" i="1"/>
  <c r="AL2144" i="1"/>
  <c r="M2145" i="1"/>
  <c r="P2145" i="1"/>
  <c r="AL2145" i="1"/>
  <c r="M2146" i="1"/>
  <c r="P2146" i="1"/>
  <c r="AL2146" i="1"/>
  <c r="M2147" i="1"/>
  <c r="P2147" i="1"/>
  <c r="AL2147" i="1"/>
  <c r="M2148" i="1"/>
  <c r="P2148" i="1"/>
  <c r="AL2148" i="1"/>
  <c r="M2149" i="1"/>
  <c r="P2149" i="1"/>
  <c r="AL2149" i="1"/>
  <c r="M2150" i="1"/>
  <c r="P2150" i="1"/>
  <c r="AL2150" i="1"/>
  <c r="M2151" i="1"/>
  <c r="P2151" i="1"/>
  <c r="AL2151" i="1"/>
  <c r="M2152" i="1"/>
  <c r="P2152" i="1"/>
  <c r="AL2152" i="1"/>
  <c r="M2153" i="1"/>
  <c r="P2153" i="1"/>
  <c r="AL2153" i="1"/>
  <c r="M2154" i="1"/>
  <c r="P2154" i="1"/>
  <c r="AL2154" i="1"/>
  <c r="M2155" i="1"/>
  <c r="P2155" i="1"/>
  <c r="AL2155" i="1"/>
  <c r="M2156" i="1"/>
  <c r="P2156" i="1"/>
  <c r="AL2156" i="1"/>
  <c r="M2157" i="1"/>
  <c r="P2157" i="1"/>
  <c r="AL2157" i="1"/>
  <c r="M2158" i="1"/>
  <c r="P2158" i="1"/>
  <c r="AL2158" i="1"/>
  <c r="M2159" i="1"/>
  <c r="P2159" i="1"/>
  <c r="AL2159" i="1"/>
  <c r="M2160" i="1"/>
  <c r="P2160" i="1"/>
  <c r="AL2160" i="1"/>
  <c r="M2161" i="1"/>
  <c r="P2161" i="1"/>
  <c r="AL2161" i="1"/>
  <c r="M2162" i="1"/>
  <c r="P2162" i="1"/>
  <c r="AL2162" i="1"/>
  <c r="M2163" i="1"/>
  <c r="P2163" i="1"/>
  <c r="AL2163" i="1"/>
  <c r="M2164" i="1"/>
  <c r="P2164" i="1"/>
  <c r="AL2164" i="1"/>
  <c r="M2165" i="1"/>
  <c r="P2165" i="1"/>
  <c r="AL2165" i="1"/>
  <c r="M2166" i="1"/>
  <c r="P2166" i="1"/>
  <c r="AL2166" i="1"/>
  <c r="M2167" i="1"/>
  <c r="P2167" i="1"/>
  <c r="AL2167" i="1"/>
  <c r="M2168" i="1"/>
  <c r="P2168" i="1"/>
  <c r="AL2168" i="1"/>
  <c r="M2169" i="1"/>
  <c r="P2169" i="1"/>
  <c r="AL2169" i="1"/>
  <c r="M2170" i="1"/>
  <c r="P2170" i="1"/>
  <c r="AL2170" i="1"/>
  <c r="M2171" i="1"/>
  <c r="P2171" i="1"/>
  <c r="AL2171" i="1"/>
  <c r="M2172" i="1"/>
  <c r="P2172" i="1"/>
  <c r="AL2172" i="1"/>
  <c r="M2173" i="1"/>
  <c r="P2173" i="1"/>
  <c r="AL2173" i="1"/>
  <c r="M2174" i="1"/>
  <c r="P2174" i="1"/>
  <c r="AL2174" i="1"/>
  <c r="M2175" i="1"/>
  <c r="P2175" i="1"/>
  <c r="AL2175" i="1"/>
  <c r="M2176" i="1"/>
  <c r="P2176" i="1"/>
  <c r="AL2176" i="1"/>
  <c r="M2177" i="1"/>
  <c r="P2177" i="1"/>
  <c r="AL2177" i="1"/>
  <c r="M2178" i="1"/>
  <c r="P2178" i="1"/>
  <c r="AL2178" i="1"/>
  <c r="M2179" i="1"/>
  <c r="P2179" i="1"/>
  <c r="AL2179" i="1"/>
  <c r="M2180" i="1"/>
  <c r="P2180" i="1"/>
  <c r="AL2180" i="1"/>
  <c r="M2181" i="1"/>
  <c r="P2181" i="1"/>
  <c r="AL2181" i="1"/>
  <c r="M2182" i="1"/>
  <c r="P2182" i="1"/>
  <c r="AL2182" i="1"/>
  <c r="M2183" i="1"/>
  <c r="P2183" i="1"/>
  <c r="AL2183" i="1"/>
  <c r="M2184" i="1"/>
  <c r="P2184" i="1"/>
  <c r="AL2184" i="1"/>
  <c r="M2185" i="1"/>
  <c r="P2185" i="1"/>
  <c r="AL2185" i="1"/>
  <c r="M2186" i="1"/>
  <c r="P2186" i="1"/>
  <c r="AL2186" i="1"/>
  <c r="M2187" i="1"/>
  <c r="P2187" i="1"/>
  <c r="AL2187" i="1"/>
  <c r="M2188" i="1"/>
  <c r="P2188" i="1"/>
  <c r="AL2188" i="1"/>
  <c r="M2189" i="1"/>
  <c r="P2189" i="1"/>
  <c r="AL2189" i="1"/>
  <c r="M2190" i="1"/>
  <c r="P2190" i="1"/>
  <c r="AL2190" i="1"/>
  <c r="M2191" i="1"/>
  <c r="P2191" i="1"/>
  <c r="AL2191" i="1"/>
  <c r="M2192" i="1"/>
  <c r="P2192" i="1"/>
  <c r="AL2192" i="1"/>
  <c r="M2193" i="1"/>
  <c r="P2193" i="1"/>
  <c r="AL2193" i="1"/>
  <c r="M2194" i="1"/>
  <c r="P2194" i="1"/>
  <c r="AL2194" i="1"/>
  <c r="M2195" i="1"/>
  <c r="P2195" i="1"/>
  <c r="AL2195" i="1"/>
  <c r="M2196" i="1"/>
  <c r="P2196" i="1"/>
  <c r="AL2196" i="1"/>
  <c r="M2197" i="1"/>
  <c r="P2197" i="1"/>
  <c r="AL2197" i="1"/>
  <c r="M2198" i="1"/>
  <c r="P2198" i="1"/>
  <c r="AL2198" i="1"/>
  <c r="M2199" i="1"/>
  <c r="P2199" i="1"/>
  <c r="AL2199" i="1"/>
  <c r="M2200" i="1"/>
  <c r="P2200" i="1"/>
  <c r="AL2200" i="1"/>
  <c r="M2201" i="1"/>
  <c r="P2201" i="1"/>
  <c r="AL2201" i="1"/>
  <c r="M2202" i="1"/>
  <c r="P2202" i="1"/>
  <c r="AL2202" i="1"/>
  <c r="M2203" i="1"/>
  <c r="P2203" i="1"/>
  <c r="AL2203" i="1"/>
  <c r="M2204" i="1"/>
  <c r="P2204" i="1"/>
  <c r="AL2204" i="1"/>
  <c r="M2205" i="1"/>
  <c r="P2205" i="1"/>
  <c r="AL2205" i="1"/>
  <c r="M2206" i="1"/>
  <c r="P2206" i="1"/>
  <c r="AL2206" i="1"/>
  <c r="M2207" i="1"/>
  <c r="P2207" i="1"/>
  <c r="AL2207" i="1"/>
  <c r="M2208" i="1"/>
  <c r="P2208" i="1"/>
  <c r="AL2208" i="1"/>
  <c r="M2209" i="1"/>
  <c r="P2209" i="1"/>
  <c r="AL2209" i="1"/>
  <c r="M2210" i="1"/>
  <c r="P2210" i="1"/>
  <c r="AL2210" i="1"/>
  <c r="M2211" i="1"/>
  <c r="P2211" i="1"/>
  <c r="AL2211" i="1"/>
  <c r="M2212" i="1"/>
  <c r="P2212" i="1"/>
  <c r="AL2212" i="1"/>
  <c r="M2213" i="1"/>
  <c r="P2213" i="1"/>
  <c r="AL2213" i="1"/>
  <c r="M2214" i="1"/>
  <c r="P2214" i="1"/>
  <c r="AL2214" i="1"/>
  <c r="M2215" i="1"/>
  <c r="P2215" i="1"/>
  <c r="AL2215" i="1"/>
  <c r="M2216" i="1"/>
  <c r="P2216" i="1"/>
  <c r="AL2216" i="1"/>
  <c r="M2217" i="1"/>
  <c r="P2217" i="1"/>
  <c r="AL2217" i="1"/>
  <c r="M2218" i="1"/>
  <c r="P2218" i="1"/>
  <c r="AL2218" i="1"/>
  <c r="M2219" i="1"/>
  <c r="P2219" i="1"/>
  <c r="AL2219" i="1"/>
  <c r="M2220" i="1"/>
  <c r="P2220" i="1"/>
  <c r="AL2220" i="1"/>
  <c r="M2221" i="1"/>
  <c r="P2221" i="1"/>
  <c r="AL2221" i="1"/>
  <c r="M2222" i="1"/>
  <c r="P2222" i="1"/>
  <c r="AL2222" i="1"/>
  <c r="M2223" i="1"/>
  <c r="P2223" i="1"/>
  <c r="AL2223" i="1"/>
  <c r="M2224" i="1"/>
  <c r="P2224" i="1"/>
  <c r="AL2224" i="1"/>
  <c r="M2225" i="1"/>
  <c r="P2225" i="1"/>
  <c r="AL2225" i="1"/>
  <c r="M2226" i="1"/>
  <c r="P2226" i="1"/>
  <c r="AL2226" i="1"/>
  <c r="M2227" i="1"/>
  <c r="P2227" i="1"/>
  <c r="AL2227" i="1"/>
  <c r="M2228" i="1"/>
  <c r="P2228" i="1"/>
  <c r="AL2228" i="1"/>
  <c r="M2229" i="1"/>
  <c r="P2229" i="1"/>
  <c r="AL2229" i="1"/>
  <c r="M2230" i="1"/>
  <c r="P2230" i="1"/>
  <c r="AL2230" i="1"/>
  <c r="M2231" i="1"/>
  <c r="P2231" i="1"/>
  <c r="AL2231" i="1"/>
  <c r="M2232" i="1"/>
  <c r="P2232" i="1"/>
  <c r="AL2232" i="1"/>
  <c r="M2233" i="1"/>
  <c r="P2233" i="1"/>
  <c r="AL2233" i="1"/>
  <c r="M2234" i="1"/>
  <c r="P2234" i="1"/>
  <c r="AL2234" i="1"/>
  <c r="M2235" i="1"/>
  <c r="P2235" i="1"/>
  <c r="AL2235" i="1"/>
  <c r="M2236" i="1"/>
  <c r="P2236" i="1"/>
  <c r="AL2236" i="1"/>
  <c r="M2237" i="1"/>
  <c r="P2237" i="1"/>
  <c r="AL2237" i="1"/>
  <c r="M2238" i="1"/>
  <c r="P2238" i="1"/>
  <c r="AL2238" i="1"/>
  <c r="M2239" i="1"/>
  <c r="P2239" i="1"/>
  <c r="AL2239" i="1"/>
  <c r="M2240" i="1"/>
  <c r="P2240" i="1"/>
  <c r="AL2240" i="1"/>
  <c r="M2241" i="1"/>
  <c r="P2241" i="1"/>
  <c r="AL2241" i="1"/>
  <c r="M2242" i="1"/>
  <c r="P2242" i="1"/>
  <c r="AL2242" i="1"/>
  <c r="M2243" i="1"/>
  <c r="P2243" i="1"/>
  <c r="AL2243" i="1"/>
  <c r="M2244" i="1"/>
  <c r="P2244" i="1"/>
  <c r="AL2244" i="1"/>
  <c r="M2245" i="1"/>
  <c r="P2245" i="1"/>
  <c r="AL2245" i="1"/>
  <c r="M2246" i="1"/>
  <c r="P2246" i="1"/>
  <c r="AL2246" i="1"/>
  <c r="M2247" i="1"/>
  <c r="P2247" i="1"/>
  <c r="AL2247" i="1"/>
  <c r="M2248" i="1"/>
  <c r="P2248" i="1"/>
  <c r="AL2248" i="1"/>
  <c r="M2249" i="1"/>
  <c r="P2249" i="1"/>
  <c r="AL2249" i="1"/>
  <c r="M2250" i="1"/>
  <c r="P2250" i="1"/>
  <c r="AL2250" i="1"/>
  <c r="M2251" i="1"/>
  <c r="P2251" i="1"/>
  <c r="AL2251" i="1"/>
  <c r="M2252" i="1"/>
  <c r="P2252" i="1"/>
  <c r="AL2252" i="1"/>
  <c r="M2253" i="1"/>
  <c r="P2253" i="1"/>
  <c r="AL2253" i="1"/>
  <c r="M2254" i="1"/>
  <c r="P2254" i="1"/>
  <c r="AL2254" i="1"/>
  <c r="M2255" i="1"/>
  <c r="P2255" i="1"/>
  <c r="AL2255" i="1"/>
  <c r="M2256" i="1"/>
  <c r="P2256" i="1"/>
  <c r="AL2256" i="1"/>
  <c r="M2257" i="1"/>
  <c r="P2257" i="1"/>
  <c r="AL2257" i="1"/>
  <c r="M2258" i="1"/>
  <c r="P2258" i="1"/>
  <c r="AL2258" i="1"/>
  <c r="M2259" i="1"/>
  <c r="P2259" i="1"/>
  <c r="AL2259" i="1"/>
  <c r="M2260" i="1"/>
  <c r="P2260" i="1"/>
  <c r="AL2260" i="1"/>
  <c r="M2261" i="1"/>
  <c r="P2261" i="1"/>
  <c r="AL2261" i="1"/>
  <c r="M2262" i="1"/>
  <c r="P2262" i="1"/>
  <c r="AL2262" i="1"/>
  <c r="M2263" i="1"/>
  <c r="P2263" i="1"/>
  <c r="AL2263" i="1"/>
  <c r="M2264" i="1"/>
  <c r="P2264" i="1"/>
  <c r="AL2264" i="1"/>
  <c r="M2265" i="1"/>
  <c r="P2265" i="1"/>
  <c r="AL2265" i="1"/>
  <c r="M2266" i="1"/>
  <c r="P2266" i="1"/>
  <c r="AL2266" i="1"/>
  <c r="M2267" i="1"/>
  <c r="P2267" i="1"/>
  <c r="AL2267" i="1"/>
  <c r="M2268" i="1"/>
  <c r="P2268" i="1"/>
  <c r="AL2268" i="1"/>
  <c r="M2269" i="1"/>
  <c r="P2269" i="1"/>
  <c r="AL2269" i="1"/>
  <c r="M2270" i="1"/>
  <c r="P2270" i="1"/>
  <c r="AL2270" i="1"/>
  <c r="M2271" i="1"/>
  <c r="P2271" i="1"/>
  <c r="AL2271" i="1"/>
  <c r="M2272" i="1"/>
  <c r="P2272" i="1"/>
  <c r="AL2272" i="1"/>
  <c r="M2273" i="1"/>
  <c r="P2273" i="1"/>
  <c r="AL2273" i="1"/>
  <c r="M2274" i="1"/>
  <c r="P2274" i="1"/>
  <c r="AL2274" i="1"/>
  <c r="M2275" i="1"/>
  <c r="P2275" i="1"/>
  <c r="AL2275" i="1"/>
  <c r="M2276" i="1"/>
  <c r="P2276" i="1"/>
  <c r="AL2276" i="1"/>
  <c r="M2277" i="1"/>
  <c r="P2277" i="1"/>
  <c r="AL2277" i="1"/>
  <c r="M2278" i="1"/>
  <c r="P2278" i="1"/>
  <c r="AL2278" i="1"/>
  <c r="M2279" i="1"/>
  <c r="P2279" i="1"/>
  <c r="AL2279" i="1"/>
  <c r="M2280" i="1"/>
  <c r="P2280" i="1"/>
  <c r="AL2280" i="1"/>
  <c r="M2281" i="1"/>
  <c r="P2281" i="1"/>
  <c r="AL2281" i="1"/>
  <c r="M2282" i="1"/>
  <c r="P2282" i="1"/>
  <c r="AL2282" i="1"/>
  <c r="M2283" i="1"/>
  <c r="P2283" i="1"/>
  <c r="AL2283" i="1"/>
  <c r="M2284" i="1"/>
  <c r="P2284" i="1"/>
  <c r="AL2284" i="1"/>
  <c r="M2285" i="1"/>
  <c r="P2285" i="1"/>
  <c r="AL2285" i="1"/>
  <c r="M2286" i="1"/>
  <c r="P2286" i="1"/>
  <c r="AL2286" i="1"/>
  <c r="M2287" i="1"/>
  <c r="P2287" i="1"/>
  <c r="AL2287" i="1"/>
  <c r="M2288" i="1"/>
  <c r="P2288" i="1"/>
  <c r="AL2288" i="1"/>
  <c r="M2289" i="1"/>
  <c r="P2289" i="1"/>
  <c r="AL2289" i="1"/>
  <c r="M2290" i="1"/>
  <c r="P2290" i="1"/>
  <c r="AL2290" i="1"/>
  <c r="M2291" i="1"/>
  <c r="P2291" i="1"/>
  <c r="AL2291" i="1"/>
  <c r="M2292" i="1"/>
  <c r="P2292" i="1"/>
  <c r="AL2292" i="1"/>
  <c r="M2293" i="1"/>
  <c r="P2293" i="1"/>
  <c r="AL2293" i="1"/>
  <c r="M2294" i="1"/>
  <c r="P2294" i="1"/>
  <c r="AL2294" i="1"/>
  <c r="M2295" i="1"/>
  <c r="P2295" i="1"/>
  <c r="AL2295" i="1"/>
  <c r="M2296" i="1"/>
  <c r="P2296" i="1"/>
  <c r="AL2296" i="1"/>
  <c r="M2297" i="1"/>
  <c r="P2297" i="1"/>
  <c r="AL2297" i="1"/>
  <c r="M2298" i="1"/>
  <c r="P2298" i="1"/>
  <c r="AL2298" i="1"/>
  <c r="M2299" i="1"/>
  <c r="P2299" i="1"/>
  <c r="AL2299" i="1"/>
  <c r="M2300" i="1"/>
  <c r="P2300" i="1"/>
  <c r="AL2300" i="1"/>
  <c r="M2301" i="1"/>
  <c r="P2301" i="1"/>
  <c r="AL2301" i="1"/>
  <c r="M2302" i="1"/>
  <c r="P2302" i="1"/>
  <c r="AL2302" i="1"/>
  <c r="M2303" i="1"/>
  <c r="P2303" i="1"/>
  <c r="AL2303" i="1"/>
  <c r="M2304" i="1"/>
  <c r="P2304" i="1"/>
  <c r="AL2304" i="1"/>
  <c r="M2305" i="1"/>
  <c r="P2305" i="1"/>
  <c r="AL2305" i="1"/>
  <c r="AL1" i="1"/>
  <c r="L1" i="1"/>
  <c r="L3" i="1"/>
  <c r="O1" i="1"/>
  <c r="O3" i="1"/>
  <c r="AK3" i="1"/>
  <c r="L4" i="1"/>
  <c r="O4" i="1"/>
  <c r="AK4" i="1"/>
  <c r="L5" i="1"/>
  <c r="O5" i="1"/>
  <c r="AK5" i="1"/>
  <c r="L6" i="1"/>
  <c r="O6" i="1"/>
  <c r="AK6" i="1"/>
  <c r="L7" i="1"/>
  <c r="O7" i="1"/>
  <c r="AK7" i="1"/>
  <c r="L8" i="1"/>
  <c r="O8" i="1"/>
  <c r="AK8" i="1"/>
  <c r="L9" i="1"/>
  <c r="O9" i="1"/>
  <c r="AK9" i="1"/>
  <c r="L10" i="1"/>
  <c r="O10" i="1"/>
  <c r="AK10" i="1"/>
  <c r="L11" i="1"/>
  <c r="O11" i="1"/>
  <c r="AK11" i="1"/>
  <c r="L12" i="1"/>
  <c r="O12" i="1"/>
  <c r="AK12" i="1"/>
  <c r="L13" i="1"/>
  <c r="O13" i="1"/>
  <c r="AK13" i="1"/>
  <c r="L14" i="1"/>
  <c r="O14" i="1"/>
  <c r="AK14" i="1"/>
  <c r="L15" i="1"/>
  <c r="O15" i="1"/>
  <c r="AK15" i="1"/>
  <c r="L16" i="1"/>
  <c r="O16" i="1"/>
  <c r="AK16" i="1"/>
  <c r="L17" i="1"/>
  <c r="O17" i="1"/>
  <c r="AK17" i="1"/>
  <c r="L18" i="1"/>
  <c r="O18" i="1"/>
  <c r="AK18" i="1"/>
  <c r="L19" i="1"/>
  <c r="O19" i="1"/>
  <c r="AK19" i="1"/>
  <c r="L20" i="1"/>
  <c r="O20" i="1"/>
  <c r="AK20" i="1"/>
  <c r="L21" i="1"/>
  <c r="O21" i="1"/>
  <c r="AK21" i="1"/>
  <c r="L22" i="1"/>
  <c r="O22" i="1"/>
  <c r="AK22" i="1"/>
  <c r="L23" i="1"/>
  <c r="O23" i="1"/>
  <c r="AK23" i="1"/>
  <c r="L24" i="1"/>
  <c r="O24" i="1"/>
  <c r="AK24" i="1"/>
  <c r="L25" i="1"/>
  <c r="O25" i="1"/>
  <c r="AK25" i="1"/>
  <c r="L26" i="1"/>
  <c r="O26" i="1"/>
  <c r="AK26" i="1"/>
  <c r="L27" i="1"/>
  <c r="O27" i="1"/>
  <c r="AK27" i="1"/>
  <c r="L28" i="1"/>
  <c r="O28" i="1"/>
  <c r="AK28" i="1"/>
  <c r="L29" i="1"/>
  <c r="O29" i="1"/>
  <c r="AK29" i="1"/>
  <c r="L30" i="1"/>
  <c r="O30" i="1"/>
  <c r="AK30" i="1"/>
  <c r="L31" i="1"/>
  <c r="O31" i="1"/>
  <c r="AK31" i="1"/>
  <c r="L32" i="1"/>
  <c r="O32" i="1"/>
  <c r="AK32" i="1"/>
  <c r="L33" i="1"/>
  <c r="O33" i="1"/>
  <c r="AK33" i="1"/>
  <c r="L34" i="1"/>
  <c r="O34" i="1"/>
  <c r="AK34" i="1"/>
  <c r="L35" i="1"/>
  <c r="O35" i="1"/>
  <c r="AK35" i="1"/>
  <c r="L36" i="1"/>
  <c r="O36" i="1"/>
  <c r="AK36" i="1"/>
  <c r="L37" i="1"/>
  <c r="O37" i="1"/>
  <c r="AK37" i="1"/>
  <c r="L38" i="1"/>
  <c r="O38" i="1"/>
  <c r="AK38" i="1"/>
  <c r="L39" i="1"/>
  <c r="O39" i="1"/>
  <c r="AK39" i="1"/>
  <c r="L40" i="1"/>
  <c r="O40" i="1"/>
  <c r="AK40" i="1"/>
  <c r="L41" i="1"/>
  <c r="O41" i="1"/>
  <c r="AK41" i="1"/>
  <c r="L42" i="1"/>
  <c r="O42" i="1"/>
  <c r="AK42" i="1"/>
  <c r="L43" i="1"/>
  <c r="O43" i="1"/>
  <c r="AK43" i="1"/>
  <c r="L44" i="1"/>
  <c r="O44" i="1"/>
  <c r="AK44" i="1"/>
  <c r="L45" i="1"/>
  <c r="O45" i="1"/>
  <c r="AK45" i="1"/>
  <c r="L46" i="1"/>
  <c r="O46" i="1"/>
  <c r="AK46" i="1"/>
  <c r="L47" i="1"/>
  <c r="O47" i="1"/>
  <c r="AK47" i="1"/>
  <c r="L48" i="1"/>
  <c r="O48" i="1"/>
  <c r="AK48" i="1"/>
  <c r="L49" i="1"/>
  <c r="O49" i="1"/>
  <c r="AK49" i="1"/>
  <c r="L50" i="1"/>
  <c r="O50" i="1"/>
  <c r="AK50" i="1"/>
  <c r="L51" i="1"/>
  <c r="O51" i="1"/>
  <c r="AK51" i="1"/>
  <c r="L52" i="1"/>
  <c r="O52" i="1"/>
  <c r="AK52" i="1"/>
  <c r="L53" i="1"/>
  <c r="O53" i="1"/>
  <c r="AK53" i="1"/>
  <c r="L54" i="1"/>
  <c r="O54" i="1"/>
  <c r="AK54" i="1"/>
  <c r="L55" i="1"/>
  <c r="O55" i="1"/>
  <c r="AK55" i="1"/>
  <c r="L56" i="1"/>
  <c r="O56" i="1"/>
  <c r="AK56" i="1"/>
  <c r="L57" i="1"/>
  <c r="O57" i="1"/>
  <c r="AK57" i="1"/>
  <c r="L58" i="1"/>
  <c r="O58" i="1"/>
  <c r="AK58" i="1"/>
  <c r="L59" i="1"/>
  <c r="O59" i="1"/>
  <c r="AK59" i="1"/>
  <c r="L60" i="1"/>
  <c r="O60" i="1"/>
  <c r="AK60" i="1"/>
  <c r="L61" i="1"/>
  <c r="O61" i="1"/>
  <c r="AK61" i="1"/>
  <c r="L62" i="1"/>
  <c r="O62" i="1"/>
  <c r="AK62" i="1"/>
  <c r="L63" i="1"/>
  <c r="O63" i="1"/>
  <c r="AK63" i="1"/>
  <c r="L64" i="1"/>
  <c r="O64" i="1"/>
  <c r="AK64" i="1"/>
  <c r="L65" i="1"/>
  <c r="O65" i="1"/>
  <c r="AK65" i="1"/>
  <c r="L66" i="1"/>
  <c r="O66" i="1"/>
  <c r="AK66" i="1"/>
  <c r="L67" i="1"/>
  <c r="O67" i="1"/>
  <c r="AK67" i="1"/>
  <c r="L68" i="1"/>
  <c r="O68" i="1"/>
  <c r="AK68" i="1"/>
  <c r="L69" i="1"/>
  <c r="O69" i="1"/>
  <c r="AK69" i="1"/>
  <c r="L70" i="1"/>
  <c r="O70" i="1"/>
  <c r="AK70" i="1"/>
  <c r="L71" i="1"/>
  <c r="O71" i="1"/>
  <c r="AK71" i="1"/>
  <c r="L72" i="1"/>
  <c r="O72" i="1"/>
  <c r="AK72" i="1"/>
  <c r="L73" i="1"/>
  <c r="O73" i="1"/>
  <c r="AK73" i="1"/>
  <c r="L74" i="1"/>
  <c r="O74" i="1"/>
  <c r="AK74" i="1"/>
  <c r="L75" i="1"/>
  <c r="O75" i="1"/>
  <c r="AK75" i="1"/>
  <c r="L76" i="1"/>
  <c r="O76" i="1"/>
  <c r="AK76" i="1"/>
  <c r="L77" i="1"/>
  <c r="O77" i="1"/>
  <c r="AK77" i="1"/>
  <c r="L78" i="1"/>
  <c r="O78" i="1"/>
  <c r="AK78" i="1"/>
  <c r="L79" i="1"/>
  <c r="O79" i="1"/>
  <c r="AK79" i="1"/>
  <c r="L80" i="1"/>
  <c r="O80" i="1"/>
  <c r="AK80" i="1"/>
  <c r="L81" i="1"/>
  <c r="O81" i="1"/>
  <c r="AK81" i="1"/>
  <c r="L82" i="1"/>
  <c r="O82" i="1"/>
  <c r="AK82" i="1"/>
  <c r="L83" i="1"/>
  <c r="O83" i="1"/>
  <c r="AK83" i="1"/>
  <c r="L84" i="1"/>
  <c r="O84" i="1"/>
  <c r="AK84" i="1"/>
  <c r="L85" i="1"/>
  <c r="O85" i="1"/>
  <c r="AK85" i="1"/>
  <c r="L86" i="1"/>
  <c r="O86" i="1"/>
  <c r="AK86" i="1"/>
  <c r="L87" i="1"/>
  <c r="O87" i="1"/>
  <c r="AK87" i="1"/>
  <c r="L88" i="1"/>
  <c r="O88" i="1"/>
  <c r="AK88" i="1"/>
  <c r="L89" i="1"/>
  <c r="O89" i="1"/>
  <c r="AK89" i="1"/>
  <c r="L90" i="1"/>
  <c r="O90" i="1"/>
  <c r="AK90" i="1"/>
  <c r="L91" i="1"/>
  <c r="O91" i="1"/>
  <c r="AK91" i="1"/>
  <c r="L92" i="1"/>
  <c r="O92" i="1"/>
  <c r="AK92" i="1"/>
  <c r="L93" i="1"/>
  <c r="O93" i="1"/>
  <c r="AK93" i="1"/>
  <c r="L94" i="1"/>
  <c r="O94" i="1"/>
  <c r="AK94" i="1"/>
  <c r="L95" i="1"/>
  <c r="O95" i="1"/>
  <c r="AK95" i="1"/>
  <c r="L96" i="1"/>
  <c r="O96" i="1"/>
  <c r="AK96" i="1"/>
  <c r="L97" i="1"/>
  <c r="O97" i="1"/>
  <c r="AK97" i="1"/>
  <c r="L98" i="1"/>
  <c r="O98" i="1"/>
  <c r="AK98" i="1"/>
  <c r="L99" i="1"/>
  <c r="O99" i="1"/>
  <c r="AK99" i="1"/>
  <c r="L100" i="1"/>
  <c r="O100" i="1"/>
  <c r="AK100" i="1"/>
  <c r="L101" i="1"/>
  <c r="O101" i="1"/>
  <c r="AK101" i="1"/>
  <c r="L102" i="1"/>
  <c r="O102" i="1"/>
  <c r="AK102" i="1"/>
  <c r="L103" i="1"/>
  <c r="O103" i="1"/>
  <c r="AK103" i="1"/>
  <c r="L104" i="1"/>
  <c r="O104" i="1"/>
  <c r="AK104" i="1"/>
  <c r="L105" i="1"/>
  <c r="O105" i="1"/>
  <c r="AK105" i="1"/>
  <c r="L106" i="1"/>
  <c r="O106" i="1"/>
  <c r="AK106" i="1"/>
  <c r="L107" i="1"/>
  <c r="O107" i="1"/>
  <c r="AK107" i="1"/>
  <c r="L108" i="1"/>
  <c r="O108" i="1"/>
  <c r="AK108" i="1"/>
  <c r="L109" i="1"/>
  <c r="O109" i="1"/>
  <c r="AK109" i="1"/>
  <c r="L110" i="1"/>
  <c r="O110" i="1"/>
  <c r="AK110" i="1"/>
  <c r="L111" i="1"/>
  <c r="O111" i="1"/>
  <c r="AK111" i="1"/>
  <c r="L112" i="1"/>
  <c r="O112" i="1"/>
  <c r="AK112" i="1"/>
  <c r="L113" i="1"/>
  <c r="O113" i="1"/>
  <c r="AK113" i="1"/>
  <c r="L114" i="1"/>
  <c r="O114" i="1"/>
  <c r="AK114" i="1"/>
  <c r="L115" i="1"/>
  <c r="O115" i="1"/>
  <c r="AK115" i="1"/>
  <c r="L116" i="1"/>
  <c r="O116" i="1"/>
  <c r="AK116" i="1"/>
  <c r="L117" i="1"/>
  <c r="O117" i="1"/>
  <c r="AK117" i="1"/>
  <c r="L118" i="1"/>
  <c r="O118" i="1"/>
  <c r="AK118" i="1"/>
  <c r="L119" i="1"/>
  <c r="O119" i="1"/>
  <c r="AK119" i="1"/>
  <c r="L120" i="1"/>
  <c r="O120" i="1"/>
  <c r="AK120" i="1"/>
  <c r="L121" i="1"/>
  <c r="O121" i="1"/>
  <c r="AK121" i="1"/>
  <c r="L122" i="1"/>
  <c r="O122" i="1"/>
  <c r="AK122" i="1"/>
  <c r="L123" i="1"/>
  <c r="O123" i="1"/>
  <c r="AK123" i="1"/>
  <c r="L124" i="1"/>
  <c r="O124" i="1"/>
  <c r="AK124" i="1"/>
  <c r="L125" i="1"/>
  <c r="O125" i="1"/>
  <c r="AK125" i="1"/>
  <c r="L126" i="1"/>
  <c r="O126" i="1"/>
  <c r="AK126" i="1"/>
  <c r="L127" i="1"/>
  <c r="O127" i="1"/>
  <c r="AK127" i="1"/>
  <c r="L128" i="1"/>
  <c r="O128" i="1"/>
  <c r="AK128" i="1"/>
  <c r="L129" i="1"/>
  <c r="O129" i="1"/>
  <c r="AK129" i="1"/>
  <c r="L130" i="1"/>
  <c r="O130" i="1"/>
  <c r="AK130" i="1"/>
  <c r="L131" i="1"/>
  <c r="O131" i="1"/>
  <c r="AK131" i="1"/>
  <c r="L132" i="1"/>
  <c r="O132" i="1"/>
  <c r="AK132" i="1"/>
  <c r="L133" i="1"/>
  <c r="O133" i="1"/>
  <c r="AK133" i="1"/>
  <c r="L134" i="1"/>
  <c r="O134" i="1"/>
  <c r="AK134" i="1"/>
  <c r="L135" i="1"/>
  <c r="O135" i="1"/>
  <c r="AK135" i="1"/>
  <c r="L136" i="1"/>
  <c r="O136" i="1"/>
  <c r="AK136" i="1"/>
  <c r="L137" i="1"/>
  <c r="O137" i="1"/>
  <c r="AK137" i="1"/>
  <c r="L138" i="1"/>
  <c r="O138" i="1"/>
  <c r="AK138" i="1"/>
  <c r="L139" i="1"/>
  <c r="O139" i="1"/>
  <c r="AK139" i="1"/>
  <c r="L140" i="1"/>
  <c r="O140" i="1"/>
  <c r="AK140" i="1"/>
  <c r="L141" i="1"/>
  <c r="O141" i="1"/>
  <c r="AK141" i="1"/>
  <c r="L142" i="1"/>
  <c r="O142" i="1"/>
  <c r="AK142" i="1"/>
  <c r="L143" i="1"/>
  <c r="O143" i="1"/>
  <c r="AK143" i="1"/>
  <c r="L144" i="1"/>
  <c r="O144" i="1"/>
  <c r="AK144" i="1"/>
  <c r="L145" i="1"/>
  <c r="O145" i="1"/>
  <c r="AK145" i="1"/>
  <c r="L146" i="1"/>
  <c r="O146" i="1"/>
  <c r="AK146" i="1"/>
  <c r="L147" i="1"/>
  <c r="O147" i="1"/>
  <c r="AK147" i="1"/>
  <c r="L148" i="1"/>
  <c r="O148" i="1"/>
  <c r="AK148" i="1"/>
  <c r="L149" i="1"/>
  <c r="O149" i="1"/>
  <c r="AK149" i="1"/>
  <c r="L150" i="1"/>
  <c r="O150" i="1"/>
  <c r="AK150" i="1"/>
  <c r="L151" i="1"/>
  <c r="O151" i="1"/>
  <c r="AK151" i="1"/>
  <c r="L152" i="1"/>
  <c r="O152" i="1"/>
  <c r="AK152" i="1"/>
  <c r="L153" i="1"/>
  <c r="O153" i="1"/>
  <c r="AK153" i="1"/>
  <c r="L154" i="1"/>
  <c r="O154" i="1"/>
  <c r="AK154" i="1"/>
  <c r="L155" i="1"/>
  <c r="O155" i="1"/>
  <c r="AK155" i="1"/>
  <c r="L156" i="1"/>
  <c r="O156" i="1"/>
  <c r="AK156" i="1"/>
  <c r="L157" i="1"/>
  <c r="O157" i="1"/>
  <c r="AK157" i="1"/>
  <c r="L158" i="1"/>
  <c r="O158" i="1"/>
  <c r="AK158" i="1"/>
  <c r="L159" i="1"/>
  <c r="O159" i="1"/>
  <c r="AK159" i="1"/>
  <c r="L160" i="1"/>
  <c r="O160" i="1"/>
  <c r="AK160" i="1"/>
  <c r="L161" i="1"/>
  <c r="O161" i="1"/>
  <c r="AK161" i="1"/>
  <c r="L162" i="1"/>
  <c r="O162" i="1"/>
  <c r="AK162" i="1"/>
  <c r="L163" i="1"/>
  <c r="O163" i="1"/>
  <c r="AK163" i="1"/>
  <c r="L164" i="1"/>
  <c r="O164" i="1"/>
  <c r="AK164" i="1"/>
  <c r="L165" i="1"/>
  <c r="O165" i="1"/>
  <c r="AK165" i="1"/>
  <c r="L166" i="1"/>
  <c r="O166" i="1"/>
  <c r="AK166" i="1"/>
  <c r="L167" i="1"/>
  <c r="O167" i="1"/>
  <c r="AK167" i="1"/>
  <c r="L168" i="1"/>
  <c r="O168" i="1"/>
  <c r="AK168" i="1"/>
  <c r="L169" i="1"/>
  <c r="O169" i="1"/>
  <c r="AK169" i="1"/>
  <c r="L170" i="1"/>
  <c r="O170" i="1"/>
  <c r="AK170" i="1"/>
  <c r="L171" i="1"/>
  <c r="O171" i="1"/>
  <c r="AK171" i="1"/>
  <c r="L172" i="1"/>
  <c r="O172" i="1"/>
  <c r="AK172" i="1"/>
  <c r="L173" i="1"/>
  <c r="O173" i="1"/>
  <c r="AK173" i="1"/>
  <c r="L174" i="1"/>
  <c r="O174" i="1"/>
  <c r="AK174" i="1"/>
  <c r="L175" i="1"/>
  <c r="O175" i="1"/>
  <c r="AK175" i="1"/>
  <c r="L176" i="1"/>
  <c r="O176" i="1"/>
  <c r="AK176" i="1"/>
  <c r="L177" i="1"/>
  <c r="O177" i="1"/>
  <c r="AK177" i="1"/>
  <c r="L178" i="1"/>
  <c r="O178" i="1"/>
  <c r="AK178" i="1"/>
  <c r="L179" i="1"/>
  <c r="O179" i="1"/>
  <c r="AK179" i="1"/>
  <c r="L180" i="1"/>
  <c r="O180" i="1"/>
  <c r="AK180" i="1"/>
  <c r="L181" i="1"/>
  <c r="O181" i="1"/>
  <c r="AK181" i="1"/>
  <c r="L182" i="1"/>
  <c r="O182" i="1"/>
  <c r="AK182" i="1"/>
  <c r="L183" i="1"/>
  <c r="O183" i="1"/>
  <c r="AK183" i="1"/>
  <c r="L184" i="1"/>
  <c r="O184" i="1"/>
  <c r="AK184" i="1"/>
  <c r="L185" i="1"/>
  <c r="O185" i="1"/>
  <c r="AK185" i="1"/>
  <c r="L186" i="1"/>
  <c r="O186" i="1"/>
  <c r="AK186" i="1"/>
  <c r="L187" i="1"/>
  <c r="O187" i="1"/>
  <c r="AK187" i="1"/>
  <c r="L188" i="1"/>
  <c r="O188" i="1"/>
  <c r="AK188" i="1"/>
  <c r="L189" i="1"/>
  <c r="O189" i="1"/>
  <c r="AK189" i="1"/>
  <c r="L190" i="1"/>
  <c r="O190" i="1"/>
  <c r="AK190" i="1"/>
  <c r="L191" i="1"/>
  <c r="O191" i="1"/>
  <c r="AK191" i="1"/>
  <c r="L192" i="1"/>
  <c r="O192" i="1"/>
  <c r="AK192" i="1"/>
  <c r="L193" i="1"/>
  <c r="O193" i="1"/>
  <c r="AK193" i="1"/>
  <c r="L194" i="1"/>
  <c r="O194" i="1"/>
  <c r="AK194" i="1"/>
  <c r="L195" i="1"/>
  <c r="O195" i="1"/>
  <c r="AK195" i="1"/>
  <c r="L196" i="1"/>
  <c r="O196" i="1"/>
  <c r="AK196" i="1"/>
  <c r="L197" i="1"/>
  <c r="O197" i="1"/>
  <c r="AK197" i="1"/>
  <c r="L198" i="1"/>
  <c r="O198" i="1"/>
  <c r="AK198" i="1"/>
  <c r="L199" i="1"/>
  <c r="O199" i="1"/>
  <c r="AK199" i="1"/>
  <c r="L200" i="1"/>
  <c r="O200" i="1"/>
  <c r="AK200" i="1"/>
  <c r="L201" i="1"/>
  <c r="O201" i="1"/>
  <c r="AK201" i="1"/>
  <c r="L202" i="1"/>
  <c r="O202" i="1"/>
  <c r="AK202" i="1"/>
  <c r="L203" i="1"/>
  <c r="O203" i="1"/>
  <c r="AK203" i="1"/>
  <c r="L204" i="1"/>
  <c r="O204" i="1"/>
  <c r="AK204" i="1"/>
  <c r="L205" i="1"/>
  <c r="O205" i="1"/>
  <c r="AK205" i="1"/>
  <c r="L206" i="1"/>
  <c r="O206" i="1"/>
  <c r="AK206" i="1"/>
  <c r="L207" i="1"/>
  <c r="O207" i="1"/>
  <c r="AK207" i="1"/>
  <c r="L208" i="1"/>
  <c r="O208" i="1"/>
  <c r="AK208" i="1"/>
  <c r="L209" i="1"/>
  <c r="O209" i="1"/>
  <c r="AK209" i="1"/>
  <c r="L210" i="1"/>
  <c r="O210" i="1"/>
  <c r="AK210" i="1"/>
  <c r="L211" i="1"/>
  <c r="O211" i="1"/>
  <c r="AK211" i="1"/>
  <c r="L212" i="1"/>
  <c r="O212" i="1"/>
  <c r="AK212" i="1"/>
  <c r="L213" i="1"/>
  <c r="O213" i="1"/>
  <c r="AK213" i="1"/>
  <c r="L214" i="1"/>
  <c r="O214" i="1"/>
  <c r="AK214" i="1"/>
  <c r="L215" i="1"/>
  <c r="O215" i="1"/>
  <c r="AK215" i="1"/>
  <c r="L216" i="1"/>
  <c r="O216" i="1"/>
  <c r="AK216" i="1"/>
  <c r="L217" i="1"/>
  <c r="O217" i="1"/>
  <c r="AK217" i="1"/>
  <c r="L218" i="1"/>
  <c r="O218" i="1"/>
  <c r="AK218" i="1"/>
  <c r="L219" i="1"/>
  <c r="O219" i="1"/>
  <c r="AK219" i="1"/>
  <c r="L220" i="1"/>
  <c r="O220" i="1"/>
  <c r="AK220" i="1"/>
  <c r="L221" i="1"/>
  <c r="O221" i="1"/>
  <c r="AK221" i="1"/>
  <c r="L222" i="1"/>
  <c r="O222" i="1"/>
  <c r="AK222" i="1"/>
  <c r="L223" i="1"/>
  <c r="O223" i="1"/>
  <c r="AK223" i="1"/>
  <c r="L224" i="1"/>
  <c r="O224" i="1"/>
  <c r="AK224" i="1"/>
  <c r="L225" i="1"/>
  <c r="O225" i="1"/>
  <c r="AK225" i="1"/>
  <c r="L226" i="1"/>
  <c r="O226" i="1"/>
  <c r="AK226" i="1"/>
  <c r="L227" i="1"/>
  <c r="O227" i="1"/>
  <c r="AK227" i="1"/>
  <c r="L228" i="1"/>
  <c r="O228" i="1"/>
  <c r="AK228" i="1"/>
  <c r="L229" i="1"/>
  <c r="O229" i="1"/>
  <c r="AK229" i="1"/>
  <c r="L230" i="1"/>
  <c r="O230" i="1"/>
  <c r="AK230" i="1"/>
  <c r="L231" i="1"/>
  <c r="O231" i="1"/>
  <c r="AK231" i="1"/>
  <c r="L232" i="1"/>
  <c r="O232" i="1"/>
  <c r="AK232" i="1"/>
  <c r="L233" i="1"/>
  <c r="O233" i="1"/>
  <c r="AK233" i="1"/>
  <c r="L234" i="1"/>
  <c r="O234" i="1"/>
  <c r="AK234" i="1"/>
  <c r="L235" i="1"/>
  <c r="O235" i="1"/>
  <c r="AK235" i="1"/>
  <c r="L236" i="1"/>
  <c r="O236" i="1"/>
  <c r="AK236" i="1"/>
  <c r="L237" i="1"/>
  <c r="O237" i="1"/>
  <c r="AK237" i="1"/>
  <c r="L238" i="1"/>
  <c r="O238" i="1"/>
  <c r="AK238" i="1"/>
  <c r="L239" i="1"/>
  <c r="O239" i="1"/>
  <c r="AK239" i="1"/>
  <c r="L240" i="1"/>
  <c r="O240" i="1"/>
  <c r="AK240" i="1"/>
  <c r="L241" i="1"/>
  <c r="O241" i="1"/>
  <c r="AK241" i="1"/>
  <c r="L242" i="1"/>
  <c r="O242" i="1"/>
  <c r="AK242" i="1"/>
  <c r="L243" i="1"/>
  <c r="O243" i="1"/>
  <c r="AK243" i="1"/>
  <c r="L244" i="1"/>
  <c r="O244" i="1"/>
  <c r="AK244" i="1"/>
  <c r="L245" i="1"/>
  <c r="O245" i="1"/>
  <c r="AK245" i="1"/>
  <c r="L246" i="1"/>
  <c r="O246" i="1"/>
  <c r="AK246" i="1"/>
  <c r="L247" i="1"/>
  <c r="O247" i="1"/>
  <c r="AK247" i="1"/>
  <c r="L248" i="1"/>
  <c r="O248" i="1"/>
  <c r="AK248" i="1"/>
  <c r="L249" i="1"/>
  <c r="O249" i="1"/>
  <c r="AK249" i="1"/>
  <c r="L250" i="1"/>
  <c r="O250" i="1"/>
  <c r="AK250" i="1"/>
  <c r="L251" i="1"/>
  <c r="O251" i="1"/>
  <c r="AK251" i="1"/>
  <c r="L252" i="1"/>
  <c r="O252" i="1"/>
  <c r="AK252" i="1"/>
  <c r="L253" i="1"/>
  <c r="O253" i="1"/>
  <c r="AK253" i="1"/>
  <c r="L254" i="1"/>
  <c r="O254" i="1"/>
  <c r="AK254" i="1"/>
  <c r="L255" i="1"/>
  <c r="O255" i="1"/>
  <c r="AK255" i="1"/>
  <c r="L256" i="1"/>
  <c r="O256" i="1"/>
  <c r="AK256" i="1"/>
  <c r="L257" i="1"/>
  <c r="O257" i="1"/>
  <c r="AK257" i="1"/>
  <c r="L258" i="1"/>
  <c r="O258" i="1"/>
  <c r="AK258" i="1"/>
  <c r="L259" i="1"/>
  <c r="O259" i="1"/>
  <c r="AK259" i="1"/>
  <c r="L260" i="1"/>
  <c r="O260" i="1"/>
  <c r="AK260" i="1"/>
  <c r="L261" i="1"/>
  <c r="O261" i="1"/>
  <c r="AK261" i="1"/>
  <c r="L262" i="1"/>
  <c r="O262" i="1"/>
  <c r="AK262" i="1"/>
  <c r="L263" i="1"/>
  <c r="O263" i="1"/>
  <c r="AK263" i="1"/>
  <c r="L264" i="1"/>
  <c r="O264" i="1"/>
  <c r="AK264" i="1"/>
  <c r="L265" i="1"/>
  <c r="O265" i="1"/>
  <c r="AK265" i="1"/>
  <c r="L266" i="1"/>
  <c r="O266" i="1"/>
  <c r="AK266" i="1"/>
  <c r="L267" i="1"/>
  <c r="O267" i="1"/>
  <c r="AK267" i="1"/>
  <c r="L268" i="1"/>
  <c r="O268" i="1"/>
  <c r="AK268" i="1"/>
  <c r="L269" i="1"/>
  <c r="O269" i="1"/>
  <c r="AK269" i="1"/>
  <c r="L270" i="1"/>
  <c r="O270" i="1"/>
  <c r="AK270" i="1"/>
  <c r="L271" i="1"/>
  <c r="O271" i="1"/>
  <c r="AK271" i="1"/>
  <c r="L272" i="1"/>
  <c r="O272" i="1"/>
  <c r="AK272" i="1"/>
  <c r="L273" i="1"/>
  <c r="O273" i="1"/>
  <c r="AK273" i="1"/>
  <c r="L274" i="1"/>
  <c r="O274" i="1"/>
  <c r="AK274" i="1"/>
  <c r="L275" i="1"/>
  <c r="O275" i="1"/>
  <c r="AK275" i="1"/>
  <c r="L276" i="1"/>
  <c r="O276" i="1"/>
  <c r="AK276" i="1"/>
  <c r="L277" i="1"/>
  <c r="O277" i="1"/>
  <c r="AK277" i="1"/>
  <c r="L278" i="1"/>
  <c r="O278" i="1"/>
  <c r="AK278" i="1"/>
  <c r="L279" i="1"/>
  <c r="O279" i="1"/>
  <c r="AK279" i="1"/>
  <c r="L280" i="1"/>
  <c r="O280" i="1"/>
  <c r="AK280" i="1"/>
  <c r="L281" i="1"/>
  <c r="O281" i="1"/>
  <c r="AK281" i="1"/>
  <c r="L282" i="1"/>
  <c r="O282" i="1"/>
  <c r="AK282" i="1"/>
  <c r="L283" i="1"/>
  <c r="O283" i="1"/>
  <c r="AK283" i="1"/>
  <c r="L284" i="1"/>
  <c r="O284" i="1"/>
  <c r="AK284" i="1"/>
  <c r="L285" i="1"/>
  <c r="O285" i="1"/>
  <c r="AK285" i="1"/>
  <c r="L286" i="1"/>
  <c r="O286" i="1"/>
  <c r="AK286" i="1"/>
  <c r="L287" i="1"/>
  <c r="O287" i="1"/>
  <c r="AK287" i="1"/>
  <c r="L288" i="1"/>
  <c r="O288" i="1"/>
  <c r="AK288" i="1"/>
  <c r="L289" i="1"/>
  <c r="O289" i="1"/>
  <c r="AK289" i="1"/>
  <c r="L290" i="1"/>
  <c r="O290" i="1"/>
  <c r="AK290" i="1"/>
  <c r="L291" i="1"/>
  <c r="O291" i="1"/>
  <c r="AK291" i="1"/>
  <c r="L292" i="1"/>
  <c r="O292" i="1"/>
  <c r="AK292" i="1"/>
  <c r="L293" i="1"/>
  <c r="O293" i="1"/>
  <c r="AK293" i="1"/>
  <c r="L294" i="1"/>
  <c r="O294" i="1"/>
  <c r="AK294" i="1"/>
  <c r="L295" i="1"/>
  <c r="O295" i="1"/>
  <c r="AK295" i="1"/>
  <c r="L296" i="1"/>
  <c r="O296" i="1"/>
  <c r="AK296" i="1"/>
  <c r="L297" i="1"/>
  <c r="O297" i="1"/>
  <c r="AK297" i="1"/>
  <c r="L298" i="1"/>
  <c r="O298" i="1"/>
  <c r="AK298" i="1"/>
  <c r="L299" i="1"/>
  <c r="O299" i="1"/>
  <c r="AK299" i="1"/>
  <c r="L300" i="1"/>
  <c r="O300" i="1"/>
  <c r="AK300" i="1"/>
  <c r="L301" i="1"/>
  <c r="O301" i="1"/>
  <c r="AK301" i="1"/>
  <c r="L302" i="1"/>
  <c r="O302" i="1"/>
  <c r="AK302" i="1"/>
  <c r="L303" i="1"/>
  <c r="O303" i="1"/>
  <c r="AK303" i="1"/>
  <c r="L304" i="1"/>
  <c r="O304" i="1"/>
  <c r="AK304" i="1"/>
  <c r="L305" i="1"/>
  <c r="O305" i="1"/>
  <c r="AK305" i="1"/>
  <c r="L306" i="1"/>
  <c r="O306" i="1"/>
  <c r="AK306" i="1"/>
  <c r="L307" i="1"/>
  <c r="O307" i="1"/>
  <c r="AK307" i="1"/>
  <c r="L308" i="1"/>
  <c r="O308" i="1"/>
  <c r="AK308" i="1"/>
  <c r="L309" i="1"/>
  <c r="O309" i="1"/>
  <c r="AK309" i="1"/>
  <c r="L310" i="1"/>
  <c r="O310" i="1"/>
  <c r="AK310" i="1"/>
  <c r="L311" i="1"/>
  <c r="O311" i="1"/>
  <c r="AK311" i="1"/>
  <c r="L312" i="1"/>
  <c r="O312" i="1"/>
  <c r="AK312" i="1"/>
  <c r="L313" i="1"/>
  <c r="O313" i="1"/>
  <c r="AK313" i="1"/>
  <c r="L314" i="1"/>
  <c r="O314" i="1"/>
  <c r="AK314" i="1"/>
  <c r="L315" i="1"/>
  <c r="O315" i="1"/>
  <c r="AK315" i="1"/>
  <c r="L316" i="1"/>
  <c r="O316" i="1"/>
  <c r="AK316" i="1"/>
  <c r="L317" i="1"/>
  <c r="O317" i="1"/>
  <c r="AK317" i="1"/>
  <c r="L318" i="1"/>
  <c r="O318" i="1"/>
  <c r="AK318" i="1"/>
  <c r="L319" i="1"/>
  <c r="O319" i="1"/>
  <c r="AK319" i="1"/>
  <c r="L320" i="1"/>
  <c r="O320" i="1"/>
  <c r="AK320" i="1"/>
  <c r="L321" i="1"/>
  <c r="O321" i="1"/>
  <c r="AK321" i="1"/>
  <c r="L322" i="1"/>
  <c r="O322" i="1"/>
  <c r="AK322" i="1"/>
  <c r="L323" i="1"/>
  <c r="O323" i="1"/>
  <c r="AK323" i="1"/>
  <c r="L324" i="1"/>
  <c r="O324" i="1"/>
  <c r="AK324" i="1"/>
  <c r="L325" i="1"/>
  <c r="O325" i="1"/>
  <c r="AK325" i="1"/>
  <c r="L326" i="1"/>
  <c r="O326" i="1"/>
  <c r="AK326" i="1"/>
  <c r="L327" i="1"/>
  <c r="O327" i="1"/>
  <c r="AK327" i="1"/>
  <c r="L328" i="1"/>
  <c r="O328" i="1"/>
  <c r="AK328" i="1"/>
  <c r="L329" i="1"/>
  <c r="O329" i="1"/>
  <c r="AK329" i="1"/>
  <c r="L330" i="1"/>
  <c r="O330" i="1"/>
  <c r="AK330" i="1"/>
  <c r="L331" i="1"/>
  <c r="O331" i="1"/>
  <c r="AK331" i="1"/>
  <c r="L332" i="1"/>
  <c r="O332" i="1"/>
  <c r="AK332" i="1"/>
  <c r="L333" i="1"/>
  <c r="O333" i="1"/>
  <c r="AK333" i="1"/>
  <c r="L334" i="1"/>
  <c r="O334" i="1"/>
  <c r="AK334" i="1"/>
  <c r="L335" i="1"/>
  <c r="O335" i="1"/>
  <c r="AK335" i="1"/>
  <c r="L336" i="1"/>
  <c r="O336" i="1"/>
  <c r="AK336" i="1"/>
  <c r="L337" i="1"/>
  <c r="O337" i="1"/>
  <c r="AK337" i="1"/>
  <c r="L338" i="1"/>
  <c r="O338" i="1"/>
  <c r="AK338" i="1"/>
  <c r="L339" i="1"/>
  <c r="O339" i="1"/>
  <c r="AK339" i="1"/>
  <c r="L340" i="1"/>
  <c r="O340" i="1"/>
  <c r="AK340" i="1"/>
  <c r="L341" i="1"/>
  <c r="O341" i="1"/>
  <c r="AK341" i="1"/>
  <c r="L342" i="1"/>
  <c r="O342" i="1"/>
  <c r="AK342" i="1"/>
  <c r="L343" i="1"/>
  <c r="O343" i="1"/>
  <c r="AK343" i="1"/>
  <c r="L344" i="1"/>
  <c r="O344" i="1"/>
  <c r="AK344" i="1"/>
  <c r="L345" i="1"/>
  <c r="O345" i="1"/>
  <c r="AK345" i="1"/>
  <c r="L346" i="1"/>
  <c r="O346" i="1"/>
  <c r="AK346" i="1"/>
  <c r="L347" i="1"/>
  <c r="O347" i="1"/>
  <c r="AK347" i="1"/>
  <c r="L348" i="1"/>
  <c r="O348" i="1"/>
  <c r="AK348" i="1"/>
  <c r="L349" i="1"/>
  <c r="O349" i="1"/>
  <c r="AK349" i="1"/>
  <c r="L350" i="1"/>
  <c r="O350" i="1"/>
  <c r="AK350" i="1"/>
  <c r="L351" i="1"/>
  <c r="O351" i="1"/>
  <c r="AK351" i="1"/>
  <c r="L352" i="1"/>
  <c r="O352" i="1"/>
  <c r="AK352" i="1"/>
  <c r="L353" i="1"/>
  <c r="O353" i="1"/>
  <c r="AK353" i="1"/>
  <c r="L354" i="1"/>
  <c r="O354" i="1"/>
  <c r="AK354" i="1"/>
  <c r="L355" i="1"/>
  <c r="O355" i="1"/>
  <c r="AK355" i="1"/>
  <c r="L356" i="1"/>
  <c r="O356" i="1"/>
  <c r="AK356" i="1"/>
  <c r="L357" i="1"/>
  <c r="O357" i="1"/>
  <c r="AK357" i="1"/>
  <c r="L358" i="1"/>
  <c r="O358" i="1"/>
  <c r="AK358" i="1"/>
  <c r="L359" i="1"/>
  <c r="O359" i="1"/>
  <c r="AK359" i="1"/>
  <c r="L360" i="1"/>
  <c r="O360" i="1"/>
  <c r="AK360" i="1"/>
  <c r="L361" i="1"/>
  <c r="O361" i="1"/>
  <c r="AK361" i="1"/>
  <c r="L362" i="1"/>
  <c r="O362" i="1"/>
  <c r="AK362" i="1"/>
  <c r="L363" i="1"/>
  <c r="O363" i="1"/>
  <c r="AK363" i="1"/>
  <c r="L364" i="1"/>
  <c r="O364" i="1"/>
  <c r="AK364" i="1"/>
  <c r="L365" i="1"/>
  <c r="O365" i="1"/>
  <c r="AK365" i="1"/>
  <c r="L366" i="1"/>
  <c r="O366" i="1"/>
  <c r="AK366" i="1"/>
  <c r="L367" i="1"/>
  <c r="O367" i="1"/>
  <c r="AK367" i="1"/>
  <c r="L368" i="1"/>
  <c r="O368" i="1"/>
  <c r="AK368" i="1"/>
  <c r="L369" i="1"/>
  <c r="O369" i="1"/>
  <c r="AK369" i="1"/>
  <c r="L370" i="1"/>
  <c r="O370" i="1"/>
  <c r="AK370" i="1"/>
  <c r="L371" i="1"/>
  <c r="O371" i="1"/>
  <c r="AK371" i="1"/>
  <c r="L372" i="1"/>
  <c r="O372" i="1"/>
  <c r="AK372" i="1"/>
  <c r="L373" i="1"/>
  <c r="O373" i="1"/>
  <c r="AK373" i="1"/>
  <c r="L374" i="1"/>
  <c r="O374" i="1"/>
  <c r="AK374" i="1"/>
  <c r="L375" i="1"/>
  <c r="O375" i="1"/>
  <c r="AK375" i="1"/>
  <c r="L376" i="1"/>
  <c r="O376" i="1"/>
  <c r="AK376" i="1"/>
  <c r="L377" i="1"/>
  <c r="O377" i="1"/>
  <c r="AK377" i="1"/>
  <c r="L378" i="1"/>
  <c r="O378" i="1"/>
  <c r="AK378" i="1"/>
  <c r="L379" i="1"/>
  <c r="O379" i="1"/>
  <c r="AK379" i="1"/>
  <c r="L380" i="1"/>
  <c r="O380" i="1"/>
  <c r="AK380" i="1"/>
  <c r="L381" i="1"/>
  <c r="O381" i="1"/>
  <c r="AK381" i="1"/>
  <c r="L382" i="1"/>
  <c r="O382" i="1"/>
  <c r="AK382" i="1"/>
  <c r="L383" i="1"/>
  <c r="O383" i="1"/>
  <c r="AK383" i="1"/>
  <c r="L384" i="1"/>
  <c r="O384" i="1"/>
  <c r="AK384" i="1"/>
  <c r="L385" i="1"/>
  <c r="O385" i="1"/>
  <c r="AK385" i="1"/>
  <c r="L386" i="1"/>
  <c r="O386" i="1"/>
  <c r="AK386" i="1"/>
  <c r="L387" i="1"/>
  <c r="O387" i="1"/>
  <c r="AK387" i="1"/>
  <c r="L388" i="1"/>
  <c r="O388" i="1"/>
  <c r="AK388" i="1"/>
  <c r="L389" i="1"/>
  <c r="O389" i="1"/>
  <c r="AK389" i="1"/>
  <c r="L390" i="1"/>
  <c r="O390" i="1"/>
  <c r="AK390" i="1"/>
  <c r="L391" i="1"/>
  <c r="O391" i="1"/>
  <c r="AK391" i="1"/>
  <c r="L392" i="1"/>
  <c r="O392" i="1"/>
  <c r="AK392" i="1"/>
  <c r="L393" i="1"/>
  <c r="O393" i="1"/>
  <c r="AK393" i="1"/>
  <c r="L394" i="1"/>
  <c r="O394" i="1"/>
  <c r="AK394" i="1"/>
  <c r="L395" i="1"/>
  <c r="O395" i="1"/>
  <c r="AK395" i="1"/>
  <c r="L396" i="1"/>
  <c r="O396" i="1"/>
  <c r="AK396" i="1"/>
  <c r="L397" i="1"/>
  <c r="O397" i="1"/>
  <c r="AK397" i="1"/>
  <c r="L398" i="1"/>
  <c r="O398" i="1"/>
  <c r="AK398" i="1"/>
  <c r="L399" i="1"/>
  <c r="O399" i="1"/>
  <c r="AK399" i="1"/>
  <c r="L400" i="1"/>
  <c r="O400" i="1"/>
  <c r="AK400" i="1"/>
  <c r="L401" i="1"/>
  <c r="O401" i="1"/>
  <c r="AK401" i="1"/>
  <c r="L402" i="1"/>
  <c r="O402" i="1"/>
  <c r="AK402" i="1"/>
  <c r="L403" i="1"/>
  <c r="O403" i="1"/>
  <c r="AK403" i="1"/>
  <c r="L404" i="1"/>
  <c r="O404" i="1"/>
  <c r="AK404" i="1"/>
  <c r="L405" i="1"/>
  <c r="O405" i="1"/>
  <c r="AK405" i="1"/>
  <c r="L406" i="1"/>
  <c r="O406" i="1"/>
  <c r="AK406" i="1"/>
  <c r="L407" i="1"/>
  <c r="O407" i="1"/>
  <c r="AK407" i="1"/>
  <c r="L408" i="1"/>
  <c r="O408" i="1"/>
  <c r="AK408" i="1"/>
  <c r="L409" i="1"/>
  <c r="O409" i="1"/>
  <c r="AK409" i="1"/>
  <c r="L410" i="1"/>
  <c r="O410" i="1"/>
  <c r="AK410" i="1"/>
  <c r="L411" i="1"/>
  <c r="O411" i="1"/>
  <c r="AK411" i="1"/>
  <c r="L412" i="1"/>
  <c r="O412" i="1"/>
  <c r="AK412" i="1"/>
  <c r="L413" i="1"/>
  <c r="O413" i="1"/>
  <c r="AK413" i="1"/>
  <c r="L414" i="1"/>
  <c r="O414" i="1"/>
  <c r="AK414" i="1"/>
  <c r="L415" i="1"/>
  <c r="O415" i="1"/>
  <c r="AK415" i="1"/>
  <c r="L416" i="1"/>
  <c r="O416" i="1"/>
  <c r="AK416" i="1"/>
  <c r="L417" i="1"/>
  <c r="O417" i="1"/>
  <c r="AK417" i="1"/>
  <c r="L418" i="1"/>
  <c r="O418" i="1"/>
  <c r="AK418" i="1"/>
  <c r="L419" i="1"/>
  <c r="O419" i="1"/>
  <c r="AK419" i="1"/>
  <c r="L420" i="1"/>
  <c r="O420" i="1"/>
  <c r="AK420" i="1"/>
  <c r="L421" i="1"/>
  <c r="O421" i="1"/>
  <c r="AK421" i="1"/>
  <c r="L422" i="1"/>
  <c r="O422" i="1"/>
  <c r="AK422" i="1"/>
  <c r="L423" i="1"/>
  <c r="O423" i="1"/>
  <c r="AK423" i="1"/>
  <c r="L424" i="1"/>
  <c r="O424" i="1"/>
  <c r="AK424" i="1"/>
  <c r="L425" i="1"/>
  <c r="O425" i="1"/>
  <c r="AK425" i="1"/>
  <c r="L426" i="1"/>
  <c r="O426" i="1"/>
  <c r="AK426" i="1"/>
  <c r="L427" i="1"/>
  <c r="O427" i="1"/>
  <c r="AK427" i="1"/>
  <c r="L428" i="1"/>
  <c r="O428" i="1"/>
  <c r="AK428" i="1"/>
  <c r="L429" i="1"/>
  <c r="O429" i="1"/>
  <c r="AK429" i="1"/>
  <c r="L430" i="1"/>
  <c r="O430" i="1"/>
  <c r="AK430" i="1"/>
  <c r="L431" i="1"/>
  <c r="O431" i="1"/>
  <c r="AK431" i="1"/>
  <c r="L432" i="1"/>
  <c r="O432" i="1"/>
  <c r="AK432" i="1"/>
  <c r="L433" i="1"/>
  <c r="O433" i="1"/>
  <c r="AK433" i="1"/>
  <c r="L434" i="1"/>
  <c r="O434" i="1"/>
  <c r="AK434" i="1"/>
  <c r="L519" i="1"/>
  <c r="O519" i="1"/>
  <c r="AK519" i="1"/>
  <c r="L520" i="1"/>
  <c r="O520" i="1"/>
  <c r="AK520" i="1"/>
  <c r="L521" i="1"/>
  <c r="O521" i="1"/>
  <c r="AK521" i="1"/>
  <c r="L522" i="1"/>
  <c r="O522" i="1"/>
  <c r="AK522" i="1"/>
  <c r="L523" i="1"/>
  <c r="O523" i="1"/>
  <c r="AK523" i="1"/>
  <c r="L524" i="1"/>
  <c r="O524" i="1"/>
  <c r="AK524" i="1"/>
  <c r="L525" i="1"/>
  <c r="O525" i="1"/>
  <c r="AK525" i="1"/>
  <c r="L526" i="1"/>
  <c r="O526" i="1"/>
  <c r="AK526" i="1"/>
  <c r="L527" i="1"/>
  <c r="O527" i="1"/>
  <c r="AK527" i="1"/>
  <c r="L528" i="1"/>
  <c r="O528" i="1"/>
  <c r="AK528" i="1"/>
  <c r="L529" i="1"/>
  <c r="O529" i="1"/>
  <c r="AK529" i="1"/>
  <c r="L530" i="1"/>
  <c r="O530" i="1"/>
  <c r="AK530" i="1"/>
  <c r="L543" i="1"/>
  <c r="O543" i="1"/>
  <c r="AK543" i="1"/>
  <c r="L544" i="1"/>
  <c r="O544" i="1"/>
  <c r="AK544" i="1"/>
  <c r="L545" i="1"/>
  <c r="O545" i="1"/>
  <c r="AK545" i="1"/>
  <c r="L546" i="1"/>
  <c r="O546" i="1"/>
  <c r="AK546" i="1"/>
  <c r="L547" i="1"/>
  <c r="O547" i="1"/>
  <c r="AK547" i="1"/>
  <c r="L548" i="1"/>
  <c r="O548" i="1"/>
  <c r="AK548" i="1"/>
  <c r="L549" i="1"/>
  <c r="O549" i="1"/>
  <c r="AK549" i="1"/>
  <c r="L550" i="1"/>
  <c r="O550" i="1"/>
  <c r="AK550" i="1"/>
  <c r="L551" i="1"/>
  <c r="O551" i="1"/>
  <c r="AK551" i="1"/>
  <c r="L552" i="1"/>
  <c r="O552" i="1"/>
  <c r="AK552" i="1"/>
  <c r="L553" i="1"/>
  <c r="O553" i="1"/>
  <c r="AK553" i="1"/>
  <c r="L554" i="1"/>
  <c r="O554" i="1"/>
  <c r="AK554" i="1"/>
  <c r="L555" i="1"/>
  <c r="O555" i="1"/>
  <c r="AK555" i="1"/>
  <c r="L556" i="1"/>
  <c r="O556" i="1"/>
  <c r="AK556" i="1"/>
  <c r="L557" i="1"/>
  <c r="O557" i="1"/>
  <c r="AK557" i="1"/>
  <c r="L558" i="1"/>
  <c r="O558" i="1"/>
  <c r="AK558" i="1"/>
  <c r="L559" i="1"/>
  <c r="O559" i="1"/>
  <c r="AK559" i="1"/>
  <c r="L560" i="1"/>
  <c r="O560" i="1"/>
  <c r="AK560" i="1"/>
  <c r="L561" i="1"/>
  <c r="O561" i="1"/>
  <c r="AK561" i="1"/>
  <c r="L562" i="1"/>
  <c r="O562" i="1"/>
  <c r="AK562" i="1"/>
  <c r="L563" i="1"/>
  <c r="O563" i="1"/>
  <c r="AK563" i="1"/>
  <c r="L564" i="1"/>
  <c r="O564" i="1"/>
  <c r="AK564" i="1"/>
  <c r="L565" i="1"/>
  <c r="O565" i="1"/>
  <c r="AK565" i="1"/>
  <c r="L566" i="1"/>
  <c r="O566" i="1"/>
  <c r="AK566" i="1"/>
  <c r="L435" i="1"/>
  <c r="O435" i="1"/>
  <c r="AK435" i="1"/>
  <c r="L436" i="1"/>
  <c r="O436" i="1"/>
  <c r="AK436" i="1"/>
  <c r="L437" i="1"/>
  <c r="O437" i="1"/>
  <c r="AK437" i="1"/>
  <c r="L438" i="1"/>
  <c r="O438" i="1"/>
  <c r="AK438" i="1"/>
  <c r="L439" i="1"/>
  <c r="O439" i="1"/>
  <c r="AK439" i="1"/>
  <c r="L440" i="1"/>
  <c r="O440" i="1"/>
  <c r="AK440" i="1"/>
  <c r="L441" i="1"/>
  <c r="O441" i="1"/>
  <c r="AK441" i="1"/>
  <c r="L442" i="1"/>
  <c r="O442" i="1"/>
  <c r="AK442" i="1"/>
  <c r="L443" i="1"/>
  <c r="O443" i="1"/>
  <c r="AK443" i="1"/>
  <c r="L444" i="1"/>
  <c r="O444" i="1"/>
  <c r="AK444" i="1"/>
  <c r="L445" i="1"/>
  <c r="O445" i="1"/>
  <c r="AK445" i="1"/>
  <c r="L446" i="1"/>
  <c r="O446" i="1"/>
  <c r="AK446" i="1"/>
  <c r="L447" i="1"/>
  <c r="O447" i="1"/>
  <c r="AK447" i="1"/>
  <c r="L448" i="1"/>
  <c r="O448" i="1"/>
  <c r="AK448" i="1"/>
  <c r="L449" i="1"/>
  <c r="O449" i="1"/>
  <c r="AK449" i="1"/>
  <c r="L450" i="1"/>
  <c r="O450" i="1"/>
  <c r="AK450" i="1"/>
  <c r="L451" i="1"/>
  <c r="O451" i="1"/>
  <c r="AK451" i="1"/>
  <c r="L452" i="1"/>
  <c r="O452" i="1"/>
  <c r="AK452" i="1"/>
  <c r="L453" i="1"/>
  <c r="O453" i="1"/>
  <c r="AK453" i="1"/>
  <c r="L454" i="1"/>
  <c r="O454" i="1"/>
  <c r="AK454" i="1"/>
  <c r="L455" i="1"/>
  <c r="O455" i="1"/>
  <c r="AK455" i="1"/>
  <c r="L456" i="1"/>
  <c r="O456" i="1"/>
  <c r="AK456" i="1"/>
  <c r="L457" i="1"/>
  <c r="O457" i="1"/>
  <c r="AK457" i="1"/>
  <c r="L458" i="1"/>
  <c r="O458" i="1"/>
  <c r="AK458" i="1"/>
  <c r="L459" i="1"/>
  <c r="O459" i="1"/>
  <c r="AK459" i="1"/>
  <c r="L460" i="1"/>
  <c r="O460" i="1"/>
  <c r="AK460" i="1"/>
  <c r="L461" i="1"/>
  <c r="O461" i="1"/>
  <c r="AK461" i="1"/>
  <c r="L462" i="1"/>
  <c r="O462" i="1"/>
  <c r="AK462" i="1"/>
  <c r="L463" i="1"/>
  <c r="O463" i="1"/>
  <c r="AK463" i="1"/>
  <c r="L464" i="1"/>
  <c r="O464" i="1"/>
  <c r="AK464" i="1"/>
  <c r="L465" i="1"/>
  <c r="O465" i="1"/>
  <c r="AK465" i="1"/>
  <c r="L466" i="1"/>
  <c r="O466" i="1"/>
  <c r="AK466" i="1"/>
  <c r="L467" i="1"/>
  <c r="O467" i="1"/>
  <c r="AK467" i="1"/>
  <c r="L468" i="1"/>
  <c r="O468" i="1"/>
  <c r="AK468" i="1"/>
  <c r="L469" i="1"/>
  <c r="O469" i="1"/>
  <c r="AK469" i="1"/>
  <c r="L470" i="1"/>
  <c r="O470" i="1"/>
  <c r="AK470" i="1"/>
  <c r="L483" i="1"/>
  <c r="O483" i="1"/>
  <c r="AK483" i="1"/>
  <c r="L484" i="1"/>
  <c r="O484" i="1"/>
  <c r="AK484" i="1"/>
  <c r="L485" i="1"/>
  <c r="O485" i="1"/>
  <c r="AK485" i="1"/>
  <c r="L486" i="1"/>
  <c r="O486" i="1"/>
  <c r="AK486" i="1"/>
  <c r="L487" i="1"/>
  <c r="O487" i="1"/>
  <c r="AK487" i="1"/>
  <c r="L488" i="1"/>
  <c r="O488" i="1"/>
  <c r="AK488" i="1"/>
  <c r="L489" i="1"/>
  <c r="O489" i="1"/>
  <c r="AK489" i="1"/>
  <c r="L490" i="1"/>
  <c r="O490" i="1"/>
  <c r="AK490" i="1"/>
  <c r="L491" i="1"/>
  <c r="O491" i="1"/>
  <c r="AK491" i="1"/>
  <c r="L492" i="1"/>
  <c r="O492" i="1"/>
  <c r="AK492" i="1"/>
  <c r="L493" i="1"/>
  <c r="O493" i="1"/>
  <c r="AK493" i="1"/>
  <c r="L494" i="1"/>
  <c r="O494" i="1"/>
  <c r="AK494" i="1"/>
  <c r="L471" i="1"/>
  <c r="O471" i="1"/>
  <c r="AK471" i="1"/>
  <c r="L472" i="1"/>
  <c r="O472" i="1"/>
  <c r="AK472" i="1"/>
  <c r="L473" i="1"/>
  <c r="O473" i="1"/>
  <c r="AK473" i="1"/>
  <c r="L474" i="1"/>
  <c r="O474" i="1"/>
  <c r="AK474" i="1"/>
  <c r="L475" i="1"/>
  <c r="O475" i="1"/>
  <c r="AK475" i="1"/>
  <c r="L476" i="1"/>
  <c r="O476" i="1"/>
  <c r="AK476" i="1"/>
  <c r="L477" i="1"/>
  <c r="O477" i="1"/>
  <c r="AK477" i="1"/>
  <c r="L478" i="1"/>
  <c r="O478" i="1"/>
  <c r="AK478" i="1"/>
  <c r="L479" i="1"/>
  <c r="O479" i="1"/>
  <c r="AK479" i="1"/>
  <c r="L480" i="1"/>
  <c r="O480" i="1"/>
  <c r="AK480" i="1"/>
  <c r="L481" i="1"/>
  <c r="O481" i="1"/>
  <c r="AK481" i="1"/>
  <c r="L482" i="1"/>
  <c r="O482" i="1"/>
  <c r="AK482" i="1"/>
  <c r="L495" i="1"/>
  <c r="O495" i="1"/>
  <c r="AK495" i="1"/>
  <c r="L496" i="1"/>
  <c r="O496" i="1"/>
  <c r="AK496" i="1"/>
  <c r="L497" i="1"/>
  <c r="O497" i="1"/>
  <c r="AK497" i="1"/>
  <c r="L498" i="1"/>
  <c r="O498" i="1"/>
  <c r="AK498" i="1"/>
  <c r="L499" i="1"/>
  <c r="O499" i="1"/>
  <c r="AK499" i="1"/>
  <c r="L500" i="1"/>
  <c r="O500" i="1"/>
  <c r="AK500" i="1"/>
  <c r="L501" i="1"/>
  <c r="O501" i="1"/>
  <c r="AK501" i="1"/>
  <c r="L502" i="1"/>
  <c r="O502" i="1"/>
  <c r="AK502" i="1"/>
  <c r="L503" i="1"/>
  <c r="O503" i="1"/>
  <c r="AK503" i="1"/>
  <c r="L504" i="1"/>
  <c r="O504" i="1"/>
  <c r="AK504" i="1"/>
  <c r="L505" i="1"/>
  <c r="O505" i="1"/>
  <c r="AK505" i="1"/>
  <c r="L506" i="1"/>
  <c r="O506" i="1"/>
  <c r="AK506" i="1"/>
  <c r="L507" i="1"/>
  <c r="O507" i="1"/>
  <c r="AK507" i="1"/>
  <c r="L508" i="1"/>
  <c r="O508" i="1"/>
  <c r="AK508" i="1"/>
  <c r="L509" i="1"/>
  <c r="O509" i="1"/>
  <c r="AK509" i="1"/>
  <c r="L510" i="1"/>
  <c r="O510" i="1"/>
  <c r="AK510" i="1"/>
  <c r="L511" i="1"/>
  <c r="O511" i="1"/>
  <c r="AK511" i="1"/>
  <c r="L512" i="1"/>
  <c r="O512" i="1"/>
  <c r="AK512" i="1"/>
  <c r="L513" i="1"/>
  <c r="O513" i="1"/>
  <c r="AK513" i="1"/>
  <c r="L514" i="1"/>
  <c r="O514" i="1"/>
  <c r="AK514" i="1"/>
  <c r="L515" i="1"/>
  <c r="O515" i="1"/>
  <c r="AK515" i="1"/>
  <c r="L516" i="1"/>
  <c r="O516" i="1"/>
  <c r="AK516" i="1"/>
  <c r="L517" i="1"/>
  <c r="O517" i="1"/>
  <c r="AK517" i="1"/>
  <c r="L518" i="1"/>
  <c r="O518" i="1"/>
  <c r="AK518" i="1"/>
  <c r="L531" i="1"/>
  <c r="O531" i="1"/>
  <c r="AK531" i="1"/>
  <c r="L532" i="1"/>
  <c r="O532" i="1"/>
  <c r="AK532" i="1"/>
  <c r="L533" i="1"/>
  <c r="O533" i="1"/>
  <c r="AK533" i="1"/>
  <c r="L534" i="1"/>
  <c r="O534" i="1"/>
  <c r="AK534" i="1"/>
  <c r="L535" i="1"/>
  <c r="O535" i="1"/>
  <c r="AK535" i="1"/>
  <c r="L536" i="1"/>
  <c r="O536" i="1"/>
  <c r="AK536" i="1"/>
  <c r="L537" i="1"/>
  <c r="O537" i="1"/>
  <c r="AK537" i="1"/>
  <c r="L538" i="1"/>
  <c r="O538" i="1"/>
  <c r="AK538" i="1"/>
  <c r="L539" i="1"/>
  <c r="O539" i="1"/>
  <c r="AK539" i="1"/>
  <c r="L540" i="1"/>
  <c r="O540" i="1"/>
  <c r="AK540" i="1"/>
  <c r="L541" i="1"/>
  <c r="O541" i="1"/>
  <c r="AK541" i="1"/>
  <c r="L542" i="1"/>
  <c r="O542" i="1"/>
  <c r="AK542" i="1"/>
  <c r="L567" i="1"/>
  <c r="O567" i="1"/>
  <c r="AK567" i="1"/>
  <c r="L568" i="1"/>
  <c r="O568" i="1"/>
  <c r="AK568" i="1"/>
  <c r="L569" i="1"/>
  <c r="O569" i="1"/>
  <c r="AK569" i="1"/>
  <c r="L570" i="1"/>
  <c r="O570" i="1"/>
  <c r="AK570" i="1"/>
  <c r="L571" i="1"/>
  <c r="O571" i="1"/>
  <c r="AK571" i="1"/>
  <c r="L572" i="1"/>
  <c r="O572" i="1"/>
  <c r="AK572" i="1"/>
  <c r="L573" i="1"/>
  <c r="O573" i="1"/>
  <c r="AK573" i="1"/>
  <c r="L574" i="1"/>
  <c r="O574" i="1"/>
  <c r="AK574" i="1"/>
  <c r="L575" i="1"/>
  <c r="O575" i="1"/>
  <c r="AK575" i="1"/>
  <c r="L576" i="1"/>
  <c r="O576" i="1"/>
  <c r="AK576" i="1"/>
  <c r="L577" i="1"/>
  <c r="O577" i="1"/>
  <c r="AK577" i="1"/>
  <c r="L578" i="1"/>
  <c r="O578" i="1"/>
  <c r="AK578" i="1"/>
  <c r="L579" i="1"/>
  <c r="O579" i="1"/>
  <c r="AK579" i="1"/>
  <c r="L580" i="1"/>
  <c r="O580" i="1"/>
  <c r="AK580" i="1"/>
  <c r="L581" i="1"/>
  <c r="O581" i="1"/>
  <c r="AK581" i="1"/>
  <c r="L582" i="1"/>
  <c r="O582" i="1"/>
  <c r="AK582" i="1"/>
  <c r="L583" i="1"/>
  <c r="O583" i="1"/>
  <c r="AK583" i="1"/>
  <c r="L584" i="1"/>
  <c r="O584" i="1"/>
  <c r="AK584" i="1"/>
  <c r="L585" i="1"/>
  <c r="O585" i="1"/>
  <c r="AK585" i="1"/>
  <c r="L586" i="1"/>
  <c r="O586" i="1"/>
  <c r="AK586" i="1"/>
  <c r="L587" i="1"/>
  <c r="O587" i="1"/>
  <c r="AK587" i="1"/>
  <c r="L588" i="1"/>
  <c r="O588" i="1"/>
  <c r="AK588" i="1"/>
  <c r="L589" i="1"/>
  <c r="O589" i="1"/>
  <c r="AK589" i="1"/>
  <c r="L590" i="1"/>
  <c r="O590" i="1"/>
  <c r="AK590" i="1"/>
  <c r="L591" i="1"/>
  <c r="O591" i="1"/>
  <c r="AK591" i="1"/>
  <c r="L592" i="1"/>
  <c r="O592" i="1"/>
  <c r="AK592" i="1"/>
  <c r="L593" i="1"/>
  <c r="O593" i="1"/>
  <c r="AK593" i="1"/>
  <c r="L594" i="1"/>
  <c r="O594" i="1"/>
  <c r="AK594" i="1"/>
  <c r="L595" i="1"/>
  <c r="O595" i="1"/>
  <c r="AK595" i="1"/>
  <c r="L596" i="1"/>
  <c r="O596" i="1"/>
  <c r="AK596" i="1"/>
  <c r="L597" i="1"/>
  <c r="O597" i="1"/>
  <c r="AK597" i="1"/>
  <c r="L598" i="1"/>
  <c r="O598" i="1"/>
  <c r="AK598" i="1"/>
  <c r="L599" i="1"/>
  <c r="O599" i="1"/>
  <c r="AK599" i="1"/>
  <c r="L600" i="1"/>
  <c r="O600" i="1"/>
  <c r="AK600" i="1"/>
  <c r="L601" i="1"/>
  <c r="O601" i="1"/>
  <c r="AK601" i="1"/>
  <c r="L602" i="1"/>
  <c r="O602" i="1"/>
  <c r="AK602" i="1"/>
  <c r="L603" i="1"/>
  <c r="O603" i="1"/>
  <c r="AK603" i="1"/>
  <c r="L604" i="1"/>
  <c r="O604" i="1"/>
  <c r="AK604" i="1"/>
  <c r="L605" i="1"/>
  <c r="O605" i="1"/>
  <c r="AK605" i="1"/>
  <c r="L606" i="1"/>
  <c r="O606" i="1"/>
  <c r="AK606" i="1"/>
  <c r="L607" i="1"/>
  <c r="O607" i="1"/>
  <c r="AK607" i="1"/>
  <c r="L608" i="1"/>
  <c r="O608" i="1"/>
  <c r="AK608" i="1"/>
  <c r="L609" i="1"/>
  <c r="O609" i="1"/>
  <c r="AK609" i="1"/>
  <c r="L610" i="1"/>
  <c r="O610" i="1"/>
  <c r="AK610" i="1"/>
  <c r="L611" i="1"/>
  <c r="O611" i="1"/>
  <c r="AK611" i="1"/>
  <c r="L612" i="1"/>
  <c r="O612" i="1"/>
  <c r="AK612" i="1"/>
  <c r="L613" i="1"/>
  <c r="O613" i="1"/>
  <c r="AK613" i="1"/>
  <c r="L614" i="1"/>
  <c r="O614" i="1"/>
  <c r="AK614" i="1"/>
  <c r="L615" i="1"/>
  <c r="O615" i="1"/>
  <c r="AK615" i="1"/>
  <c r="L616" i="1"/>
  <c r="O616" i="1"/>
  <c r="AK616" i="1"/>
  <c r="L617" i="1"/>
  <c r="O617" i="1"/>
  <c r="AK617" i="1"/>
  <c r="L618" i="1"/>
  <c r="O618" i="1"/>
  <c r="AK618" i="1"/>
  <c r="L619" i="1"/>
  <c r="O619" i="1"/>
  <c r="AK619" i="1"/>
  <c r="L620" i="1"/>
  <c r="O620" i="1"/>
  <c r="AK620" i="1"/>
  <c r="L621" i="1"/>
  <c r="O621" i="1"/>
  <c r="AK621" i="1"/>
  <c r="L622" i="1"/>
  <c r="O622" i="1"/>
  <c r="AK622" i="1"/>
  <c r="L623" i="1"/>
  <c r="O623" i="1"/>
  <c r="AK623" i="1"/>
  <c r="L624" i="1"/>
  <c r="O624" i="1"/>
  <c r="AK624" i="1"/>
  <c r="L625" i="1"/>
  <c r="O625" i="1"/>
  <c r="AK625" i="1"/>
  <c r="L626" i="1"/>
  <c r="O626" i="1"/>
  <c r="AK626" i="1"/>
  <c r="L627" i="1"/>
  <c r="O627" i="1"/>
  <c r="AK627" i="1"/>
  <c r="L628" i="1"/>
  <c r="O628" i="1"/>
  <c r="AK628" i="1"/>
  <c r="L629" i="1"/>
  <c r="O629" i="1"/>
  <c r="AK629" i="1"/>
  <c r="L630" i="1"/>
  <c r="O630" i="1"/>
  <c r="AK630" i="1"/>
  <c r="L631" i="1"/>
  <c r="O631" i="1"/>
  <c r="AK631" i="1"/>
  <c r="L632" i="1"/>
  <c r="O632" i="1"/>
  <c r="AK632" i="1"/>
  <c r="L633" i="1"/>
  <c r="O633" i="1"/>
  <c r="AK633" i="1"/>
  <c r="L634" i="1"/>
  <c r="O634" i="1"/>
  <c r="AK634" i="1"/>
  <c r="L635" i="1"/>
  <c r="O635" i="1"/>
  <c r="AK635" i="1"/>
  <c r="L636" i="1"/>
  <c r="O636" i="1"/>
  <c r="AK636" i="1"/>
  <c r="L637" i="1"/>
  <c r="O637" i="1"/>
  <c r="AK637" i="1"/>
  <c r="L638" i="1"/>
  <c r="O638" i="1"/>
  <c r="AK638" i="1"/>
  <c r="L639" i="1"/>
  <c r="O639" i="1"/>
  <c r="AK639" i="1"/>
  <c r="L640" i="1"/>
  <c r="O640" i="1"/>
  <c r="AK640" i="1"/>
  <c r="L641" i="1"/>
  <c r="O641" i="1"/>
  <c r="AK641" i="1"/>
  <c r="L642" i="1"/>
  <c r="O642" i="1"/>
  <c r="AK642" i="1"/>
  <c r="L643" i="1"/>
  <c r="O643" i="1"/>
  <c r="AK643" i="1"/>
  <c r="L644" i="1"/>
  <c r="O644" i="1"/>
  <c r="AK644" i="1"/>
  <c r="L645" i="1"/>
  <c r="O645" i="1"/>
  <c r="AK645" i="1"/>
  <c r="L646" i="1"/>
  <c r="O646" i="1"/>
  <c r="AK646" i="1"/>
  <c r="L647" i="1"/>
  <c r="O647" i="1"/>
  <c r="AK647" i="1"/>
  <c r="L648" i="1"/>
  <c r="O648" i="1"/>
  <c r="AK648" i="1"/>
  <c r="L649" i="1"/>
  <c r="O649" i="1"/>
  <c r="AK649" i="1"/>
  <c r="L650" i="1"/>
  <c r="O650" i="1"/>
  <c r="AK650" i="1"/>
  <c r="L651" i="1"/>
  <c r="O651" i="1"/>
  <c r="AK651" i="1"/>
  <c r="L652" i="1"/>
  <c r="O652" i="1"/>
  <c r="AK652" i="1"/>
  <c r="L653" i="1"/>
  <c r="O653" i="1"/>
  <c r="AK653" i="1"/>
  <c r="L654" i="1"/>
  <c r="O654" i="1"/>
  <c r="AK654" i="1"/>
  <c r="L655" i="1"/>
  <c r="O655" i="1"/>
  <c r="AK655" i="1"/>
  <c r="L656" i="1"/>
  <c r="O656" i="1"/>
  <c r="AK656" i="1"/>
  <c r="L657" i="1"/>
  <c r="O657" i="1"/>
  <c r="AK657" i="1"/>
  <c r="L658" i="1"/>
  <c r="O658" i="1"/>
  <c r="AK658" i="1"/>
  <c r="L659" i="1"/>
  <c r="O659" i="1"/>
  <c r="AK659" i="1"/>
  <c r="L660" i="1"/>
  <c r="O660" i="1"/>
  <c r="AK660" i="1"/>
  <c r="L661" i="1"/>
  <c r="O661" i="1"/>
  <c r="AK661" i="1"/>
  <c r="L662" i="1"/>
  <c r="O662" i="1"/>
  <c r="AK662" i="1"/>
  <c r="L663" i="1"/>
  <c r="O663" i="1"/>
  <c r="AK663" i="1"/>
  <c r="L664" i="1"/>
  <c r="O664" i="1"/>
  <c r="AK664" i="1"/>
  <c r="L665" i="1"/>
  <c r="O665" i="1"/>
  <c r="AK665" i="1"/>
  <c r="L666" i="1"/>
  <c r="O666" i="1"/>
  <c r="AK666" i="1"/>
  <c r="L667" i="1"/>
  <c r="O667" i="1"/>
  <c r="AK667" i="1"/>
  <c r="L668" i="1"/>
  <c r="O668" i="1"/>
  <c r="AK668" i="1"/>
  <c r="L669" i="1"/>
  <c r="O669" i="1"/>
  <c r="AK669" i="1"/>
  <c r="L670" i="1"/>
  <c r="O670" i="1"/>
  <c r="AK670" i="1"/>
  <c r="L671" i="1"/>
  <c r="O671" i="1"/>
  <c r="AK671" i="1"/>
  <c r="L672" i="1"/>
  <c r="O672" i="1"/>
  <c r="AK672" i="1"/>
  <c r="L673" i="1"/>
  <c r="O673" i="1"/>
  <c r="AK673" i="1"/>
  <c r="L674" i="1"/>
  <c r="O674" i="1"/>
  <c r="AK674" i="1"/>
  <c r="L675" i="1"/>
  <c r="O675" i="1"/>
  <c r="AK675" i="1"/>
  <c r="L676" i="1"/>
  <c r="O676" i="1"/>
  <c r="AK676" i="1"/>
  <c r="L677" i="1"/>
  <c r="O677" i="1"/>
  <c r="AK677" i="1"/>
  <c r="L678" i="1"/>
  <c r="O678" i="1"/>
  <c r="AK678" i="1"/>
  <c r="L679" i="1"/>
  <c r="O679" i="1"/>
  <c r="AK679" i="1"/>
  <c r="L680" i="1"/>
  <c r="O680" i="1"/>
  <c r="AK680" i="1"/>
  <c r="L681" i="1"/>
  <c r="O681" i="1"/>
  <c r="AK681" i="1"/>
  <c r="L682" i="1"/>
  <c r="O682" i="1"/>
  <c r="AK682" i="1"/>
  <c r="L683" i="1"/>
  <c r="O683" i="1"/>
  <c r="AK683" i="1"/>
  <c r="L684" i="1"/>
  <c r="O684" i="1"/>
  <c r="AK684" i="1"/>
  <c r="L685" i="1"/>
  <c r="O685" i="1"/>
  <c r="AK685" i="1"/>
  <c r="L686" i="1"/>
  <c r="O686" i="1"/>
  <c r="AK686" i="1"/>
  <c r="L687" i="1"/>
  <c r="O687" i="1"/>
  <c r="AK687" i="1"/>
  <c r="L688" i="1"/>
  <c r="O688" i="1"/>
  <c r="AK688" i="1"/>
  <c r="L689" i="1"/>
  <c r="O689" i="1"/>
  <c r="AK689" i="1"/>
  <c r="L690" i="1"/>
  <c r="O690" i="1"/>
  <c r="AK690" i="1"/>
  <c r="L691" i="1"/>
  <c r="O691" i="1"/>
  <c r="AK691" i="1"/>
  <c r="L692" i="1"/>
  <c r="O692" i="1"/>
  <c r="AK692" i="1"/>
  <c r="L693" i="1"/>
  <c r="O693" i="1"/>
  <c r="AK693" i="1"/>
  <c r="L694" i="1"/>
  <c r="O694" i="1"/>
  <c r="AK694" i="1"/>
  <c r="L695" i="1"/>
  <c r="O695" i="1"/>
  <c r="AK695" i="1"/>
  <c r="L696" i="1"/>
  <c r="O696" i="1"/>
  <c r="AK696" i="1"/>
  <c r="L697" i="1"/>
  <c r="O697" i="1"/>
  <c r="AK697" i="1"/>
  <c r="L698" i="1"/>
  <c r="O698" i="1"/>
  <c r="AK698" i="1"/>
  <c r="L699" i="1"/>
  <c r="O699" i="1"/>
  <c r="AK699" i="1"/>
  <c r="L700" i="1"/>
  <c r="O700" i="1"/>
  <c r="AK700" i="1"/>
  <c r="L701" i="1"/>
  <c r="O701" i="1"/>
  <c r="AK701" i="1"/>
  <c r="L702" i="1"/>
  <c r="O702" i="1"/>
  <c r="AK702" i="1"/>
  <c r="L703" i="1"/>
  <c r="O703" i="1"/>
  <c r="AK703" i="1"/>
  <c r="L704" i="1"/>
  <c r="O704" i="1"/>
  <c r="AK704" i="1"/>
  <c r="L705" i="1"/>
  <c r="O705" i="1"/>
  <c r="AK705" i="1"/>
  <c r="L706" i="1"/>
  <c r="O706" i="1"/>
  <c r="AK706" i="1"/>
  <c r="L707" i="1"/>
  <c r="O707" i="1"/>
  <c r="AK707" i="1"/>
  <c r="L708" i="1"/>
  <c r="O708" i="1"/>
  <c r="AK708" i="1"/>
  <c r="L709" i="1"/>
  <c r="O709" i="1"/>
  <c r="AK709" i="1"/>
  <c r="L710" i="1"/>
  <c r="O710" i="1"/>
  <c r="AK710" i="1"/>
  <c r="L711" i="1"/>
  <c r="O711" i="1"/>
  <c r="AK711" i="1"/>
  <c r="L712" i="1"/>
  <c r="O712" i="1"/>
  <c r="AK712" i="1"/>
  <c r="L713" i="1"/>
  <c r="O713" i="1"/>
  <c r="AK713" i="1"/>
  <c r="L714" i="1"/>
  <c r="O714" i="1"/>
  <c r="AK714" i="1"/>
  <c r="L715" i="1"/>
  <c r="O715" i="1"/>
  <c r="AK715" i="1"/>
  <c r="L716" i="1"/>
  <c r="O716" i="1"/>
  <c r="AK716" i="1"/>
  <c r="L717" i="1"/>
  <c r="O717" i="1"/>
  <c r="AK717" i="1"/>
  <c r="L718" i="1"/>
  <c r="O718" i="1"/>
  <c r="AK718" i="1"/>
  <c r="L719" i="1"/>
  <c r="O719" i="1"/>
  <c r="AK719" i="1"/>
  <c r="L720" i="1"/>
  <c r="O720" i="1"/>
  <c r="AK720" i="1"/>
  <c r="L721" i="1"/>
  <c r="O721" i="1"/>
  <c r="AK721" i="1"/>
  <c r="L722" i="1"/>
  <c r="O722" i="1"/>
  <c r="AK722" i="1"/>
  <c r="L723" i="1"/>
  <c r="O723" i="1"/>
  <c r="AK723" i="1"/>
  <c r="L724" i="1"/>
  <c r="O724" i="1"/>
  <c r="AK724" i="1"/>
  <c r="L725" i="1"/>
  <c r="O725" i="1"/>
  <c r="AK725" i="1"/>
  <c r="L726" i="1"/>
  <c r="O726" i="1"/>
  <c r="AK726" i="1"/>
  <c r="L727" i="1"/>
  <c r="O727" i="1"/>
  <c r="AK727" i="1"/>
  <c r="L728" i="1"/>
  <c r="O728" i="1"/>
  <c r="AK728" i="1"/>
  <c r="L729" i="1"/>
  <c r="O729" i="1"/>
  <c r="AK729" i="1"/>
  <c r="L730" i="1"/>
  <c r="O730" i="1"/>
  <c r="AK730" i="1"/>
  <c r="L731" i="1"/>
  <c r="O731" i="1"/>
  <c r="AK731" i="1"/>
  <c r="L732" i="1"/>
  <c r="O732" i="1"/>
  <c r="AK732" i="1"/>
  <c r="L733" i="1"/>
  <c r="O733" i="1"/>
  <c r="AK733" i="1"/>
  <c r="L734" i="1"/>
  <c r="O734" i="1"/>
  <c r="AK734" i="1"/>
  <c r="L735" i="1"/>
  <c r="O735" i="1"/>
  <c r="AK735" i="1"/>
  <c r="L736" i="1"/>
  <c r="O736" i="1"/>
  <c r="AK736" i="1"/>
  <c r="L737" i="1"/>
  <c r="O737" i="1"/>
  <c r="AK737" i="1"/>
  <c r="L738" i="1"/>
  <c r="O738" i="1"/>
  <c r="AK738" i="1"/>
  <c r="L739" i="1"/>
  <c r="O739" i="1"/>
  <c r="AK739" i="1"/>
  <c r="L740" i="1"/>
  <c r="O740" i="1"/>
  <c r="AK740" i="1"/>
  <c r="L741" i="1"/>
  <c r="O741" i="1"/>
  <c r="AK741" i="1"/>
  <c r="L742" i="1"/>
  <c r="O742" i="1"/>
  <c r="AK742" i="1"/>
  <c r="L743" i="1"/>
  <c r="O743" i="1"/>
  <c r="AK743" i="1"/>
  <c r="L744" i="1"/>
  <c r="O744" i="1"/>
  <c r="AK744" i="1"/>
  <c r="L745" i="1"/>
  <c r="O745" i="1"/>
  <c r="AK745" i="1"/>
  <c r="L746" i="1"/>
  <c r="O746" i="1"/>
  <c r="AK746" i="1"/>
  <c r="L747" i="1"/>
  <c r="O747" i="1"/>
  <c r="AK747" i="1"/>
  <c r="L748" i="1"/>
  <c r="O748" i="1"/>
  <c r="AK748" i="1"/>
  <c r="L749" i="1"/>
  <c r="O749" i="1"/>
  <c r="AK749" i="1"/>
  <c r="L750" i="1"/>
  <c r="O750" i="1"/>
  <c r="AK750" i="1"/>
  <c r="L751" i="1"/>
  <c r="O751" i="1"/>
  <c r="AK751" i="1"/>
  <c r="L752" i="1"/>
  <c r="O752" i="1"/>
  <c r="AK752" i="1"/>
  <c r="L753" i="1"/>
  <c r="O753" i="1"/>
  <c r="AK753" i="1"/>
  <c r="L754" i="1"/>
  <c r="O754" i="1"/>
  <c r="AK754" i="1"/>
  <c r="L755" i="1"/>
  <c r="O755" i="1"/>
  <c r="AK755" i="1"/>
  <c r="L756" i="1"/>
  <c r="O756" i="1"/>
  <c r="AK756" i="1"/>
  <c r="L757" i="1"/>
  <c r="O757" i="1"/>
  <c r="AK757" i="1"/>
  <c r="L758" i="1"/>
  <c r="O758" i="1"/>
  <c r="AK758" i="1"/>
  <c r="L759" i="1"/>
  <c r="O759" i="1"/>
  <c r="AK759" i="1"/>
  <c r="L760" i="1"/>
  <c r="O760" i="1"/>
  <c r="AK760" i="1"/>
  <c r="L761" i="1"/>
  <c r="O761" i="1"/>
  <c r="AK761" i="1"/>
  <c r="L762" i="1"/>
  <c r="O762" i="1"/>
  <c r="AK762" i="1"/>
  <c r="L763" i="1"/>
  <c r="O763" i="1"/>
  <c r="AK763" i="1"/>
  <c r="L764" i="1"/>
  <c r="O764" i="1"/>
  <c r="AK764" i="1"/>
  <c r="L765" i="1"/>
  <c r="O765" i="1"/>
  <c r="AK765" i="1"/>
  <c r="L766" i="1"/>
  <c r="O766" i="1"/>
  <c r="AK766" i="1"/>
  <c r="L767" i="1"/>
  <c r="O767" i="1"/>
  <c r="AK767" i="1"/>
  <c r="L768" i="1"/>
  <c r="O768" i="1"/>
  <c r="AK768" i="1"/>
  <c r="L769" i="1"/>
  <c r="O769" i="1"/>
  <c r="AK769" i="1"/>
  <c r="L770" i="1"/>
  <c r="O770" i="1"/>
  <c r="AK770" i="1"/>
  <c r="L771" i="1"/>
  <c r="O771" i="1"/>
  <c r="AK771" i="1"/>
  <c r="L772" i="1"/>
  <c r="O772" i="1"/>
  <c r="AK772" i="1"/>
  <c r="L773" i="1"/>
  <c r="O773" i="1"/>
  <c r="AK773" i="1"/>
  <c r="L774" i="1"/>
  <c r="O774" i="1"/>
  <c r="AK774" i="1"/>
  <c r="L775" i="1"/>
  <c r="O775" i="1"/>
  <c r="AK775" i="1"/>
  <c r="L776" i="1"/>
  <c r="O776" i="1"/>
  <c r="AK776" i="1"/>
  <c r="L777" i="1"/>
  <c r="O777" i="1"/>
  <c r="AK777" i="1"/>
  <c r="L778" i="1"/>
  <c r="O778" i="1"/>
  <c r="AK778" i="1"/>
  <c r="L779" i="1"/>
  <c r="O779" i="1"/>
  <c r="AK779" i="1"/>
  <c r="L780" i="1"/>
  <c r="O780" i="1"/>
  <c r="AK780" i="1"/>
  <c r="L781" i="1"/>
  <c r="O781" i="1"/>
  <c r="AK781" i="1"/>
  <c r="L782" i="1"/>
  <c r="O782" i="1"/>
  <c r="AK782" i="1"/>
  <c r="L783" i="1"/>
  <c r="O783" i="1"/>
  <c r="AK783" i="1"/>
  <c r="L784" i="1"/>
  <c r="O784" i="1"/>
  <c r="AK784" i="1"/>
  <c r="L785" i="1"/>
  <c r="O785" i="1"/>
  <c r="AK785" i="1"/>
  <c r="L786" i="1"/>
  <c r="O786" i="1"/>
  <c r="AK786" i="1"/>
  <c r="L787" i="1"/>
  <c r="O787" i="1"/>
  <c r="AK787" i="1"/>
  <c r="L788" i="1"/>
  <c r="O788" i="1"/>
  <c r="AK788" i="1"/>
  <c r="L789" i="1"/>
  <c r="O789" i="1"/>
  <c r="AK789" i="1"/>
  <c r="L790" i="1"/>
  <c r="O790" i="1"/>
  <c r="AK790" i="1"/>
  <c r="L791" i="1"/>
  <c r="O791" i="1"/>
  <c r="AK791" i="1"/>
  <c r="L792" i="1"/>
  <c r="O792" i="1"/>
  <c r="AK792" i="1"/>
  <c r="L793" i="1"/>
  <c r="O793" i="1"/>
  <c r="AK793" i="1"/>
  <c r="L794" i="1"/>
  <c r="O794" i="1"/>
  <c r="AK794" i="1"/>
  <c r="L795" i="1"/>
  <c r="O795" i="1"/>
  <c r="AK795" i="1"/>
  <c r="L796" i="1"/>
  <c r="O796" i="1"/>
  <c r="AK796" i="1"/>
  <c r="L797" i="1"/>
  <c r="O797" i="1"/>
  <c r="AK797" i="1"/>
  <c r="L798" i="1"/>
  <c r="O798" i="1"/>
  <c r="AK798" i="1"/>
  <c r="L799" i="1"/>
  <c r="O799" i="1"/>
  <c r="AK799" i="1"/>
  <c r="L800" i="1"/>
  <c r="O800" i="1"/>
  <c r="AK800" i="1"/>
  <c r="L801" i="1"/>
  <c r="O801" i="1"/>
  <c r="AK801" i="1"/>
  <c r="L802" i="1"/>
  <c r="O802" i="1"/>
  <c r="AK802" i="1"/>
  <c r="L803" i="1"/>
  <c r="O803" i="1"/>
  <c r="AK803" i="1"/>
  <c r="L804" i="1"/>
  <c r="O804" i="1"/>
  <c r="AK804" i="1"/>
  <c r="L805" i="1"/>
  <c r="O805" i="1"/>
  <c r="AK805" i="1"/>
  <c r="L806" i="1"/>
  <c r="O806" i="1"/>
  <c r="AK806" i="1"/>
  <c r="L807" i="1"/>
  <c r="O807" i="1"/>
  <c r="AK807" i="1"/>
  <c r="L808" i="1"/>
  <c r="O808" i="1"/>
  <c r="AK808" i="1"/>
  <c r="L809" i="1"/>
  <c r="O809" i="1"/>
  <c r="AK809" i="1"/>
  <c r="L810" i="1"/>
  <c r="O810" i="1"/>
  <c r="AK810" i="1"/>
  <c r="L811" i="1"/>
  <c r="O811" i="1"/>
  <c r="AK811" i="1"/>
  <c r="L812" i="1"/>
  <c r="O812" i="1"/>
  <c r="AK812" i="1"/>
  <c r="L813" i="1"/>
  <c r="O813" i="1"/>
  <c r="AK813" i="1"/>
  <c r="L814" i="1"/>
  <c r="O814" i="1"/>
  <c r="AK814" i="1"/>
  <c r="L815" i="1"/>
  <c r="O815" i="1"/>
  <c r="AK815" i="1"/>
  <c r="L816" i="1"/>
  <c r="O816" i="1"/>
  <c r="AK816" i="1"/>
  <c r="L817" i="1"/>
  <c r="O817" i="1"/>
  <c r="AK817" i="1"/>
  <c r="L818" i="1"/>
  <c r="O818" i="1"/>
  <c r="AK818" i="1"/>
  <c r="L819" i="1"/>
  <c r="O819" i="1"/>
  <c r="AK819" i="1"/>
  <c r="L820" i="1"/>
  <c r="O820" i="1"/>
  <c r="AK820" i="1"/>
  <c r="L821" i="1"/>
  <c r="O821" i="1"/>
  <c r="AK821" i="1"/>
  <c r="L822" i="1"/>
  <c r="O822" i="1"/>
  <c r="AK822" i="1"/>
  <c r="L823" i="1"/>
  <c r="O823" i="1"/>
  <c r="AK823" i="1"/>
  <c r="L824" i="1"/>
  <c r="O824" i="1"/>
  <c r="AK824" i="1"/>
  <c r="L825" i="1"/>
  <c r="O825" i="1"/>
  <c r="AK825" i="1"/>
  <c r="L826" i="1"/>
  <c r="O826" i="1"/>
  <c r="AK826" i="1"/>
  <c r="L827" i="1"/>
  <c r="O827" i="1"/>
  <c r="AK827" i="1"/>
  <c r="L828" i="1"/>
  <c r="O828" i="1"/>
  <c r="AK828" i="1"/>
  <c r="L829" i="1"/>
  <c r="O829" i="1"/>
  <c r="AK829" i="1"/>
  <c r="L830" i="1"/>
  <c r="O830" i="1"/>
  <c r="AK830" i="1"/>
  <c r="L831" i="1"/>
  <c r="O831" i="1"/>
  <c r="AK831" i="1"/>
  <c r="L832" i="1"/>
  <c r="O832" i="1"/>
  <c r="AK832" i="1"/>
  <c r="L833" i="1"/>
  <c r="O833" i="1"/>
  <c r="AK833" i="1"/>
  <c r="L834" i="1"/>
  <c r="O834" i="1"/>
  <c r="AK834" i="1"/>
  <c r="L835" i="1"/>
  <c r="O835" i="1"/>
  <c r="AK835" i="1"/>
  <c r="L836" i="1"/>
  <c r="O836" i="1"/>
  <c r="AK836" i="1"/>
  <c r="L837" i="1"/>
  <c r="O837" i="1"/>
  <c r="AK837" i="1"/>
  <c r="L838" i="1"/>
  <c r="O838" i="1"/>
  <c r="AK838" i="1"/>
  <c r="L839" i="1"/>
  <c r="O839" i="1"/>
  <c r="AK839" i="1"/>
  <c r="L840" i="1"/>
  <c r="O840" i="1"/>
  <c r="AK840" i="1"/>
  <c r="L841" i="1"/>
  <c r="O841" i="1"/>
  <c r="AK841" i="1"/>
  <c r="L842" i="1"/>
  <c r="O842" i="1"/>
  <c r="AK842" i="1"/>
  <c r="L843" i="1"/>
  <c r="O843" i="1"/>
  <c r="AK843" i="1"/>
  <c r="L844" i="1"/>
  <c r="O844" i="1"/>
  <c r="AK844" i="1"/>
  <c r="L845" i="1"/>
  <c r="O845" i="1"/>
  <c r="AK845" i="1"/>
  <c r="L846" i="1"/>
  <c r="O846" i="1"/>
  <c r="AK846" i="1"/>
  <c r="L847" i="1"/>
  <c r="O847" i="1"/>
  <c r="AK847" i="1"/>
  <c r="L848" i="1"/>
  <c r="O848" i="1"/>
  <c r="AK848" i="1"/>
  <c r="L849" i="1"/>
  <c r="O849" i="1"/>
  <c r="AK849" i="1"/>
  <c r="L850" i="1"/>
  <c r="O850" i="1"/>
  <c r="AK850" i="1"/>
  <c r="L851" i="1"/>
  <c r="O851" i="1"/>
  <c r="AK851" i="1"/>
  <c r="L852" i="1"/>
  <c r="O852" i="1"/>
  <c r="AK852" i="1"/>
  <c r="L853" i="1"/>
  <c r="O853" i="1"/>
  <c r="AK853" i="1"/>
  <c r="L854" i="1"/>
  <c r="O854" i="1"/>
  <c r="AK854" i="1"/>
  <c r="L855" i="1"/>
  <c r="O855" i="1"/>
  <c r="AK855" i="1"/>
  <c r="L856" i="1"/>
  <c r="O856" i="1"/>
  <c r="AK856" i="1"/>
  <c r="L857" i="1"/>
  <c r="O857" i="1"/>
  <c r="AK857" i="1"/>
  <c r="L858" i="1"/>
  <c r="O858" i="1"/>
  <c r="AK858" i="1"/>
  <c r="L859" i="1"/>
  <c r="O859" i="1"/>
  <c r="AK859" i="1"/>
  <c r="L860" i="1"/>
  <c r="O860" i="1"/>
  <c r="AK860" i="1"/>
  <c r="L861" i="1"/>
  <c r="O861" i="1"/>
  <c r="AK861" i="1"/>
  <c r="L862" i="1"/>
  <c r="O862" i="1"/>
  <c r="AK862" i="1"/>
  <c r="L863" i="1"/>
  <c r="O863" i="1"/>
  <c r="AK863" i="1"/>
  <c r="L864" i="1"/>
  <c r="O864" i="1"/>
  <c r="AK864" i="1"/>
  <c r="L865" i="1"/>
  <c r="O865" i="1"/>
  <c r="AK865" i="1"/>
  <c r="L866" i="1"/>
  <c r="O866" i="1"/>
  <c r="AK866" i="1"/>
  <c r="L867" i="1"/>
  <c r="O867" i="1"/>
  <c r="AK867" i="1"/>
  <c r="L868" i="1"/>
  <c r="O868" i="1"/>
  <c r="AK868" i="1"/>
  <c r="L869" i="1"/>
  <c r="O869" i="1"/>
  <c r="AK869" i="1"/>
  <c r="L870" i="1"/>
  <c r="O870" i="1"/>
  <c r="AK870" i="1"/>
  <c r="L871" i="1"/>
  <c r="O871" i="1"/>
  <c r="AK871" i="1"/>
  <c r="L872" i="1"/>
  <c r="O872" i="1"/>
  <c r="AK872" i="1"/>
  <c r="L873" i="1"/>
  <c r="O873" i="1"/>
  <c r="AK873" i="1"/>
  <c r="L874" i="1"/>
  <c r="O874" i="1"/>
  <c r="AK874" i="1"/>
  <c r="L875" i="1"/>
  <c r="O875" i="1"/>
  <c r="AK875" i="1"/>
  <c r="L876" i="1"/>
  <c r="O876" i="1"/>
  <c r="AK876" i="1"/>
  <c r="L877" i="1"/>
  <c r="O877" i="1"/>
  <c r="AK877" i="1"/>
  <c r="L878" i="1"/>
  <c r="O878" i="1"/>
  <c r="AK878" i="1"/>
  <c r="L879" i="1"/>
  <c r="O879" i="1"/>
  <c r="AK879" i="1"/>
  <c r="L880" i="1"/>
  <c r="O880" i="1"/>
  <c r="AK880" i="1"/>
  <c r="L881" i="1"/>
  <c r="O881" i="1"/>
  <c r="AK881" i="1"/>
  <c r="L882" i="1"/>
  <c r="O882" i="1"/>
  <c r="AK882" i="1"/>
  <c r="L883" i="1"/>
  <c r="O883" i="1"/>
  <c r="AK883" i="1"/>
  <c r="L884" i="1"/>
  <c r="O884" i="1"/>
  <c r="AK884" i="1"/>
  <c r="L885" i="1"/>
  <c r="O885" i="1"/>
  <c r="AK885" i="1"/>
  <c r="L886" i="1"/>
  <c r="O886" i="1"/>
  <c r="AK886" i="1"/>
  <c r="L887" i="1"/>
  <c r="O887" i="1"/>
  <c r="AK887" i="1"/>
  <c r="L888" i="1"/>
  <c r="O888" i="1"/>
  <c r="AK888" i="1"/>
  <c r="L889" i="1"/>
  <c r="O889" i="1"/>
  <c r="AK889" i="1"/>
  <c r="L890" i="1"/>
  <c r="O890" i="1"/>
  <c r="AK890" i="1"/>
  <c r="L891" i="1"/>
  <c r="O891" i="1"/>
  <c r="AK891" i="1"/>
  <c r="L892" i="1"/>
  <c r="O892" i="1"/>
  <c r="AK892" i="1"/>
  <c r="L893" i="1"/>
  <c r="O893" i="1"/>
  <c r="AK893" i="1"/>
  <c r="L894" i="1"/>
  <c r="O894" i="1"/>
  <c r="AK894" i="1"/>
  <c r="L895" i="1"/>
  <c r="O895" i="1"/>
  <c r="AK895" i="1"/>
  <c r="L896" i="1"/>
  <c r="O896" i="1"/>
  <c r="AK896" i="1"/>
  <c r="L897" i="1"/>
  <c r="O897" i="1"/>
  <c r="AK897" i="1"/>
  <c r="L898" i="1"/>
  <c r="O898" i="1"/>
  <c r="AK898" i="1"/>
  <c r="L899" i="1"/>
  <c r="O899" i="1"/>
  <c r="AK899" i="1"/>
  <c r="L900" i="1"/>
  <c r="O900" i="1"/>
  <c r="AK900" i="1"/>
  <c r="L901" i="1"/>
  <c r="O901" i="1"/>
  <c r="AK901" i="1"/>
  <c r="L902" i="1"/>
  <c r="O902" i="1"/>
  <c r="AK902" i="1"/>
  <c r="L903" i="1"/>
  <c r="O903" i="1"/>
  <c r="AK903" i="1"/>
  <c r="L904" i="1"/>
  <c r="O904" i="1"/>
  <c r="AK904" i="1"/>
  <c r="L905" i="1"/>
  <c r="O905" i="1"/>
  <c r="AK905" i="1"/>
  <c r="L906" i="1"/>
  <c r="O906" i="1"/>
  <c r="AK906" i="1"/>
  <c r="L907" i="1"/>
  <c r="O907" i="1"/>
  <c r="AK907" i="1"/>
  <c r="L908" i="1"/>
  <c r="O908" i="1"/>
  <c r="AK908" i="1"/>
  <c r="L909" i="1"/>
  <c r="O909" i="1"/>
  <c r="AK909" i="1"/>
  <c r="L910" i="1"/>
  <c r="O910" i="1"/>
  <c r="AK910" i="1"/>
  <c r="L911" i="1"/>
  <c r="O911" i="1"/>
  <c r="AK911" i="1"/>
  <c r="L912" i="1"/>
  <c r="O912" i="1"/>
  <c r="AK912" i="1"/>
  <c r="L913" i="1"/>
  <c r="O913" i="1"/>
  <c r="AK913" i="1"/>
  <c r="L914" i="1"/>
  <c r="O914" i="1"/>
  <c r="AK914" i="1"/>
  <c r="L915" i="1"/>
  <c r="O915" i="1"/>
  <c r="AK915" i="1"/>
  <c r="L916" i="1"/>
  <c r="O916" i="1"/>
  <c r="AK916" i="1"/>
  <c r="L917" i="1"/>
  <c r="O917" i="1"/>
  <c r="AK917" i="1"/>
  <c r="L918" i="1"/>
  <c r="O918" i="1"/>
  <c r="AK918" i="1"/>
  <c r="L919" i="1"/>
  <c r="O919" i="1"/>
  <c r="AK919" i="1"/>
  <c r="L920" i="1"/>
  <c r="O920" i="1"/>
  <c r="AK920" i="1"/>
  <c r="L921" i="1"/>
  <c r="O921" i="1"/>
  <c r="AK921" i="1"/>
  <c r="L922" i="1"/>
  <c r="O922" i="1"/>
  <c r="AK922" i="1"/>
  <c r="L923" i="1"/>
  <c r="O923" i="1"/>
  <c r="AK923" i="1"/>
  <c r="L924" i="1"/>
  <c r="O924" i="1"/>
  <c r="AK924" i="1"/>
  <c r="L925" i="1"/>
  <c r="O925" i="1"/>
  <c r="AK925" i="1"/>
  <c r="L926" i="1"/>
  <c r="O926" i="1"/>
  <c r="AK926" i="1"/>
  <c r="L927" i="1"/>
  <c r="O927" i="1"/>
  <c r="AK927" i="1"/>
  <c r="L928" i="1"/>
  <c r="O928" i="1"/>
  <c r="AK928" i="1"/>
  <c r="L929" i="1"/>
  <c r="O929" i="1"/>
  <c r="AK929" i="1"/>
  <c r="L930" i="1"/>
  <c r="O930" i="1"/>
  <c r="AK930" i="1"/>
  <c r="L931" i="1"/>
  <c r="O931" i="1"/>
  <c r="AK931" i="1"/>
  <c r="L932" i="1"/>
  <c r="O932" i="1"/>
  <c r="AK932" i="1"/>
  <c r="L933" i="1"/>
  <c r="O933" i="1"/>
  <c r="AK933" i="1"/>
  <c r="L934" i="1"/>
  <c r="O934" i="1"/>
  <c r="AK934" i="1"/>
  <c r="L935" i="1"/>
  <c r="O935" i="1"/>
  <c r="AK935" i="1"/>
  <c r="L936" i="1"/>
  <c r="O936" i="1"/>
  <c r="AK936" i="1"/>
  <c r="L937" i="1"/>
  <c r="O937" i="1"/>
  <c r="AK937" i="1"/>
  <c r="L938" i="1"/>
  <c r="O938" i="1"/>
  <c r="AK938" i="1"/>
  <c r="L939" i="1"/>
  <c r="O939" i="1"/>
  <c r="AK939" i="1"/>
  <c r="L940" i="1"/>
  <c r="O940" i="1"/>
  <c r="AK940" i="1"/>
  <c r="L941" i="1"/>
  <c r="O941" i="1"/>
  <c r="AK941" i="1"/>
  <c r="L942" i="1"/>
  <c r="O942" i="1"/>
  <c r="AK942" i="1"/>
  <c r="L943" i="1"/>
  <c r="O943" i="1"/>
  <c r="AK943" i="1"/>
  <c r="L944" i="1"/>
  <c r="O944" i="1"/>
  <c r="AK944" i="1"/>
  <c r="L945" i="1"/>
  <c r="O945" i="1"/>
  <c r="AK945" i="1"/>
  <c r="L946" i="1"/>
  <c r="O946" i="1"/>
  <c r="AK946" i="1"/>
  <c r="L947" i="1"/>
  <c r="O947" i="1"/>
  <c r="AK947" i="1"/>
  <c r="L948" i="1"/>
  <c r="O948" i="1"/>
  <c r="AK948" i="1"/>
  <c r="L949" i="1"/>
  <c r="O949" i="1"/>
  <c r="AK949" i="1"/>
  <c r="L950" i="1"/>
  <c r="O950" i="1"/>
  <c r="AK950" i="1"/>
  <c r="L951" i="1"/>
  <c r="O951" i="1"/>
  <c r="AK951" i="1"/>
  <c r="L952" i="1"/>
  <c r="O952" i="1"/>
  <c r="AK952" i="1"/>
  <c r="L953" i="1"/>
  <c r="O953" i="1"/>
  <c r="AK953" i="1"/>
  <c r="L954" i="1"/>
  <c r="O954" i="1"/>
  <c r="AK954" i="1"/>
  <c r="L955" i="1"/>
  <c r="O955" i="1"/>
  <c r="AK955" i="1"/>
  <c r="L956" i="1"/>
  <c r="O956" i="1"/>
  <c r="AK956" i="1"/>
  <c r="L957" i="1"/>
  <c r="O957" i="1"/>
  <c r="AK957" i="1"/>
  <c r="L958" i="1"/>
  <c r="O958" i="1"/>
  <c r="AK958" i="1"/>
  <c r="L959" i="1"/>
  <c r="O959" i="1"/>
  <c r="AK959" i="1"/>
  <c r="L960" i="1"/>
  <c r="O960" i="1"/>
  <c r="AK960" i="1"/>
  <c r="L961" i="1"/>
  <c r="O961" i="1"/>
  <c r="AK961" i="1"/>
  <c r="L962" i="1"/>
  <c r="O962" i="1"/>
  <c r="AK962" i="1"/>
  <c r="L963" i="1"/>
  <c r="O963" i="1"/>
  <c r="AK963" i="1"/>
  <c r="L964" i="1"/>
  <c r="O964" i="1"/>
  <c r="AK964" i="1"/>
  <c r="L965" i="1"/>
  <c r="O965" i="1"/>
  <c r="AK965" i="1"/>
  <c r="L966" i="1"/>
  <c r="O966" i="1"/>
  <c r="AK966" i="1"/>
  <c r="L967" i="1"/>
  <c r="O967" i="1"/>
  <c r="AK967" i="1"/>
  <c r="L968" i="1"/>
  <c r="O968" i="1"/>
  <c r="AK968" i="1"/>
  <c r="L969" i="1"/>
  <c r="O969" i="1"/>
  <c r="AK969" i="1"/>
  <c r="L970" i="1"/>
  <c r="O970" i="1"/>
  <c r="AK970" i="1"/>
  <c r="L971" i="1"/>
  <c r="O971" i="1"/>
  <c r="AK971" i="1"/>
  <c r="L972" i="1"/>
  <c r="O972" i="1"/>
  <c r="AK972" i="1"/>
  <c r="L973" i="1"/>
  <c r="O973" i="1"/>
  <c r="AK973" i="1"/>
  <c r="L974" i="1"/>
  <c r="O974" i="1"/>
  <c r="AK974" i="1"/>
  <c r="L975" i="1"/>
  <c r="O975" i="1"/>
  <c r="AK975" i="1"/>
  <c r="L976" i="1"/>
  <c r="O976" i="1"/>
  <c r="AK976" i="1"/>
  <c r="L977" i="1"/>
  <c r="O977" i="1"/>
  <c r="AK977" i="1"/>
  <c r="L978" i="1"/>
  <c r="O978" i="1"/>
  <c r="AK978" i="1"/>
  <c r="L979" i="1"/>
  <c r="O979" i="1"/>
  <c r="AK979" i="1"/>
  <c r="L980" i="1"/>
  <c r="O980" i="1"/>
  <c r="AK980" i="1"/>
  <c r="L981" i="1"/>
  <c r="O981" i="1"/>
  <c r="AK981" i="1"/>
  <c r="L982" i="1"/>
  <c r="O982" i="1"/>
  <c r="AK982" i="1"/>
  <c r="L983" i="1"/>
  <c r="O983" i="1"/>
  <c r="AK983" i="1"/>
  <c r="L984" i="1"/>
  <c r="O984" i="1"/>
  <c r="AK984" i="1"/>
  <c r="L985" i="1"/>
  <c r="O985" i="1"/>
  <c r="AK985" i="1"/>
  <c r="L986" i="1"/>
  <c r="O986" i="1"/>
  <c r="AK986" i="1"/>
  <c r="L987" i="1"/>
  <c r="O987" i="1"/>
  <c r="AK987" i="1"/>
  <c r="L988" i="1"/>
  <c r="O988" i="1"/>
  <c r="AK988" i="1"/>
  <c r="L989" i="1"/>
  <c r="O989" i="1"/>
  <c r="AK989" i="1"/>
  <c r="L990" i="1"/>
  <c r="O990" i="1"/>
  <c r="AK990" i="1"/>
  <c r="L991" i="1"/>
  <c r="O991" i="1"/>
  <c r="AK991" i="1"/>
  <c r="L992" i="1"/>
  <c r="O992" i="1"/>
  <c r="AK992" i="1"/>
  <c r="L993" i="1"/>
  <c r="O993" i="1"/>
  <c r="AK993" i="1"/>
  <c r="L994" i="1"/>
  <c r="O994" i="1"/>
  <c r="AK994" i="1"/>
  <c r="L995" i="1"/>
  <c r="O995" i="1"/>
  <c r="AK995" i="1"/>
  <c r="L996" i="1"/>
  <c r="O996" i="1"/>
  <c r="AK996" i="1"/>
  <c r="L997" i="1"/>
  <c r="O997" i="1"/>
  <c r="AK997" i="1"/>
  <c r="L998" i="1"/>
  <c r="O998" i="1"/>
  <c r="AK998" i="1"/>
  <c r="L999" i="1"/>
  <c r="O999" i="1"/>
  <c r="AK999" i="1"/>
  <c r="L1000" i="1"/>
  <c r="O1000" i="1"/>
  <c r="AK1000" i="1"/>
  <c r="L1001" i="1"/>
  <c r="O1001" i="1"/>
  <c r="AK1001" i="1"/>
  <c r="L1002" i="1"/>
  <c r="O1002" i="1"/>
  <c r="AK1002" i="1"/>
  <c r="L1003" i="1"/>
  <c r="O1003" i="1"/>
  <c r="AK1003" i="1"/>
  <c r="L1004" i="1"/>
  <c r="O1004" i="1"/>
  <c r="AK1004" i="1"/>
  <c r="L1005" i="1"/>
  <c r="O1005" i="1"/>
  <c r="AK1005" i="1"/>
  <c r="L1006" i="1"/>
  <c r="O1006" i="1"/>
  <c r="AK1006" i="1"/>
  <c r="L1007" i="1"/>
  <c r="O1007" i="1"/>
  <c r="AK1007" i="1"/>
  <c r="L1008" i="1"/>
  <c r="O1008" i="1"/>
  <c r="AK1008" i="1"/>
  <c r="L1009" i="1"/>
  <c r="O1009" i="1"/>
  <c r="AK1009" i="1"/>
  <c r="L1010" i="1"/>
  <c r="O1010" i="1"/>
  <c r="AK1010" i="1"/>
  <c r="L1011" i="1"/>
  <c r="O1011" i="1"/>
  <c r="AK1011" i="1"/>
  <c r="L1012" i="1"/>
  <c r="O1012" i="1"/>
  <c r="AK1012" i="1"/>
  <c r="L1013" i="1"/>
  <c r="O1013" i="1"/>
  <c r="AK1013" i="1"/>
  <c r="L1014" i="1"/>
  <c r="O1014" i="1"/>
  <c r="AK1014" i="1"/>
  <c r="L1015" i="1"/>
  <c r="O1015" i="1"/>
  <c r="AK1015" i="1"/>
  <c r="L1016" i="1"/>
  <c r="O1016" i="1"/>
  <c r="AK1016" i="1"/>
  <c r="L1017" i="1"/>
  <c r="O1017" i="1"/>
  <c r="AK1017" i="1"/>
  <c r="L1018" i="1"/>
  <c r="O1018" i="1"/>
  <c r="AK1018" i="1"/>
  <c r="L1019" i="1"/>
  <c r="O1019" i="1"/>
  <c r="AK1019" i="1"/>
  <c r="L1020" i="1"/>
  <c r="O1020" i="1"/>
  <c r="AK1020" i="1"/>
  <c r="L1021" i="1"/>
  <c r="O1021" i="1"/>
  <c r="AK1021" i="1"/>
  <c r="L1022" i="1"/>
  <c r="O1022" i="1"/>
  <c r="AK1022" i="1"/>
  <c r="L1023" i="1"/>
  <c r="O1023" i="1"/>
  <c r="AK1023" i="1"/>
  <c r="L1024" i="1"/>
  <c r="O1024" i="1"/>
  <c r="AK1024" i="1"/>
  <c r="L1025" i="1"/>
  <c r="O1025" i="1"/>
  <c r="AK1025" i="1"/>
  <c r="L1026" i="1"/>
  <c r="O1026" i="1"/>
  <c r="AK1026" i="1"/>
  <c r="L1027" i="1"/>
  <c r="O1027" i="1"/>
  <c r="AK1027" i="1"/>
  <c r="L1028" i="1"/>
  <c r="O1028" i="1"/>
  <c r="AK1028" i="1"/>
  <c r="L1029" i="1"/>
  <c r="O1029" i="1"/>
  <c r="AK1029" i="1"/>
  <c r="L1030" i="1"/>
  <c r="O1030" i="1"/>
  <c r="AK1030" i="1"/>
  <c r="L1031" i="1"/>
  <c r="O1031" i="1"/>
  <c r="AK1031" i="1"/>
  <c r="L1032" i="1"/>
  <c r="O1032" i="1"/>
  <c r="AK1032" i="1"/>
  <c r="L1033" i="1"/>
  <c r="O1033" i="1"/>
  <c r="AK1033" i="1"/>
  <c r="L1034" i="1"/>
  <c r="O1034" i="1"/>
  <c r="AK1034" i="1"/>
  <c r="L1035" i="1"/>
  <c r="O1035" i="1"/>
  <c r="AK1035" i="1"/>
  <c r="L1036" i="1"/>
  <c r="O1036" i="1"/>
  <c r="AK1036" i="1"/>
  <c r="L1037" i="1"/>
  <c r="O1037" i="1"/>
  <c r="AK1037" i="1"/>
  <c r="L1038" i="1"/>
  <c r="O1038" i="1"/>
  <c r="AK1038" i="1"/>
  <c r="L1039" i="1"/>
  <c r="O1039" i="1"/>
  <c r="AK1039" i="1"/>
  <c r="L1040" i="1"/>
  <c r="O1040" i="1"/>
  <c r="AK1040" i="1"/>
  <c r="L1041" i="1"/>
  <c r="O1041" i="1"/>
  <c r="AK1041" i="1"/>
  <c r="L1042" i="1"/>
  <c r="O1042" i="1"/>
  <c r="AK1042" i="1"/>
  <c r="L1043" i="1"/>
  <c r="O1043" i="1"/>
  <c r="AK1043" i="1"/>
  <c r="L1044" i="1"/>
  <c r="O1044" i="1"/>
  <c r="AK1044" i="1"/>
  <c r="L1045" i="1"/>
  <c r="O1045" i="1"/>
  <c r="AK1045" i="1"/>
  <c r="L1046" i="1"/>
  <c r="O1046" i="1"/>
  <c r="AK1046" i="1"/>
  <c r="L1047" i="1"/>
  <c r="O1047" i="1"/>
  <c r="AK1047" i="1"/>
  <c r="L1048" i="1"/>
  <c r="O1048" i="1"/>
  <c r="AK1048" i="1"/>
  <c r="L1049" i="1"/>
  <c r="O1049" i="1"/>
  <c r="AK1049" i="1"/>
  <c r="L1050" i="1"/>
  <c r="O1050" i="1"/>
  <c r="AK1050" i="1"/>
  <c r="L1051" i="1"/>
  <c r="O1051" i="1"/>
  <c r="AK1051" i="1"/>
  <c r="L1052" i="1"/>
  <c r="O1052" i="1"/>
  <c r="AK1052" i="1"/>
  <c r="L1053" i="1"/>
  <c r="O1053" i="1"/>
  <c r="AK1053" i="1"/>
  <c r="L1054" i="1"/>
  <c r="O1054" i="1"/>
  <c r="AK1054" i="1"/>
  <c r="L1055" i="1"/>
  <c r="O1055" i="1"/>
  <c r="AK1055" i="1"/>
  <c r="L1056" i="1"/>
  <c r="O1056" i="1"/>
  <c r="AK1056" i="1"/>
  <c r="L1057" i="1"/>
  <c r="O1057" i="1"/>
  <c r="AK1057" i="1"/>
  <c r="L1058" i="1"/>
  <c r="O1058" i="1"/>
  <c r="AK1058" i="1"/>
  <c r="L1059" i="1"/>
  <c r="O1059" i="1"/>
  <c r="AK1059" i="1"/>
  <c r="L1060" i="1"/>
  <c r="O1060" i="1"/>
  <c r="AK1060" i="1"/>
  <c r="L1061" i="1"/>
  <c r="O1061" i="1"/>
  <c r="AK1061" i="1"/>
  <c r="L1062" i="1"/>
  <c r="O1062" i="1"/>
  <c r="AK1062" i="1"/>
  <c r="L1063" i="1"/>
  <c r="O1063" i="1"/>
  <c r="AK1063" i="1"/>
  <c r="L1064" i="1"/>
  <c r="O1064" i="1"/>
  <c r="AK1064" i="1"/>
  <c r="L1065" i="1"/>
  <c r="O1065" i="1"/>
  <c r="AK1065" i="1"/>
  <c r="L1066" i="1"/>
  <c r="O1066" i="1"/>
  <c r="AK1066" i="1"/>
  <c r="L1067" i="1"/>
  <c r="O1067" i="1"/>
  <c r="AK1067" i="1"/>
  <c r="L1068" i="1"/>
  <c r="O1068" i="1"/>
  <c r="AK1068" i="1"/>
  <c r="L1069" i="1"/>
  <c r="O1069" i="1"/>
  <c r="AK1069" i="1"/>
  <c r="L1070" i="1"/>
  <c r="O1070" i="1"/>
  <c r="AK1070" i="1"/>
  <c r="L1071" i="1"/>
  <c r="O1071" i="1"/>
  <c r="AK1071" i="1"/>
  <c r="L1072" i="1"/>
  <c r="O1072" i="1"/>
  <c r="AK1072" i="1"/>
  <c r="L1073" i="1"/>
  <c r="O1073" i="1"/>
  <c r="AK1073" i="1"/>
  <c r="L1074" i="1"/>
  <c r="O1074" i="1"/>
  <c r="AK1074" i="1"/>
  <c r="L1075" i="1"/>
  <c r="O1075" i="1"/>
  <c r="AK1075" i="1"/>
  <c r="L1076" i="1"/>
  <c r="O1076" i="1"/>
  <c r="AK1076" i="1"/>
  <c r="L1077" i="1"/>
  <c r="O1077" i="1"/>
  <c r="AK1077" i="1"/>
  <c r="L1078" i="1"/>
  <c r="O1078" i="1"/>
  <c r="AK1078" i="1"/>
  <c r="L1079" i="1"/>
  <c r="O1079" i="1"/>
  <c r="AK1079" i="1"/>
  <c r="L1080" i="1"/>
  <c r="O1080" i="1"/>
  <c r="AK1080" i="1"/>
  <c r="L1081" i="1"/>
  <c r="O1081" i="1"/>
  <c r="AK1081" i="1"/>
  <c r="L1082" i="1"/>
  <c r="O1082" i="1"/>
  <c r="AK1082" i="1"/>
  <c r="L1083" i="1"/>
  <c r="O1083" i="1"/>
  <c r="AK1083" i="1"/>
  <c r="L1084" i="1"/>
  <c r="O1084" i="1"/>
  <c r="AK1084" i="1"/>
  <c r="L1085" i="1"/>
  <c r="O1085" i="1"/>
  <c r="AK1085" i="1"/>
  <c r="L1086" i="1"/>
  <c r="O1086" i="1"/>
  <c r="AK1086" i="1"/>
  <c r="L1087" i="1"/>
  <c r="O1087" i="1"/>
  <c r="AK1087" i="1"/>
  <c r="L1088" i="1"/>
  <c r="O1088" i="1"/>
  <c r="AK1088" i="1"/>
  <c r="L1089" i="1"/>
  <c r="O1089" i="1"/>
  <c r="AK1089" i="1"/>
  <c r="L1090" i="1"/>
  <c r="O1090" i="1"/>
  <c r="AK1090" i="1"/>
  <c r="L1091" i="1"/>
  <c r="O1091" i="1"/>
  <c r="AK1091" i="1"/>
  <c r="L1092" i="1"/>
  <c r="O1092" i="1"/>
  <c r="AK1092" i="1"/>
  <c r="L1093" i="1"/>
  <c r="O1093" i="1"/>
  <c r="AK1093" i="1"/>
  <c r="L1094" i="1"/>
  <c r="O1094" i="1"/>
  <c r="AK1094" i="1"/>
  <c r="L1095" i="1"/>
  <c r="O1095" i="1"/>
  <c r="AK1095" i="1"/>
  <c r="L1096" i="1"/>
  <c r="O1096" i="1"/>
  <c r="AK1096" i="1"/>
  <c r="L1097" i="1"/>
  <c r="O1097" i="1"/>
  <c r="AK1097" i="1"/>
  <c r="L1098" i="1"/>
  <c r="O1098" i="1"/>
  <c r="AK1098" i="1"/>
  <c r="L1099" i="1"/>
  <c r="O1099" i="1"/>
  <c r="AK1099" i="1"/>
  <c r="L1100" i="1"/>
  <c r="O1100" i="1"/>
  <c r="AK1100" i="1"/>
  <c r="L1101" i="1"/>
  <c r="O1101" i="1"/>
  <c r="AK1101" i="1"/>
  <c r="L1102" i="1"/>
  <c r="O1102" i="1"/>
  <c r="AK1102" i="1"/>
  <c r="L1103" i="1"/>
  <c r="O1103" i="1"/>
  <c r="AK1103" i="1"/>
  <c r="L1104" i="1"/>
  <c r="O1104" i="1"/>
  <c r="AK1104" i="1"/>
  <c r="L1105" i="1"/>
  <c r="O1105" i="1"/>
  <c r="AK1105" i="1"/>
  <c r="L1106" i="1"/>
  <c r="O1106" i="1"/>
  <c r="AK1106" i="1"/>
  <c r="L1107" i="1"/>
  <c r="O1107" i="1"/>
  <c r="AK1107" i="1"/>
  <c r="L1108" i="1"/>
  <c r="O1108" i="1"/>
  <c r="AK1108" i="1"/>
  <c r="L1109" i="1"/>
  <c r="O1109" i="1"/>
  <c r="AK1109" i="1"/>
  <c r="L1110" i="1"/>
  <c r="O1110" i="1"/>
  <c r="AK1110" i="1"/>
  <c r="L1111" i="1"/>
  <c r="O1111" i="1"/>
  <c r="AK1111" i="1"/>
  <c r="L1112" i="1"/>
  <c r="O1112" i="1"/>
  <c r="AK1112" i="1"/>
  <c r="L1113" i="1"/>
  <c r="O1113" i="1"/>
  <c r="AK1113" i="1"/>
  <c r="L1114" i="1"/>
  <c r="O1114" i="1"/>
  <c r="AK1114" i="1"/>
  <c r="L1115" i="1"/>
  <c r="O1115" i="1"/>
  <c r="AK1115" i="1"/>
  <c r="L1116" i="1"/>
  <c r="O1116" i="1"/>
  <c r="AK1116" i="1"/>
  <c r="L1117" i="1"/>
  <c r="O1117" i="1"/>
  <c r="AK1117" i="1"/>
  <c r="L1118" i="1"/>
  <c r="O1118" i="1"/>
  <c r="AK1118" i="1"/>
  <c r="L1119" i="1"/>
  <c r="O1119" i="1"/>
  <c r="AK1119" i="1"/>
  <c r="L1120" i="1"/>
  <c r="O1120" i="1"/>
  <c r="AK1120" i="1"/>
  <c r="L1121" i="1"/>
  <c r="O1121" i="1"/>
  <c r="AK1121" i="1"/>
  <c r="L1122" i="1"/>
  <c r="O1122" i="1"/>
  <c r="AK1122" i="1"/>
  <c r="L1123" i="1"/>
  <c r="O1123" i="1"/>
  <c r="AK1123" i="1"/>
  <c r="L1124" i="1"/>
  <c r="O1124" i="1"/>
  <c r="AK1124" i="1"/>
  <c r="L1125" i="1"/>
  <c r="O1125" i="1"/>
  <c r="AK1125" i="1"/>
  <c r="L1126" i="1"/>
  <c r="O1126" i="1"/>
  <c r="AK1126" i="1"/>
  <c r="L1127" i="1"/>
  <c r="O1127" i="1"/>
  <c r="AK1127" i="1"/>
  <c r="L1128" i="1"/>
  <c r="O1128" i="1"/>
  <c r="AK1128" i="1"/>
  <c r="L1129" i="1"/>
  <c r="O1129" i="1"/>
  <c r="AK1129" i="1"/>
  <c r="L1130" i="1"/>
  <c r="O1130" i="1"/>
  <c r="AK1130" i="1"/>
  <c r="L1131" i="1"/>
  <c r="O1131" i="1"/>
  <c r="AK1131" i="1"/>
  <c r="L1132" i="1"/>
  <c r="O1132" i="1"/>
  <c r="AK1132" i="1"/>
  <c r="L1133" i="1"/>
  <c r="O1133" i="1"/>
  <c r="AK1133" i="1"/>
  <c r="L1134" i="1"/>
  <c r="O1134" i="1"/>
  <c r="AK1134" i="1"/>
  <c r="L1135" i="1"/>
  <c r="O1135" i="1"/>
  <c r="AK1135" i="1"/>
  <c r="L1136" i="1"/>
  <c r="O1136" i="1"/>
  <c r="AK1136" i="1"/>
  <c r="L1137" i="1"/>
  <c r="O1137" i="1"/>
  <c r="AK1137" i="1"/>
  <c r="L1138" i="1"/>
  <c r="O1138" i="1"/>
  <c r="AK1138" i="1"/>
  <c r="L1139" i="1"/>
  <c r="O1139" i="1"/>
  <c r="AK1139" i="1"/>
  <c r="L1140" i="1"/>
  <c r="O1140" i="1"/>
  <c r="AK1140" i="1"/>
  <c r="L1141" i="1"/>
  <c r="O1141" i="1"/>
  <c r="AK1141" i="1"/>
  <c r="L1142" i="1"/>
  <c r="O1142" i="1"/>
  <c r="AK1142" i="1"/>
  <c r="L1143" i="1"/>
  <c r="O1143" i="1"/>
  <c r="AK1143" i="1"/>
  <c r="L1144" i="1"/>
  <c r="O1144" i="1"/>
  <c r="AK1144" i="1"/>
  <c r="L1145" i="1"/>
  <c r="O1145" i="1"/>
  <c r="AK1145" i="1"/>
  <c r="L1146" i="1"/>
  <c r="O1146" i="1"/>
  <c r="AK1146" i="1"/>
  <c r="L1147" i="1"/>
  <c r="O1147" i="1"/>
  <c r="AK1147" i="1"/>
  <c r="L1148" i="1"/>
  <c r="O1148" i="1"/>
  <c r="AK1148" i="1"/>
  <c r="L1149" i="1"/>
  <c r="O1149" i="1"/>
  <c r="AK1149" i="1"/>
  <c r="L1150" i="1"/>
  <c r="O1150" i="1"/>
  <c r="AK1150" i="1"/>
  <c r="L1151" i="1"/>
  <c r="O1151" i="1"/>
  <c r="AK1151" i="1"/>
  <c r="L1152" i="1"/>
  <c r="O1152" i="1"/>
  <c r="AK1152" i="1"/>
  <c r="L1153" i="1"/>
  <c r="O1153" i="1"/>
  <c r="AK1153" i="1"/>
  <c r="L1154" i="1"/>
  <c r="O1154" i="1"/>
  <c r="AK1154" i="1"/>
  <c r="L1155" i="1"/>
  <c r="O1155" i="1"/>
  <c r="AK1155" i="1"/>
  <c r="L1156" i="1"/>
  <c r="O1156" i="1"/>
  <c r="AK1156" i="1"/>
  <c r="L1157" i="1"/>
  <c r="O1157" i="1"/>
  <c r="AK1157" i="1"/>
  <c r="L1158" i="1"/>
  <c r="O1158" i="1"/>
  <c r="AK1158" i="1"/>
  <c r="L1159" i="1"/>
  <c r="O1159" i="1"/>
  <c r="AK1159" i="1"/>
  <c r="L1160" i="1"/>
  <c r="O1160" i="1"/>
  <c r="AK1160" i="1"/>
  <c r="L1161" i="1"/>
  <c r="O1161" i="1"/>
  <c r="AK1161" i="1"/>
  <c r="L1162" i="1"/>
  <c r="O1162" i="1"/>
  <c r="AK1162" i="1"/>
  <c r="L1163" i="1"/>
  <c r="O1163" i="1"/>
  <c r="AK1163" i="1"/>
  <c r="L1164" i="1"/>
  <c r="O1164" i="1"/>
  <c r="AK1164" i="1"/>
  <c r="L1165" i="1"/>
  <c r="O1165" i="1"/>
  <c r="AK1165" i="1"/>
  <c r="L1166" i="1"/>
  <c r="O1166" i="1"/>
  <c r="AK1166" i="1"/>
  <c r="L1167" i="1"/>
  <c r="O1167" i="1"/>
  <c r="AK1167" i="1"/>
  <c r="L1168" i="1"/>
  <c r="O1168" i="1"/>
  <c r="AK1168" i="1"/>
  <c r="L1169" i="1"/>
  <c r="O1169" i="1"/>
  <c r="AK1169" i="1"/>
  <c r="L1170" i="1"/>
  <c r="O1170" i="1"/>
  <c r="AK1170" i="1"/>
  <c r="L1171" i="1"/>
  <c r="O1171" i="1"/>
  <c r="AK1171" i="1"/>
  <c r="L1172" i="1"/>
  <c r="O1172" i="1"/>
  <c r="AK1172" i="1"/>
  <c r="L1173" i="1"/>
  <c r="O1173" i="1"/>
  <c r="AK1173" i="1"/>
  <c r="L1174" i="1"/>
  <c r="O1174" i="1"/>
  <c r="AK1174" i="1"/>
  <c r="L1175" i="1"/>
  <c r="O1175" i="1"/>
  <c r="AK1175" i="1"/>
  <c r="L1176" i="1"/>
  <c r="O1176" i="1"/>
  <c r="AK1176" i="1"/>
  <c r="L1177" i="1"/>
  <c r="O1177" i="1"/>
  <c r="AK1177" i="1"/>
  <c r="L1178" i="1"/>
  <c r="O1178" i="1"/>
  <c r="AK1178" i="1"/>
  <c r="L1179" i="1"/>
  <c r="O1179" i="1"/>
  <c r="AK1179" i="1"/>
  <c r="L1180" i="1"/>
  <c r="O1180" i="1"/>
  <c r="AK1180" i="1"/>
  <c r="L1181" i="1"/>
  <c r="O1181" i="1"/>
  <c r="AK1181" i="1"/>
  <c r="L1182" i="1"/>
  <c r="O1182" i="1"/>
  <c r="AK1182" i="1"/>
  <c r="L1183" i="1"/>
  <c r="O1183" i="1"/>
  <c r="AK1183" i="1"/>
  <c r="L1184" i="1"/>
  <c r="O1184" i="1"/>
  <c r="AK1184" i="1"/>
  <c r="L1185" i="1"/>
  <c r="O1185" i="1"/>
  <c r="AK1185" i="1"/>
  <c r="L1186" i="1"/>
  <c r="O1186" i="1"/>
  <c r="AK1186" i="1"/>
  <c r="L1187" i="1"/>
  <c r="O1187" i="1"/>
  <c r="AK1187" i="1"/>
  <c r="L1188" i="1"/>
  <c r="O1188" i="1"/>
  <c r="AK1188" i="1"/>
  <c r="L1189" i="1"/>
  <c r="O1189" i="1"/>
  <c r="AK1189" i="1"/>
  <c r="L1190" i="1"/>
  <c r="O1190" i="1"/>
  <c r="AK1190" i="1"/>
  <c r="L1191" i="1"/>
  <c r="O1191" i="1"/>
  <c r="AK1191" i="1"/>
  <c r="L1192" i="1"/>
  <c r="O1192" i="1"/>
  <c r="AK1192" i="1"/>
  <c r="L1193" i="1"/>
  <c r="O1193" i="1"/>
  <c r="AK1193" i="1"/>
  <c r="L1194" i="1"/>
  <c r="O1194" i="1"/>
  <c r="AK1194" i="1"/>
  <c r="L1195" i="1"/>
  <c r="O1195" i="1"/>
  <c r="AK1195" i="1"/>
  <c r="L1196" i="1"/>
  <c r="O1196" i="1"/>
  <c r="AK1196" i="1"/>
  <c r="L1197" i="1"/>
  <c r="O1197" i="1"/>
  <c r="AK1197" i="1"/>
  <c r="L1198" i="1"/>
  <c r="O1198" i="1"/>
  <c r="AK1198" i="1"/>
  <c r="L1199" i="1"/>
  <c r="O1199" i="1"/>
  <c r="AK1199" i="1"/>
  <c r="L1200" i="1"/>
  <c r="O1200" i="1"/>
  <c r="AK1200" i="1"/>
  <c r="L1201" i="1"/>
  <c r="O1201" i="1"/>
  <c r="AK1201" i="1"/>
  <c r="L1202" i="1"/>
  <c r="O1202" i="1"/>
  <c r="AK1202" i="1"/>
  <c r="L1203" i="1"/>
  <c r="O1203" i="1"/>
  <c r="AK1203" i="1"/>
  <c r="L1204" i="1"/>
  <c r="O1204" i="1"/>
  <c r="AK1204" i="1"/>
  <c r="L1205" i="1"/>
  <c r="O1205" i="1"/>
  <c r="AK1205" i="1"/>
  <c r="L1206" i="1"/>
  <c r="O1206" i="1"/>
  <c r="AK1206" i="1"/>
  <c r="L1207" i="1"/>
  <c r="O1207" i="1"/>
  <c r="AK1207" i="1"/>
  <c r="L1208" i="1"/>
  <c r="O1208" i="1"/>
  <c r="AK1208" i="1"/>
  <c r="L1209" i="1"/>
  <c r="O1209" i="1"/>
  <c r="AK1209" i="1"/>
  <c r="L1210" i="1"/>
  <c r="O1210" i="1"/>
  <c r="AK1210" i="1"/>
  <c r="L1211" i="1"/>
  <c r="O1211" i="1"/>
  <c r="AK1211" i="1"/>
  <c r="L1212" i="1"/>
  <c r="O1212" i="1"/>
  <c r="AK1212" i="1"/>
  <c r="L1213" i="1"/>
  <c r="O1213" i="1"/>
  <c r="AK1213" i="1"/>
  <c r="L1214" i="1"/>
  <c r="O1214" i="1"/>
  <c r="AK1214" i="1"/>
  <c r="L1215" i="1"/>
  <c r="O1215" i="1"/>
  <c r="AK1215" i="1"/>
  <c r="L1216" i="1"/>
  <c r="O1216" i="1"/>
  <c r="AK1216" i="1"/>
  <c r="L1217" i="1"/>
  <c r="O1217" i="1"/>
  <c r="AK1217" i="1"/>
  <c r="L1218" i="1"/>
  <c r="O1218" i="1"/>
  <c r="AK1218" i="1"/>
  <c r="L1219" i="1"/>
  <c r="O1219" i="1"/>
  <c r="AK1219" i="1"/>
  <c r="L1220" i="1"/>
  <c r="O1220" i="1"/>
  <c r="AK1220" i="1"/>
  <c r="L1221" i="1"/>
  <c r="O1221" i="1"/>
  <c r="AK1221" i="1"/>
  <c r="L1222" i="1"/>
  <c r="O1222" i="1"/>
  <c r="AK1222" i="1"/>
  <c r="L1223" i="1"/>
  <c r="O1223" i="1"/>
  <c r="AK1223" i="1"/>
  <c r="L1224" i="1"/>
  <c r="O1224" i="1"/>
  <c r="AK1224" i="1"/>
  <c r="L1225" i="1"/>
  <c r="O1225" i="1"/>
  <c r="AK1225" i="1"/>
  <c r="L1226" i="1"/>
  <c r="O1226" i="1"/>
  <c r="AK1226" i="1"/>
  <c r="L1227" i="1"/>
  <c r="O1227" i="1"/>
  <c r="AK1227" i="1"/>
  <c r="L1228" i="1"/>
  <c r="O1228" i="1"/>
  <c r="AK1228" i="1"/>
  <c r="L1229" i="1"/>
  <c r="O1229" i="1"/>
  <c r="AK1229" i="1"/>
  <c r="L1230" i="1"/>
  <c r="O1230" i="1"/>
  <c r="AK1230" i="1"/>
  <c r="L1231" i="1"/>
  <c r="O1231" i="1"/>
  <c r="AK1231" i="1"/>
  <c r="L1232" i="1"/>
  <c r="O1232" i="1"/>
  <c r="AK1232" i="1"/>
  <c r="L1233" i="1"/>
  <c r="O1233" i="1"/>
  <c r="AK1233" i="1"/>
  <c r="L1234" i="1"/>
  <c r="O1234" i="1"/>
  <c r="AK1234" i="1"/>
  <c r="L1235" i="1"/>
  <c r="O1235" i="1"/>
  <c r="AK1235" i="1"/>
  <c r="L1236" i="1"/>
  <c r="O1236" i="1"/>
  <c r="AK1236" i="1"/>
  <c r="L1237" i="1"/>
  <c r="O1237" i="1"/>
  <c r="AK1237" i="1"/>
  <c r="L1238" i="1"/>
  <c r="O1238" i="1"/>
  <c r="AK1238" i="1"/>
  <c r="L1239" i="1"/>
  <c r="O1239" i="1"/>
  <c r="AK1239" i="1"/>
  <c r="L1240" i="1"/>
  <c r="O1240" i="1"/>
  <c r="AK1240" i="1"/>
  <c r="L1241" i="1"/>
  <c r="O1241" i="1"/>
  <c r="AK1241" i="1"/>
  <c r="L1242" i="1"/>
  <c r="O1242" i="1"/>
  <c r="AK1242" i="1"/>
  <c r="L1243" i="1"/>
  <c r="O1243" i="1"/>
  <c r="AK1243" i="1"/>
  <c r="L1244" i="1"/>
  <c r="O1244" i="1"/>
  <c r="AK1244" i="1"/>
  <c r="L1245" i="1"/>
  <c r="O1245" i="1"/>
  <c r="AK1245" i="1"/>
  <c r="L1246" i="1"/>
  <c r="O1246" i="1"/>
  <c r="AK1246" i="1"/>
  <c r="L1247" i="1"/>
  <c r="O1247" i="1"/>
  <c r="AK1247" i="1"/>
  <c r="L1248" i="1"/>
  <c r="O1248" i="1"/>
  <c r="AK1248" i="1"/>
  <c r="L1249" i="1"/>
  <c r="O1249" i="1"/>
  <c r="AK1249" i="1"/>
  <c r="L1250" i="1"/>
  <c r="O1250" i="1"/>
  <c r="AK1250" i="1"/>
  <c r="L1251" i="1"/>
  <c r="O1251" i="1"/>
  <c r="AK1251" i="1"/>
  <c r="L1252" i="1"/>
  <c r="O1252" i="1"/>
  <c r="AK1252" i="1"/>
  <c r="L1253" i="1"/>
  <c r="O1253" i="1"/>
  <c r="AK1253" i="1"/>
  <c r="L1254" i="1"/>
  <c r="O1254" i="1"/>
  <c r="AK1254" i="1"/>
  <c r="L1255" i="1"/>
  <c r="O1255" i="1"/>
  <c r="AK1255" i="1"/>
  <c r="L1256" i="1"/>
  <c r="O1256" i="1"/>
  <c r="AK1256" i="1"/>
  <c r="L1257" i="1"/>
  <c r="O1257" i="1"/>
  <c r="AK1257" i="1"/>
  <c r="L1258" i="1"/>
  <c r="O1258" i="1"/>
  <c r="AK1258" i="1"/>
  <c r="L1259" i="1"/>
  <c r="O1259" i="1"/>
  <c r="AK1259" i="1"/>
  <c r="L1260" i="1"/>
  <c r="O1260" i="1"/>
  <c r="AK1260" i="1"/>
  <c r="L1261" i="1"/>
  <c r="O1261" i="1"/>
  <c r="AK1261" i="1"/>
  <c r="L1262" i="1"/>
  <c r="O1262" i="1"/>
  <c r="AK1262" i="1"/>
  <c r="L1263" i="1"/>
  <c r="O1263" i="1"/>
  <c r="AK1263" i="1"/>
  <c r="L1264" i="1"/>
  <c r="O1264" i="1"/>
  <c r="AK1264" i="1"/>
  <c r="L1265" i="1"/>
  <c r="O1265" i="1"/>
  <c r="AK1265" i="1"/>
  <c r="L1266" i="1"/>
  <c r="O1266" i="1"/>
  <c r="AK1266" i="1"/>
  <c r="L1267" i="1"/>
  <c r="O1267" i="1"/>
  <c r="AK1267" i="1"/>
  <c r="L1268" i="1"/>
  <c r="O1268" i="1"/>
  <c r="AK1268" i="1"/>
  <c r="L1269" i="1"/>
  <c r="O1269" i="1"/>
  <c r="AK1269" i="1"/>
  <c r="L1270" i="1"/>
  <c r="O1270" i="1"/>
  <c r="AK1270" i="1"/>
  <c r="L1271" i="1"/>
  <c r="O1271" i="1"/>
  <c r="AK1271" i="1"/>
  <c r="L1272" i="1"/>
  <c r="O1272" i="1"/>
  <c r="AK1272" i="1"/>
  <c r="L1273" i="1"/>
  <c r="O1273" i="1"/>
  <c r="AK1273" i="1"/>
  <c r="L1274" i="1"/>
  <c r="O1274" i="1"/>
  <c r="AK1274" i="1"/>
  <c r="L1275" i="1"/>
  <c r="O1275" i="1"/>
  <c r="AK1275" i="1"/>
  <c r="L1276" i="1"/>
  <c r="O1276" i="1"/>
  <c r="AK1276" i="1"/>
  <c r="L1277" i="1"/>
  <c r="O1277" i="1"/>
  <c r="AK1277" i="1"/>
  <c r="L1278" i="1"/>
  <c r="O1278" i="1"/>
  <c r="AK1278" i="1"/>
  <c r="L1279" i="1"/>
  <c r="O1279" i="1"/>
  <c r="AK1279" i="1"/>
  <c r="L1280" i="1"/>
  <c r="O1280" i="1"/>
  <c r="AK1280" i="1"/>
  <c r="L1281" i="1"/>
  <c r="O1281" i="1"/>
  <c r="AK1281" i="1"/>
  <c r="L1282" i="1"/>
  <c r="O1282" i="1"/>
  <c r="AK1282" i="1"/>
  <c r="L1283" i="1"/>
  <c r="O1283" i="1"/>
  <c r="AK1283" i="1"/>
  <c r="L1284" i="1"/>
  <c r="O1284" i="1"/>
  <c r="AK1284" i="1"/>
  <c r="L1285" i="1"/>
  <c r="O1285" i="1"/>
  <c r="AK1285" i="1"/>
  <c r="L1286" i="1"/>
  <c r="O1286" i="1"/>
  <c r="AK1286" i="1"/>
  <c r="L1287" i="1"/>
  <c r="O1287" i="1"/>
  <c r="AK1287" i="1"/>
  <c r="L1288" i="1"/>
  <c r="O1288" i="1"/>
  <c r="AK1288" i="1"/>
  <c r="L1289" i="1"/>
  <c r="O1289" i="1"/>
  <c r="AK1289" i="1"/>
  <c r="L1290" i="1"/>
  <c r="O1290" i="1"/>
  <c r="AK1290" i="1"/>
  <c r="L1291" i="1"/>
  <c r="O1291" i="1"/>
  <c r="AK1291" i="1"/>
  <c r="L1292" i="1"/>
  <c r="O1292" i="1"/>
  <c r="AK1292" i="1"/>
  <c r="L1293" i="1"/>
  <c r="O1293" i="1"/>
  <c r="AK1293" i="1"/>
  <c r="L1294" i="1"/>
  <c r="O1294" i="1"/>
  <c r="AK1294" i="1"/>
  <c r="L1295" i="1"/>
  <c r="O1295" i="1"/>
  <c r="AK1295" i="1"/>
  <c r="L1296" i="1"/>
  <c r="O1296" i="1"/>
  <c r="AK1296" i="1"/>
  <c r="L1297" i="1"/>
  <c r="O1297" i="1"/>
  <c r="AK1297" i="1"/>
  <c r="L1298" i="1"/>
  <c r="O1298" i="1"/>
  <c r="AK1298" i="1"/>
  <c r="L1299" i="1"/>
  <c r="O1299" i="1"/>
  <c r="AK1299" i="1"/>
  <c r="L1300" i="1"/>
  <c r="O1300" i="1"/>
  <c r="AK1300" i="1"/>
  <c r="L1301" i="1"/>
  <c r="O1301" i="1"/>
  <c r="AK1301" i="1"/>
  <c r="L1302" i="1"/>
  <c r="O1302" i="1"/>
  <c r="AK1302" i="1"/>
  <c r="L1303" i="1"/>
  <c r="O1303" i="1"/>
  <c r="AK1303" i="1"/>
  <c r="L1304" i="1"/>
  <c r="O1304" i="1"/>
  <c r="AK1304" i="1"/>
  <c r="L1305" i="1"/>
  <c r="O1305" i="1"/>
  <c r="AK1305" i="1"/>
  <c r="L1306" i="1"/>
  <c r="O1306" i="1"/>
  <c r="AK1306" i="1"/>
  <c r="L1307" i="1"/>
  <c r="O1307" i="1"/>
  <c r="AK1307" i="1"/>
  <c r="L1308" i="1"/>
  <c r="O1308" i="1"/>
  <c r="AK1308" i="1"/>
  <c r="L1309" i="1"/>
  <c r="O1309" i="1"/>
  <c r="AK1309" i="1"/>
  <c r="L1310" i="1"/>
  <c r="O1310" i="1"/>
  <c r="AK1310" i="1"/>
  <c r="L1311" i="1"/>
  <c r="O1311" i="1"/>
  <c r="AK1311" i="1"/>
  <c r="L1312" i="1"/>
  <c r="O1312" i="1"/>
  <c r="AK1312" i="1"/>
  <c r="L1313" i="1"/>
  <c r="O1313" i="1"/>
  <c r="AK1313" i="1"/>
  <c r="L1314" i="1"/>
  <c r="O1314" i="1"/>
  <c r="AK1314" i="1"/>
  <c r="L1315" i="1"/>
  <c r="O1315" i="1"/>
  <c r="AK1315" i="1"/>
  <c r="L1316" i="1"/>
  <c r="O1316" i="1"/>
  <c r="AK1316" i="1"/>
  <c r="L1317" i="1"/>
  <c r="O1317" i="1"/>
  <c r="AK1317" i="1"/>
  <c r="L1318" i="1"/>
  <c r="O1318" i="1"/>
  <c r="AK1318" i="1"/>
  <c r="L1319" i="1"/>
  <c r="O1319" i="1"/>
  <c r="AK1319" i="1"/>
  <c r="L1320" i="1"/>
  <c r="O1320" i="1"/>
  <c r="AK1320" i="1"/>
  <c r="L1321" i="1"/>
  <c r="O1321" i="1"/>
  <c r="AK1321" i="1"/>
  <c r="L1322" i="1"/>
  <c r="O1322" i="1"/>
  <c r="AK1322" i="1"/>
  <c r="L1323" i="1"/>
  <c r="O1323" i="1"/>
  <c r="AK1323" i="1"/>
  <c r="L1324" i="1"/>
  <c r="O1324" i="1"/>
  <c r="AK1324" i="1"/>
  <c r="L1325" i="1"/>
  <c r="O1325" i="1"/>
  <c r="AK1325" i="1"/>
  <c r="L1326" i="1"/>
  <c r="O1326" i="1"/>
  <c r="AK1326" i="1"/>
  <c r="L1327" i="1"/>
  <c r="O1327" i="1"/>
  <c r="AK1327" i="1"/>
  <c r="L1328" i="1"/>
  <c r="O1328" i="1"/>
  <c r="AK1328" i="1"/>
  <c r="L1329" i="1"/>
  <c r="O1329" i="1"/>
  <c r="AK1329" i="1"/>
  <c r="L1330" i="1"/>
  <c r="O1330" i="1"/>
  <c r="AK1330" i="1"/>
  <c r="L1331" i="1"/>
  <c r="O1331" i="1"/>
  <c r="AK1331" i="1"/>
  <c r="L1332" i="1"/>
  <c r="O1332" i="1"/>
  <c r="AK1332" i="1"/>
  <c r="L1333" i="1"/>
  <c r="O1333" i="1"/>
  <c r="AK1333" i="1"/>
  <c r="L1334" i="1"/>
  <c r="O1334" i="1"/>
  <c r="AK1334" i="1"/>
  <c r="L1335" i="1"/>
  <c r="O1335" i="1"/>
  <c r="AK1335" i="1"/>
  <c r="L1336" i="1"/>
  <c r="O1336" i="1"/>
  <c r="AK1336" i="1"/>
  <c r="L1337" i="1"/>
  <c r="O1337" i="1"/>
  <c r="AK1337" i="1"/>
  <c r="L1338" i="1"/>
  <c r="O1338" i="1"/>
  <c r="AK1338" i="1"/>
  <c r="L1339" i="1"/>
  <c r="O1339" i="1"/>
  <c r="AK1339" i="1"/>
  <c r="L1340" i="1"/>
  <c r="O1340" i="1"/>
  <c r="AK1340" i="1"/>
  <c r="L1341" i="1"/>
  <c r="O1341" i="1"/>
  <c r="AK1341" i="1"/>
  <c r="L1342" i="1"/>
  <c r="O1342" i="1"/>
  <c r="AK1342" i="1"/>
  <c r="L1343" i="1"/>
  <c r="O1343" i="1"/>
  <c r="AK1343" i="1"/>
  <c r="L1344" i="1"/>
  <c r="O1344" i="1"/>
  <c r="AK1344" i="1"/>
  <c r="L1345" i="1"/>
  <c r="O1345" i="1"/>
  <c r="AK1345" i="1"/>
  <c r="L1346" i="1"/>
  <c r="O1346" i="1"/>
  <c r="AK1346" i="1"/>
  <c r="L1347" i="1"/>
  <c r="O1347" i="1"/>
  <c r="AK1347" i="1"/>
  <c r="L1348" i="1"/>
  <c r="O1348" i="1"/>
  <c r="AK1348" i="1"/>
  <c r="L1349" i="1"/>
  <c r="O1349" i="1"/>
  <c r="AK1349" i="1"/>
  <c r="L1350" i="1"/>
  <c r="O1350" i="1"/>
  <c r="AK1350" i="1"/>
  <c r="L1351" i="1"/>
  <c r="O1351" i="1"/>
  <c r="AK1351" i="1"/>
  <c r="L1352" i="1"/>
  <c r="O1352" i="1"/>
  <c r="AK1352" i="1"/>
  <c r="L1353" i="1"/>
  <c r="O1353" i="1"/>
  <c r="AK1353" i="1"/>
  <c r="L1354" i="1"/>
  <c r="O1354" i="1"/>
  <c r="AK1354" i="1"/>
  <c r="L1355" i="1"/>
  <c r="O1355" i="1"/>
  <c r="AK1355" i="1"/>
  <c r="L1356" i="1"/>
  <c r="O1356" i="1"/>
  <c r="AK1356" i="1"/>
  <c r="L1357" i="1"/>
  <c r="O1357" i="1"/>
  <c r="AK1357" i="1"/>
  <c r="L1358" i="1"/>
  <c r="O1358" i="1"/>
  <c r="AK1358" i="1"/>
  <c r="L1359" i="1"/>
  <c r="O1359" i="1"/>
  <c r="AK1359" i="1"/>
  <c r="L1360" i="1"/>
  <c r="O1360" i="1"/>
  <c r="AK1360" i="1"/>
  <c r="L1361" i="1"/>
  <c r="O1361" i="1"/>
  <c r="AK1361" i="1"/>
  <c r="L1362" i="1"/>
  <c r="O1362" i="1"/>
  <c r="AK1362" i="1"/>
  <c r="L1363" i="1"/>
  <c r="O1363" i="1"/>
  <c r="AK1363" i="1"/>
  <c r="L1364" i="1"/>
  <c r="O1364" i="1"/>
  <c r="AK1364" i="1"/>
  <c r="L1365" i="1"/>
  <c r="O1365" i="1"/>
  <c r="AK1365" i="1"/>
  <c r="L1366" i="1"/>
  <c r="O1366" i="1"/>
  <c r="AK1366" i="1"/>
  <c r="L1367" i="1"/>
  <c r="O1367" i="1"/>
  <c r="AK1367" i="1"/>
  <c r="L1368" i="1"/>
  <c r="O1368" i="1"/>
  <c r="AK1368" i="1"/>
  <c r="L1369" i="1"/>
  <c r="O1369" i="1"/>
  <c r="AK1369" i="1"/>
  <c r="L1370" i="1"/>
  <c r="O1370" i="1"/>
  <c r="AK1370" i="1"/>
  <c r="L1371" i="1"/>
  <c r="O1371" i="1"/>
  <c r="AK1371" i="1"/>
  <c r="L1372" i="1"/>
  <c r="O1372" i="1"/>
  <c r="AK1372" i="1"/>
  <c r="L1373" i="1"/>
  <c r="O1373" i="1"/>
  <c r="AK1373" i="1"/>
  <c r="L1374" i="1"/>
  <c r="O1374" i="1"/>
  <c r="AK1374" i="1"/>
  <c r="L1375" i="1"/>
  <c r="O1375" i="1"/>
  <c r="AK1375" i="1"/>
  <c r="L1376" i="1"/>
  <c r="O1376" i="1"/>
  <c r="AK1376" i="1"/>
  <c r="L1377" i="1"/>
  <c r="O1377" i="1"/>
  <c r="AK1377" i="1"/>
  <c r="L1378" i="1"/>
  <c r="O1378" i="1"/>
  <c r="AK1378" i="1"/>
  <c r="L1379" i="1"/>
  <c r="O1379" i="1"/>
  <c r="AK1379" i="1"/>
  <c r="L1380" i="1"/>
  <c r="O1380" i="1"/>
  <c r="AK1380" i="1"/>
  <c r="L1381" i="1"/>
  <c r="O1381" i="1"/>
  <c r="AK1381" i="1"/>
  <c r="L1382" i="1"/>
  <c r="O1382" i="1"/>
  <c r="AK1382" i="1"/>
  <c r="L1383" i="1"/>
  <c r="O1383" i="1"/>
  <c r="AK1383" i="1"/>
  <c r="L1384" i="1"/>
  <c r="O1384" i="1"/>
  <c r="AK1384" i="1"/>
  <c r="L1385" i="1"/>
  <c r="O1385" i="1"/>
  <c r="AK1385" i="1"/>
  <c r="L1386" i="1"/>
  <c r="O1386" i="1"/>
  <c r="AK1386" i="1"/>
  <c r="L1387" i="1"/>
  <c r="O1387" i="1"/>
  <c r="AK1387" i="1"/>
  <c r="L1388" i="1"/>
  <c r="O1388" i="1"/>
  <c r="AK1388" i="1"/>
  <c r="L1389" i="1"/>
  <c r="O1389" i="1"/>
  <c r="AK1389" i="1"/>
  <c r="L1390" i="1"/>
  <c r="O1390" i="1"/>
  <c r="AK1390" i="1"/>
  <c r="L1391" i="1"/>
  <c r="O1391" i="1"/>
  <c r="AK1391" i="1"/>
  <c r="L1392" i="1"/>
  <c r="O1392" i="1"/>
  <c r="AK1392" i="1"/>
  <c r="L1393" i="1"/>
  <c r="O1393" i="1"/>
  <c r="AK1393" i="1"/>
  <c r="L1394" i="1"/>
  <c r="O1394" i="1"/>
  <c r="AK1394" i="1"/>
  <c r="L1395" i="1"/>
  <c r="O1395" i="1"/>
  <c r="AK1395" i="1"/>
  <c r="L1396" i="1"/>
  <c r="O1396" i="1"/>
  <c r="AK1396" i="1"/>
  <c r="L1397" i="1"/>
  <c r="O1397" i="1"/>
  <c r="AK1397" i="1"/>
  <c r="L1398" i="1"/>
  <c r="O1398" i="1"/>
  <c r="AK1398" i="1"/>
  <c r="L1399" i="1"/>
  <c r="O1399" i="1"/>
  <c r="AK1399" i="1"/>
  <c r="L1400" i="1"/>
  <c r="O1400" i="1"/>
  <c r="AK1400" i="1"/>
  <c r="L1401" i="1"/>
  <c r="O1401" i="1"/>
  <c r="AK1401" i="1"/>
  <c r="L1402" i="1"/>
  <c r="O1402" i="1"/>
  <c r="AK1402" i="1"/>
  <c r="L1403" i="1"/>
  <c r="O1403" i="1"/>
  <c r="AK1403" i="1"/>
  <c r="L1404" i="1"/>
  <c r="O1404" i="1"/>
  <c r="AK1404" i="1"/>
  <c r="L1405" i="1"/>
  <c r="O1405" i="1"/>
  <c r="AK1405" i="1"/>
  <c r="L1406" i="1"/>
  <c r="O1406" i="1"/>
  <c r="AK1406" i="1"/>
  <c r="L1407" i="1"/>
  <c r="O1407" i="1"/>
  <c r="AK1407" i="1"/>
  <c r="L1408" i="1"/>
  <c r="O1408" i="1"/>
  <c r="AK1408" i="1"/>
  <c r="L1409" i="1"/>
  <c r="O1409" i="1"/>
  <c r="AK1409" i="1"/>
  <c r="L1410" i="1"/>
  <c r="O1410" i="1"/>
  <c r="AK1410" i="1"/>
  <c r="L1411" i="1"/>
  <c r="O1411" i="1"/>
  <c r="AK1411" i="1"/>
  <c r="L1412" i="1"/>
  <c r="O1412" i="1"/>
  <c r="AK1412" i="1"/>
  <c r="L1413" i="1"/>
  <c r="O1413" i="1"/>
  <c r="AK1413" i="1"/>
  <c r="L1414" i="1"/>
  <c r="O1414" i="1"/>
  <c r="AK1414" i="1"/>
  <c r="L1415" i="1"/>
  <c r="O1415" i="1"/>
  <c r="AK1415" i="1"/>
  <c r="L1416" i="1"/>
  <c r="O1416" i="1"/>
  <c r="AK1416" i="1"/>
  <c r="L1417" i="1"/>
  <c r="O1417" i="1"/>
  <c r="AK1417" i="1"/>
  <c r="L1418" i="1"/>
  <c r="O1418" i="1"/>
  <c r="AK1418" i="1"/>
  <c r="L1419" i="1"/>
  <c r="O1419" i="1"/>
  <c r="AK1419" i="1"/>
  <c r="L1420" i="1"/>
  <c r="O1420" i="1"/>
  <c r="AK1420" i="1"/>
  <c r="L1421" i="1"/>
  <c r="O1421" i="1"/>
  <c r="AK1421" i="1"/>
  <c r="L1422" i="1"/>
  <c r="O1422" i="1"/>
  <c r="AK1422" i="1"/>
  <c r="L1423" i="1"/>
  <c r="O1423" i="1"/>
  <c r="AK1423" i="1"/>
  <c r="L1424" i="1"/>
  <c r="O1424" i="1"/>
  <c r="AK1424" i="1"/>
  <c r="L1425" i="1"/>
  <c r="O1425" i="1"/>
  <c r="AK1425" i="1"/>
  <c r="L1426" i="1"/>
  <c r="O1426" i="1"/>
  <c r="AK1426" i="1"/>
  <c r="L1427" i="1"/>
  <c r="O1427" i="1"/>
  <c r="AK1427" i="1"/>
  <c r="L1428" i="1"/>
  <c r="O1428" i="1"/>
  <c r="AK1428" i="1"/>
  <c r="L1429" i="1"/>
  <c r="O1429" i="1"/>
  <c r="AK1429" i="1"/>
  <c r="L1430" i="1"/>
  <c r="O1430" i="1"/>
  <c r="AK1430" i="1"/>
  <c r="L1431" i="1"/>
  <c r="O1431" i="1"/>
  <c r="AK1431" i="1"/>
  <c r="L1432" i="1"/>
  <c r="O1432" i="1"/>
  <c r="AK1432" i="1"/>
  <c r="L1433" i="1"/>
  <c r="O1433" i="1"/>
  <c r="AK1433" i="1"/>
  <c r="L1434" i="1"/>
  <c r="O1434" i="1"/>
  <c r="AK1434" i="1"/>
  <c r="L1435" i="1"/>
  <c r="O1435" i="1"/>
  <c r="AK1435" i="1"/>
  <c r="L1436" i="1"/>
  <c r="O1436" i="1"/>
  <c r="AK1436" i="1"/>
  <c r="L1437" i="1"/>
  <c r="O1437" i="1"/>
  <c r="AK1437" i="1"/>
  <c r="L1438" i="1"/>
  <c r="O1438" i="1"/>
  <c r="AK1438" i="1"/>
  <c r="L1439" i="1"/>
  <c r="O1439" i="1"/>
  <c r="AK1439" i="1"/>
  <c r="L1440" i="1"/>
  <c r="O1440" i="1"/>
  <c r="AK1440" i="1"/>
  <c r="L1441" i="1"/>
  <c r="O1441" i="1"/>
  <c r="AK1441" i="1"/>
  <c r="L1442" i="1"/>
  <c r="O1442" i="1"/>
  <c r="AK1442" i="1"/>
  <c r="L1443" i="1"/>
  <c r="O1443" i="1"/>
  <c r="AK1443" i="1"/>
  <c r="L1444" i="1"/>
  <c r="O1444" i="1"/>
  <c r="AK1444" i="1"/>
  <c r="L1445" i="1"/>
  <c r="O1445" i="1"/>
  <c r="AK1445" i="1"/>
  <c r="L1446" i="1"/>
  <c r="O1446" i="1"/>
  <c r="AK1446" i="1"/>
  <c r="L1447" i="1"/>
  <c r="O1447" i="1"/>
  <c r="AK1447" i="1"/>
  <c r="L1448" i="1"/>
  <c r="O1448" i="1"/>
  <c r="AK1448" i="1"/>
  <c r="L1449" i="1"/>
  <c r="O1449" i="1"/>
  <c r="AK1449" i="1"/>
  <c r="L1450" i="1"/>
  <c r="O1450" i="1"/>
  <c r="AK1450" i="1"/>
  <c r="L1451" i="1"/>
  <c r="O1451" i="1"/>
  <c r="AK1451" i="1"/>
  <c r="L1452" i="1"/>
  <c r="O1452" i="1"/>
  <c r="AK1452" i="1"/>
  <c r="L1453" i="1"/>
  <c r="O1453" i="1"/>
  <c r="AK1453" i="1"/>
  <c r="L1454" i="1"/>
  <c r="O1454" i="1"/>
  <c r="AK1454" i="1"/>
  <c r="L1455" i="1"/>
  <c r="O1455" i="1"/>
  <c r="AK1455" i="1"/>
  <c r="L1456" i="1"/>
  <c r="O1456" i="1"/>
  <c r="AK1456" i="1"/>
  <c r="L1457" i="1"/>
  <c r="O1457" i="1"/>
  <c r="AK1457" i="1"/>
  <c r="L1458" i="1"/>
  <c r="O1458" i="1"/>
  <c r="AK1458" i="1"/>
  <c r="L1459" i="1"/>
  <c r="O1459" i="1"/>
  <c r="AK1459" i="1"/>
  <c r="L1460" i="1"/>
  <c r="O1460" i="1"/>
  <c r="AK1460" i="1"/>
  <c r="L1461" i="1"/>
  <c r="O1461" i="1"/>
  <c r="AK1461" i="1"/>
  <c r="L1462" i="1"/>
  <c r="O1462" i="1"/>
  <c r="AK1462" i="1"/>
  <c r="L1463" i="1"/>
  <c r="O1463" i="1"/>
  <c r="AK1463" i="1"/>
  <c r="L1464" i="1"/>
  <c r="O1464" i="1"/>
  <c r="AK1464" i="1"/>
  <c r="L1465" i="1"/>
  <c r="O1465" i="1"/>
  <c r="AK1465" i="1"/>
  <c r="L1466" i="1"/>
  <c r="O1466" i="1"/>
  <c r="AK1466" i="1"/>
  <c r="L1467" i="1"/>
  <c r="O1467" i="1"/>
  <c r="AK1467" i="1"/>
  <c r="L1468" i="1"/>
  <c r="O1468" i="1"/>
  <c r="AK1468" i="1"/>
  <c r="L1469" i="1"/>
  <c r="O1469" i="1"/>
  <c r="AK1469" i="1"/>
  <c r="L1470" i="1"/>
  <c r="O1470" i="1"/>
  <c r="AK1470" i="1"/>
  <c r="L1471" i="1"/>
  <c r="O1471" i="1"/>
  <c r="AK1471" i="1"/>
  <c r="L1472" i="1"/>
  <c r="O1472" i="1"/>
  <c r="AK1472" i="1"/>
  <c r="L1473" i="1"/>
  <c r="O1473" i="1"/>
  <c r="AK1473" i="1"/>
  <c r="L1474" i="1"/>
  <c r="O1474" i="1"/>
  <c r="AK1474" i="1"/>
  <c r="L1475" i="1"/>
  <c r="O1475" i="1"/>
  <c r="AK1475" i="1"/>
  <c r="L1476" i="1"/>
  <c r="O1476" i="1"/>
  <c r="AK1476" i="1"/>
  <c r="L1477" i="1"/>
  <c r="O1477" i="1"/>
  <c r="AK1477" i="1"/>
  <c r="L1478" i="1"/>
  <c r="O1478" i="1"/>
  <c r="AK1478" i="1"/>
  <c r="L1479" i="1"/>
  <c r="O1479" i="1"/>
  <c r="AK1479" i="1"/>
  <c r="L1480" i="1"/>
  <c r="O1480" i="1"/>
  <c r="AK1480" i="1"/>
  <c r="L1481" i="1"/>
  <c r="O1481" i="1"/>
  <c r="AK1481" i="1"/>
  <c r="L1482" i="1"/>
  <c r="O1482" i="1"/>
  <c r="AK1482" i="1"/>
  <c r="L1483" i="1"/>
  <c r="O1483" i="1"/>
  <c r="AK1483" i="1"/>
  <c r="L1484" i="1"/>
  <c r="O1484" i="1"/>
  <c r="AK1484" i="1"/>
  <c r="L1485" i="1"/>
  <c r="O1485" i="1"/>
  <c r="AK1485" i="1"/>
  <c r="L1486" i="1"/>
  <c r="O1486" i="1"/>
  <c r="AK1486" i="1"/>
  <c r="L1487" i="1"/>
  <c r="O1487" i="1"/>
  <c r="AK1487" i="1"/>
  <c r="L1488" i="1"/>
  <c r="O1488" i="1"/>
  <c r="AK1488" i="1"/>
  <c r="L1489" i="1"/>
  <c r="O1489" i="1"/>
  <c r="AK1489" i="1"/>
  <c r="L1490" i="1"/>
  <c r="O1490" i="1"/>
  <c r="AK1490" i="1"/>
  <c r="L1491" i="1"/>
  <c r="O1491" i="1"/>
  <c r="AK1491" i="1"/>
  <c r="L1492" i="1"/>
  <c r="O1492" i="1"/>
  <c r="AK1492" i="1"/>
  <c r="L1493" i="1"/>
  <c r="O1493" i="1"/>
  <c r="AK1493" i="1"/>
  <c r="L1494" i="1"/>
  <c r="O1494" i="1"/>
  <c r="AK1494" i="1"/>
  <c r="L1495" i="1"/>
  <c r="O1495" i="1"/>
  <c r="AK1495" i="1"/>
  <c r="L1496" i="1"/>
  <c r="O1496" i="1"/>
  <c r="AK1496" i="1"/>
  <c r="L1497" i="1"/>
  <c r="O1497" i="1"/>
  <c r="AK1497" i="1"/>
  <c r="L1498" i="1"/>
  <c r="O1498" i="1"/>
  <c r="AK1498" i="1"/>
  <c r="L1499" i="1"/>
  <c r="O1499" i="1"/>
  <c r="AK1499" i="1"/>
  <c r="L1500" i="1"/>
  <c r="O1500" i="1"/>
  <c r="AK1500" i="1"/>
  <c r="L1501" i="1"/>
  <c r="O1501" i="1"/>
  <c r="AK1501" i="1"/>
  <c r="L1502" i="1"/>
  <c r="O1502" i="1"/>
  <c r="AK1502" i="1"/>
  <c r="L1503" i="1"/>
  <c r="O1503" i="1"/>
  <c r="AK1503" i="1"/>
  <c r="L1504" i="1"/>
  <c r="O1504" i="1"/>
  <c r="AK1504" i="1"/>
  <c r="L1505" i="1"/>
  <c r="O1505" i="1"/>
  <c r="AK1505" i="1"/>
  <c r="L1506" i="1"/>
  <c r="O1506" i="1"/>
  <c r="AK1506" i="1"/>
  <c r="L1507" i="1"/>
  <c r="O1507" i="1"/>
  <c r="AK1507" i="1"/>
  <c r="L1508" i="1"/>
  <c r="O1508" i="1"/>
  <c r="AK1508" i="1"/>
  <c r="L1509" i="1"/>
  <c r="O1509" i="1"/>
  <c r="AK1509" i="1"/>
  <c r="L1510" i="1"/>
  <c r="O1510" i="1"/>
  <c r="AK1510" i="1"/>
  <c r="L1511" i="1"/>
  <c r="O1511" i="1"/>
  <c r="AK1511" i="1"/>
  <c r="L1512" i="1"/>
  <c r="O1512" i="1"/>
  <c r="AK1512" i="1"/>
  <c r="L1513" i="1"/>
  <c r="O1513" i="1"/>
  <c r="AK1513" i="1"/>
  <c r="L1514" i="1"/>
  <c r="O1514" i="1"/>
  <c r="AK1514" i="1"/>
  <c r="L1515" i="1"/>
  <c r="O1515" i="1"/>
  <c r="AK1515" i="1"/>
  <c r="L1516" i="1"/>
  <c r="O1516" i="1"/>
  <c r="AK1516" i="1"/>
  <c r="L1517" i="1"/>
  <c r="O1517" i="1"/>
  <c r="AK1517" i="1"/>
  <c r="L1518" i="1"/>
  <c r="O1518" i="1"/>
  <c r="AK1518" i="1"/>
  <c r="L1519" i="1"/>
  <c r="O1519" i="1"/>
  <c r="AK1519" i="1"/>
  <c r="L1520" i="1"/>
  <c r="O1520" i="1"/>
  <c r="AK1520" i="1"/>
  <c r="L1521" i="1"/>
  <c r="O1521" i="1"/>
  <c r="AK1521" i="1"/>
  <c r="L1522" i="1"/>
  <c r="O1522" i="1"/>
  <c r="AK1522" i="1"/>
  <c r="L1523" i="1"/>
  <c r="O1523" i="1"/>
  <c r="AK1523" i="1"/>
  <c r="L1524" i="1"/>
  <c r="O1524" i="1"/>
  <c r="AK1524" i="1"/>
  <c r="L1525" i="1"/>
  <c r="O1525" i="1"/>
  <c r="AK1525" i="1"/>
  <c r="L1526" i="1"/>
  <c r="O1526" i="1"/>
  <c r="AK1526" i="1"/>
  <c r="L1527" i="1"/>
  <c r="O1527" i="1"/>
  <c r="AK1527" i="1"/>
  <c r="L1528" i="1"/>
  <c r="O1528" i="1"/>
  <c r="AK1528" i="1"/>
  <c r="L1529" i="1"/>
  <c r="O1529" i="1"/>
  <c r="AK1529" i="1"/>
  <c r="L1530" i="1"/>
  <c r="O1530" i="1"/>
  <c r="AK1530" i="1"/>
  <c r="L1531" i="1"/>
  <c r="O1531" i="1"/>
  <c r="AK1531" i="1"/>
  <c r="L1532" i="1"/>
  <c r="O1532" i="1"/>
  <c r="AK1532" i="1"/>
  <c r="L1533" i="1"/>
  <c r="O1533" i="1"/>
  <c r="AK1533" i="1"/>
  <c r="L1534" i="1"/>
  <c r="O1534" i="1"/>
  <c r="AK1534" i="1"/>
  <c r="L1535" i="1"/>
  <c r="O1535" i="1"/>
  <c r="AK1535" i="1"/>
  <c r="L1536" i="1"/>
  <c r="O1536" i="1"/>
  <c r="AK1536" i="1"/>
  <c r="L1537" i="1"/>
  <c r="O1537" i="1"/>
  <c r="AK1537" i="1"/>
  <c r="L1538" i="1"/>
  <c r="O1538" i="1"/>
  <c r="AK1538" i="1"/>
  <c r="L1539" i="1"/>
  <c r="O1539" i="1"/>
  <c r="AK1539" i="1"/>
  <c r="L1540" i="1"/>
  <c r="O1540" i="1"/>
  <c r="AK1540" i="1"/>
  <c r="L1541" i="1"/>
  <c r="O1541" i="1"/>
  <c r="AK1541" i="1"/>
  <c r="L1542" i="1"/>
  <c r="O1542" i="1"/>
  <c r="AK1542" i="1"/>
  <c r="L1543" i="1"/>
  <c r="O1543" i="1"/>
  <c r="AK1543" i="1"/>
  <c r="L1544" i="1"/>
  <c r="O1544" i="1"/>
  <c r="AK1544" i="1"/>
  <c r="L1545" i="1"/>
  <c r="O1545" i="1"/>
  <c r="AK1545" i="1"/>
  <c r="L1546" i="1"/>
  <c r="O1546" i="1"/>
  <c r="AK1546" i="1"/>
  <c r="L1547" i="1"/>
  <c r="O1547" i="1"/>
  <c r="AK1547" i="1"/>
  <c r="L1548" i="1"/>
  <c r="O1548" i="1"/>
  <c r="AK1548" i="1"/>
  <c r="L1549" i="1"/>
  <c r="O1549" i="1"/>
  <c r="AK1549" i="1"/>
  <c r="L1550" i="1"/>
  <c r="O1550" i="1"/>
  <c r="AK1550" i="1"/>
  <c r="L1551" i="1"/>
  <c r="O1551" i="1"/>
  <c r="AK1551" i="1"/>
  <c r="L1552" i="1"/>
  <c r="O1552" i="1"/>
  <c r="AK1552" i="1"/>
  <c r="L1553" i="1"/>
  <c r="O1553" i="1"/>
  <c r="AK1553" i="1"/>
  <c r="L1554" i="1"/>
  <c r="O1554" i="1"/>
  <c r="AK1554" i="1"/>
  <c r="L1555" i="1"/>
  <c r="O1555" i="1"/>
  <c r="AK1555" i="1"/>
  <c r="L1556" i="1"/>
  <c r="O1556" i="1"/>
  <c r="AK1556" i="1"/>
  <c r="L1557" i="1"/>
  <c r="O1557" i="1"/>
  <c r="AK1557" i="1"/>
  <c r="L1558" i="1"/>
  <c r="O1558" i="1"/>
  <c r="AK1558" i="1"/>
  <c r="L1559" i="1"/>
  <c r="O1559" i="1"/>
  <c r="AK1559" i="1"/>
  <c r="L1560" i="1"/>
  <c r="O1560" i="1"/>
  <c r="AK1560" i="1"/>
  <c r="L1561" i="1"/>
  <c r="O1561" i="1"/>
  <c r="AK1561" i="1"/>
  <c r="L1562" i="1"/>
  <c r="O1562" i="1"/>
  <c r="AK1562" i="1"/>
  <c r="L1563" i="1"/>
  <c r="O1563" i="1"/>
  <c r="AK1563" i="1"/>
  <c r="L1564" i="1"/>
  <c r="O1564" i="1"/>
  <c r="AK1564" i="1"/>
  <c r="L1565" i="1"/>
  <c r="O1565" i="1"/>
  <c r="AK1565" i="1"/>
  <c r="L1566" i="1"/>
  <c r="O1566" i="1"/>
  <c r="AK1566" i="1"/>
  <c r="L1567" i="1"/>
  <c r="O1567" i="1"/>
  <c r="AK1567" i="1"/>
  <c r="L1568" i="1"/>
  <c r="O1568" i="1"/>
  <c r="AK1568" i="1"/>
  <c r="L1569" i="1"/>
  <c r="O1569" i="1"/>
  <c r="AK1569" i="1"/>
  <c r="L1570" i="1"/>
  <c r="O1570" i="1"/>
  <c r="AK1570" i="1"/>
  <c r="L1571" i="1"/>
  <c r="O1571" i="1"/>
  <c r="AK1571" i="1"/>
  <c r="L1572" i="1"/>
  <c r="O1572" i="1"/>
  <c r="AK1572" i="1"/>
  <c r="L1573" i="1"/>
  <c r="O1573" i="1"/>
  <c r="AK1573" i="1"/>
  <c r="L1574" i="1"/>
  <c r="O1574" i="1"/>
  <c r="AK1574" i="1"/>
  <c r="L1575" i="1"/>
  <c r="O1575" i="1"/>
  <c r="AK1575" i="1"/>
  <c r="L1576" i="1"/>
  <c r="O1576" i="1"/>
  <c r="AK1576" i="1"/>
  <c r="L1577" i="1"/>
  <c r="O1577" i="1"/>
  <c r="AK1577" i="1"/>
  <c r="L1578" i="1"/>
  <c r="O1578" i="1"/>
  <c r="AK1578" i="1"/>
  <c r="L1579" i="1"/>
  <c r="O1579" i="1"/>
  <c r="AK1579" i="1"/>
  <c r="L1580" i="1"/>
  <c r="O1580" i="1"/>
  <c r="AK1580" i="1"/>
  <c r="L1581" i="1"/>
  <c r="O1581" i="1"/>
  <c r="AK1581" i="1"/>
  <c r="L1582" i="1"/>
  <c r="O1582" i="1"/>
  <c r="AK1582" i="1"/>
  <c r="L1583" i="1"/>
  <c r="O1583" i="1"/>
  <c r="AK1583" i="1"/>
  <c r="L1584" i="1"/>
  <c r="O1584" i="1"/>
  <c r="AK1584" i="1"/>
  <c r="L1585" i="1"/>
  <c r="O1585" i="1"/>
  <c r="AK1585" i="1"/>
  <c r="L1586" i="1"/>
  <c r="O1586" i="1"/>
  <c r="AK1586" i="1"/>
  <c r="L1587" i="1"/>
  <c r="O1587" i="1"/>
  <c r="AK1587" i="1"/>
  <c r="L1588" i="1"/>
  <c r="O1588" i="1"/>
  <c r="AK1588" i="1"/>
  <c r="L1589" i="1"/>
  <c r="O1589" i="1"/>
  <c r="AK1589" i="1"/>
  <c r="L1590" i="1"/>
  <c r="O1590" i="1"/>
  <c r="AK1590" i="1"/>
  <c r="L1591" i="1"/>
  <c r="O1591" i="1"/>
  <c r="AK1591" i="1"/>
  <c r="L1592" i="1"/>
  <c r="O1592" i="1"/>
  <c r="AK1592" i="1"/>
  <c r="L1593" i="1"/>
  <c r="O1593" i="1"/>
  <c r="AK1593" i="1"/>
  <c r="L1594" i="1"/>
  <c r="O1594" i="1"/>
  <c r="AK1594" i="1"/>
  <c r="L1595" i="1"/>
  <c r="O1595" i="1"/>
  <c r="AK1595" i="1"/>
  <c r="L1596" i="1"/>
  <c r="O1596" i="1"/>
  <c r="AK1596" i="1"/>
  <c r="L1597" i="1"/>
  <c r="O1597" i="1"/>
  <c r="AK1597" i="1"/>
  <c r="L1598" i="1"/>
  <c r="O1598" i="1"/>
  <c r="AK1598" i="1"/>
  <c r="L1599" i="1"/>
  <c r="O1599" i="1"/>
  <c r="AK1599" i="1"/>
  <c r="L1600" i="1"/>
  <c r="O1600" i="1"/>
  <c r="AK1600" i="1"/>
  <c r="L1601" i="1"/>
  <c r="O1601" i="1"/>
  <c r="AK1601" i="1"/>
  <c r="L1602" i="1"/>
  <c r="O1602" i="1"/>
  <c r="AK1602" i="1"/>
  <c r="L1603" i="1"/>
  <c r="O1603" i="1"/>
  <c r="AK1603" i="1"/>
  <c r="L1604" i="1"/>
  <c r="O1604" i="1"/>
  <c r="AK1604" i="1"/>
  <c r="L1605" i="1"/>
  <c r="O1605" i="1"/>
  <c r="AK1605" i="1"/>
  <c r="L1606" i="1"/>
  <c r="O1606" i="1"/>
  <c r="AK1606" i="1"/>
  <c r="L1607" i="1"/>
  <c r="O1607" i="1"/>
  <c r="AK1607" i="1"/>
  <c r="L1608" i="1"/>
  <c r="O1608" i="1"/>
  <c r="AK1608" i="1"/>
  <c r="L1609" i="1"/>
  <c r="O1609" i="1"/>
  <c r="AK1609" i="1"/>
  <c r="L1610" i="1"/>
  <c r="O1610" i="1"/>
  <c r="AK1610" i="1"/>
  <c r="L1611" i="1"/>
  <c r="O1611" i="1"/>
  <c r="AK1611" i="1"/>
  <c r="L1612" i="1"/>
  <c r="O1612" i="1"/>
  <c r="AK1612" i="1"/>
  <c r="L1613" i="1"/>
  <c r="O1613" i="1"/>
  <c r="AK1613" i="1"/>
  <c r="L1614" i="1"/>
  <c r="O1614" i="1"/>
  <c r="AK1614" i="1"/>
  <c r="L1615" i="1"/>
  <c r="O1615" i="1"/>
  <c r="AK1615" i="1"/>
  <c r="L1616" i="1"/>
  <c r="O1616" i="1"/>
  <c r="AK1616" i="1"/>
  <c r="L1617" i="1"/>
  <c r="O1617" i="1"/>
  <c r="AK1617" i="1"/>
  <c r="L1618" i="1"/>
  <c r="O1618" i="1"/>
  <c r="AK1618" i="1"/>
  <c r="L1619" i="1"/>
  <c r="O1619" i="1"/>
  <c r="AK1619" i="1"/>
  <c r="L1620" i="1"/>
  <c r="O1620" i="1"/>
  <c r="AK1620" i="1"/>
  <c r="L1621" i="1"/>
  <c r="O1621" i="1"/>
  <c r="AK1621" i="1"/>
  <c r="L1622" i="1"/>
  <c r="O1622" i="1"/>
  <c r="AK1622" i="1"/>
  <c r="L1623" i="1"/>
  <c r="O1623" i="1"/>
  <c r="AK1623" i="1"/>
  <c r="L1624" i="1"/>
  <c r="O1624" i="1"/>
  <c r="AK1624" i="1"/>
  <c r="L1625" i="1"/>
  <c r="O1625" i="1"/>
  <c r="AK1625" i="1"/>
  <c r="L1626" i="1"/>
  <c r="O1626" i="1"/>
  <c r="AK1626" i="1"/>
  <c r="L1627" i="1"/>
  <c r="O1627" i="1"/>
  <c r="AK1627" i="1"/>
  <c r="L1628" i="1"/>
  <c r="O1628" i="1"/>
  <c r="AK1628" i="1"/>
  <c r="L1629" i="1"/>
  <c r="O1629" i="1"/>
  <c r="AK1629" i="1"/>
  <c r="L1630" i="1"/>
  <c r="O1630" i="1"/>
  <c r="AK1630" i="1"/>
  <c r="L1631" i="1"/>
  <c r="O1631" i="1"/>
  <c r="AK1631" i="1"/>
  <c r="L1632" i="1"/>
  <c r="O1632" i="1"/>
  <c r="AK1632" i="1"/>
  <c r="L1633" i="1"/>
  <c r="O1633" i="1"/>
  <c r="AK1633" i="1"/>
  <c r="L1634" i="1"/>
  <c r="O1634" i="1"/>
  <c r="AK1634" i="1"/>
  <c r="L1635" i="1"/>
  <c r="O1635" i="1"/>
  <c r="AK1635" i="1"/>
  <c r="L1636" i="1"/>
  <c r="O1636" i="1"/>
  <c r="AK1636" i="1"/>
  <c r="L1637" i="1"/>
  <c r="O1637" i="1"/>
  <c r="AK1637" i="1"/>
  <c r="L1638" i="1"/>
  <c r="O1638" i="1"/>
  <c r="AK1638" i="1"/>
  <c r="L1639" i="1"/>
  <c r="O1639" i="1"/>
  <c r="AK1639" i="1"/>
  <c r="L1640" i="1"/>
  <c r="O1640" i="1"/>
  <c r="AK1640" i="1"/>
  <c r="L1641" i="1"/>
  <c r="O1641" i="1"/>
  <c r="AK1641" i="1"/>
  <c r="L1642" i="1"/>
  <c r="O1642" i="1"/>
  <c r="AK1642" i="1"/>
  <c r="L1643" i="1"/>
  <c r="O1643" i="1"/>
  <c r="AK1643" i="1"/>
  <c r="L1644" i="1"/>
  <c r="O1644" i="1"/>
  <c r="AK1644" i="1"/>
  <c r="L1645" i="1"/>
  <c r="O1645" i="1"/>
  <c r="AK1645" i="1"/>
  <c r="L1646" i="1"/>
  <c r="O1646" i="1"/>
  <c r="AK1646" i="1"/>
  <c r="L1647" i="1"/>
  <c r="O1647" i="1"/>
  <c r="AK1647" i="1"/>
  <c r="L1648" i="1"/>
  <c r="O1648" i="1"/>
  <c r="AK1648" i="1"/>
  <c r="L1649" i="1"/>
  <c r="O1649" i="1"/>
  <c r="AK1649" i="1"/>
  <c r="L1650" i="1"/>
  <c r="O1650" i="1"/>
  <c r="AK1650" i="1"/>
  <c r="L1651" i="1"/>
  <c r="O1651" i="1"/>
  <c r="AK1651" i="1"/>
  <c r="L1652" i="1"/>
  <c r="O1652" i="1"/>
  <c r="AK1652" i="1"/>
  <c r="L1653" i="1"/>
  <c r="O1653" i="1"/>
  <c r="AK1653" i="1"/>
  <c r="L1654" i="1"/>
  <c r="O1654" i="1"/>
  <c r="AK1654" i="1"/>
  <c r="L1655" i="1"/>
  <c r="O1655" i="1"/>
  <c r="AK1655" i="1"/>
  <c r="L1656" i="1"/>
  <c r="O1656" i="1"/>
  <c r="AK1656" i="1"/>
  <c r="L1657" i="1"/>
  <c r="O1657" i="1"/>
  <c r="AK1657" i="1"/>
  <c r="L1658" i="1"/>
  <c r="O1658" i="1"/>
  <c r="AK1658" i="1"/>
  <c r="L1659" i="1"/>
  <c r="O1659" i="1"/>
  <c r="AK1659" i="1"/>
  <c r="L1660" i="1"/>
  <c r="O1660" i="1"/>
  <c r="AK1660" i="1"/>
  <c r="L1661" i="1"/>
  <c r="O1661" i="1"/>
  <c r="AK1661" i="1"/>
  <c r="L1662" i="1"/>
  <c r="O1662" i="1"/>
  <c r="AK1662" i="1"/>
  <c r="L1663" i="1"/>
  <c r="O1663" i="1"/>
  <c r="AK1663" i="1"/>
  <c r="L1664" i="1"/>
  <c r="O1664" i="1"/>
  <c r="AK1664" i="1"/>
  <c r="L1665" i="1"/>
  <c r="O1665" i="1"/>
  <c r="AK1665" i="1"/>
  <c r="L1666" i="1"/>
  <c r="O1666" i="1"/>
  <c r="AK1666" i="1"/>
  <c r="L1667" i="1"/>
  <c r="O1667" i="1"/>
  <c r="AK1667" i="1"/>
  <c r="L1668" i="1"/>
  <c r="O1668" i="1"/>
  <c r="AK1668" i="1"/>
  <c r="L1669" i="1"/>
  <c r="O1669" i="1"/>
  <c r="AK1669" i="1"/>
  <c r="L1670" i="1"/>
  <c r="O1670" i="1"/>
  <c r="AK1670" i="1"/>
  <c r="L1671" i="1"/>
  <c r="O1671" i="1"/>
  <c r="AK1671" i="1"/>
  <c r="L1672" i="1"/>
  <c r="O1672" i="1"/>
  <c r="AK1672" i="1"/>
  <c r="L1673" i="1"/>
  <c r="O1673" i="1"/>
  <c r="AK1673" i="1"/>
  <c r="L1674" i="1"/>
  <c r="O1674" i="1"/>
  <c r="AK1674" i="1"/>
  <c r="L1675" i="1"/>
  <c r="O1675" i="1"/>
  <c r="AK1675" i="1"/>
  <c r="L1676" i="1"/>
  <c r="O1676" i="1"/>
  <c r="AK1676" i="1"/>
  <c r="L1677" i="1"/>
  <c r="O1677" i="1"/>
  <c r="AK1677" i="1"/>
  <c r="L1678" i="1"/>
  <c r="O1678" i="1"/>
  <c r="AK1678" i="1"/>
  <c r="L1679" i="1"/>
  <c r="O1679" i="1"/>
  <c r="AK1679" i="1"/>
  <c r="L1680" i="1"/>
  <c r="O1680" i="1"/>
  <c r="AK1680" i="1"/>
  <c r="L1681" i="1"/>
  <c r="O1681" i="1"/>
  <c r="AK1681" i="1"/>
  <c r="L1682" i="1"/>
  <c r="O1682" i="1"/>
  <c r="AK1682" i="1"/>
  <c r="L1683" i="1"/>
  <c r="O1683" i="1"/>
  <c r="AK1683" i="1"/>
  <c r="L1684" i="1"/>
  <c r="O1684" i="1"/>
  <c r="AK1684" i="1"/>
  <c r="L1685" i="1"/>
  <c r="O1685" i="1"/>
  <c r="AK1685" i="1"/>
  <c r="L1686" i="1"/>
  <c r="O1686" i="1"/>
  <c r="AK1686" i="1"/>
  <c r="L1687" i="1"/>
  <c r="O1687" i="1"/>
  <c r="AK1687" i="1"/>
  <c r="L1688" i="1"/>
  <c r="O1688" i="1"/>
  <c r="AK1688" i="1"/>
  <c r="L1689" i="1"/>
  <c r="O1689" i="1"/>
  <c r="AK1689" i="1"/>
  <c r="L1690" i="1"/>
  <c r="O1690" i="1"/>
  <c r="AK1690" i="1"/>
  <c r="L1691" i="1"/>
  <c r="O1691" i="1"/>
  <c r="AK1691" i="1"/>
  <c r="L1692" i="1"/>
  <c r="O1692" i="1"/>
  <c r="AK1692" i="1"/>
  <c r="L1693" i="1"/>
  <c r="O1693" i="1"/>
  <c r="AK1693" i="1"/>
  <c r="L1694" i="1"/>
  <c r="O1694" i="1"/>
  <c r="AK1694" i="1"/>
  <c r="L1695" i="1"/>
  <c r="O1695" i="1"/>
  <c r="AK1695" i="1"/>
  <c r="L1696" i="1"/>
  <c r="O1696" i="1"/>
  <c r="AK1696" i="1"/>
  <c r="L1697" i="1"/>
  <c r="O1697" i="1"/>
  <c r="AK1697" i="1"/>
  <c r="L1698" i="1"/>
  <c r="O1698" i="1"/>
  <c r="AK1698" i="1"/>
  <c r="L1699" i="1"/>
  <c r="O1699" i="1"/>
  <c r="AK1699" i="1"/>
  <c r="L1700" i="1"/>
  <c r="O1700" i="1"/>
  <c r="AK1700" i="1"/>
  <c r="L1701" i="1"/>
  <c r="O1701" i="1"/>
  <c r="AK1701" i="1"/>
  <c r="L1702" i="1"/>
  <c r="O1702" i="1"/>
  <c r="AK1702" i="1"/>
  <c r="L1703" i="1"/>
  <c r="O1703" i="1"/>
  <c r="AK1703" i="1"/>
  <c r="L1704" i="1"/>
  <c r="O1704" i="1"/>
  <c r="AK1704" i="1"/>
  <c r="L1705" i="1"/>
  <c r="O1705" i="1"/>
  <c r="AK1705" i="1"/>
  <c r="L1706" i="1"/>
  <c r="O1706" i="1"/>
  <c r="AK1706" i="1"/>
  <c r="L1707" i="1"/>
  <c r="O1707" i="1"/>
  <c r="AK1707" i="1"/>
  <c r="L1708" i="1"/>
  <c r="O1708" i="1"/>
  <c r="AK1708" i="1"/>
  <c r="L1709" i="1"/>
  <c r="O1709" i="1"/>
  <c r="AK1709" i="1"/>
  <c r="L1710" i="1"/>
  <c r="O1710" i="1"/>
  <c r="AK1710" i="1"/>
  <c r="L1711" i="1"/>
  <c r="O1711" i="1"/>
  <c r="AK1711" i="1"/>
  <c r="L1712" i="1"/>
  <c r="O1712" i="1"/>
  <c r="AK1712" i="1"/>
  <c r="L1713" i="1"/>
  <c r="O1713" i="1"/>
  <c r="AK1713" i="1"/>
  <c r="L1714" i="1"/>
  <c r="O1714" i="1"/>
  <c r="AK1714" i="1"/>
  <c r="L1715" i="1"/>
  <c r="O1715" i="1"/>
  <c r="AK1715" i="1"/>
  <c r="L1716" i="1"/>
  <c r="O1716" i="1"/>
  <c r="AK1716" i="1"/>
  <c r="L1717" i="1"/>
  <c r="O1717" i="1"/>
  <c r="AK1717" i="1"/>
  <c r="L1718" i="1"/>
  <c r="O1718" i="1"/>
  <c r="AK1718" i="1"/>
  <c r="L1719" i="1"/>
  <c r="O1719" i="1"/>
  <c r="AK1719" i="1"/>
  <c r="L1720" i="1"/>
  <c r="O1720" i="1"/>
  <c r="AK1720" i="1"/>
  <c r="L1721" i="1"/>
  <c r="O1721" i="1"/>
  <c r="AK1721" i="1"/>
  <c r="L1722" i="1"/>
  <c r="O1722" i="1"/>
  <c r="AK1722" i="1"/>
  <c r="L1723" i="1"/>
  <c r="O1723" i="1"/>
  <c r="AK1723" i="1"/>
  <c r="L1724" i="1"/>
  <c r="O1724" i="1"/>
  <c r="AK1724" i="1"/>
  <c r="L1725" i="1"/>
  <c r="O1725" i="1"/>
  <c r="AK1725" i="1"/>
  <c r="L1726" i="1"/>
  <c r="O1726" i="1"/>
  <c r="AK1726" i="1"/>
  <c r="L1727" i="1"/>
  <c r="O1727" i="1"/>
  <c r="AK1727" i="1"/>
  <c r="L1728" i="1"/>
  <c r="O1728" i="1"/>
  <c r="AK1728" i="1"/>
  <c r="L1729" i="1"/>
  <c r="O1729" i="1"/>
  <c r="AK1729" i="1"/>
  <c r="L1730" i="1"/>
  <c r="O1730" i="1"/>
  <c r="AK1730" i="1"/>
  <c r="L1731" i="1"/>
  <c r="O1731" i="1"/>
  <c r="AK1731" i="1"/>
  <c r="L1732" i="1"/>
  <c r="O1732" i="1"/>
  <c r="AK1732" i="1"/>
  <c r="L1733" i="1"/>
  <c r="O1733" i="1"/>
  <c r="AK1733" i="1"/>
  <c r="L1734" i="1"/>
  <c r="O1734" i="1"/>
  <c r="AK1734" i="1"/>
  <c r="L1735" i="1"/>
  <c r="O1735" i="1"/>
  <c r="AK1735" i="1"/>
  <c r="L1736" i="1"/>
  <c r="O1736" i="1"/>
  <c r="AK1736" i="1"/>
  <c r="L1737" i="1"/>
  <c r="O1737" i="1"/>
  <c r="AK1737" i="1"/>
  <c r="L1738" i="1"/>
  <c r="O1738" i="1"/>
  <c r="AK1738" i="1"/>
  <c r="L1739" i="1"/>
  <c r="O1739" i="1"/>
  <c r="AK1739" i="1"/>
  <c r="L1740" i="1"/>
  <c r="O1740" i="1"/>
  <c r="AK1740" i="1"/>
  <c r="L1741" i="1"/>
  <c r="O1741" i="1"/>
  <c r="AK1741" i="1"/>
  <c r="L1742" i="1"/>
  <c r="O1742" i="1"/>
  <c r="AK1742" i="1"/>
  <c r="L1743" i="1"/>
  <c r="O1743" i="1"/>
  <c r="AK1743" i="1"/>
  <c r="L1744" i="1"/>
  <c r="O1744" i="1"/>
  <c r="AK1744" i="1"/>
  <c r="L1745" i="1"/>
  <c r="O1745" i="1"/>
  <c r="AK1745" i="1"/>
  <c r="L1746" i="1"/>
  <c r="O1746" i="1"/>
  <c r="AK1746" i="1"/>
  <c r="L1747" i="1"/>
  <c r="O1747" i="1"/>
  <c r="AK1747" i="1"/>
  <c r="L1748" i="1"/>
  <c r="O1748" i="1"/>
  <c r="AK1748" i="1"/>
  <c r="L1749" i="1"/>
  <c r="O1749" i="1"/>
  <c r="AK1749" i="1"/>
  <c r="L1750" i="1"/>
  <c r="O1750" i="1"/>
  <c r="AK1750" i="1"/>
  <c r="L1751" i="1"/>
  <c r="O1751" i="1"/>
  <c r="AK1751" i="1"/>
  <c r="L1752" i="1"/>
  <c r="O1752" i="1"/>
  <c r="AK1752" i="1"/>
  <c r="L1753" i="1"/>
  <c r="O1753" i="1"/>
  <c r="AK1753" i="1"/>
  <c r="L1754" i="1"/>
  <c r="O1754" i="1"/>
  <c r="AK1754" i="1"/>
  <c r="L1755" i="1"/>
  <c r="O1755" i="1"/>
  <c r="AK1755" i="1"/>
  <c r="L1756" i="1"/>
  <c r="O1756" i="1"/>
  <c r="AK1756" i="1"/>
  <c r="L1757" i="1"/>
  <c r="O1757" i="1"/>
  <c r="AK1757" i="1"/>
  <c r="L1758" i="1"/>
  <c r="O1758" i="1"/>
  <c r="AK1758" i="1"/>
  <c r="L1759" i="1"/>
  <c r="O1759" i="1"/>
  <c r="AK1759" i="1"/>
  <c r="L1760" i="1"/>
  <c r="O1760" i="1"/>
  <c r="AK1760" i="1"/>
  <c r="L1761" i="1"/>
  <c r="O1761" i="1"/>
  <c r="AK1761" i="1"/>
  <c r="L1762" i="1"/>
  <c r="O1762" i="1"/>
  <c r="AK1762" i="1"/>
  <c r="L1763" i="1"/>
  <c r="O1763" i="1"/>
  <c r="AK1763" i="1"/>
  <c r="L1764" i="1"/>
  <c r="O1764" i="1"/>
  <c r="AK1764" i="1"/>
  <c r="L1765" i="1"/>
  <c r="O1765" i="1"/>
  <c r="AK1765" i="1"/>
  <c r="L1766" i="1"/>
  <c r="O1766" i="1"/>
  <c r="AK1766" i="1"/>
  <c r="L1767" i="1"/>
  <c r="O1767" i="1"/>
  <c r="AK1767" i="1"/>
  <c r="L1768" i="1"/>
  <c r="O1768" i="1"/>
  <c r="AK1768" i="1"/>
  <c r="L1769" i="1"/>
  <c r="O1769" i="1"/>
  <c r="AK1769" i="1"/>
  <c r="L1770" i="1"/>
  <c r="O1770" i="1"/>
  <c r="AK1770" i="1"/>
  <c r="L1771" i="1"/>
  <c r="O1771" i="1"/>
  <c r="AK1771" i="1"/>
  <c r="L1772" i="1"/>
  <c r="O1772" i="1"/>
  <c r="AK1772" i="1"/>
  <c r="L1773" i="1"/>
  <c r="O1773" i="1"/>
  <c r="AK1773" i="1"/>
  <c r="L1774" i="1"/>
  <c r="O1774" i="1"/>
  <c r="AK1774" i="1"/>
  <c r="L1775" i="1"/>
  <c r="O1775" i="1"/>
  <c r="AK1775" i="1"/>
  <c r="L1776" i="1"/>
  <c r="O1776" i="1"/>
  <c r="AK1776" i="1"/>
  <c r="L1777" i="1"/>
  <c r="O1777" i="1"/>
  <c r="AK1777" i="1"/>
  <c r="L1778" i="1"/>
  <c r="O1778" i="1"/>
  <c r="AK1778" i="1"/>
  <c r="L1779" i="1"/>
  <c r="O1779" i="1"/>
  <c r="AK1779" i="1"/>
  <c r="L1780" i="1"/>
  <c r="O1780" i="1"/>
  <c r="AK1780" i="1"/>
  <c r="L1781" i="1"/>
  <c r="O1781" i="1"/>
  <c r="AK1781" i="1"/>
  <c r="L1782" i="1"/>
  <c r="O1782" i="1"/>
  <c r="AK1782" i="1"/>
  <c r="L1783" i="1"/>
  <c r="O1783" i="1"/>
  <c r="AK1783" i="1"/>
  <c r="L1784" i="1"/>
  <c r="O1784" i="1"/>
  <c r="AK1784" i="1"/>
  <c r="L1785" i="1"/>
  <c r="O1785" i="1"/>
  <c r="AK1785" i="1"/>
  <c r="L1786" i="1"/>
  <c r="O1786" i="1"/>
  <c r="AK1786" i="1"/>
  <c r="L1787" i="1"/>
  <c r="O1787" i="1"/>
  <c r="AK1787" i="1"/>
  <c r="L1788" i="1"/>
  <c r="O1788" i="1"/>
  <c r="AK1788" i="1"/>
  <c r="L1789" i="1"/>
  <c r="O1789" i="1"/>
  <c r="AK1789" i="1"/>
  <c r="L1790" i="1"/>
  <c r="O1790" i="1"/>
  <c r="AK1790" i="1"/>
  <c r="L1791" i="1"/>
  <c r="O1791" i="1"/>
  <c r="AK1791" i="1"/>
  <c r="L1792" i="1"/>
  <c r="O1792" i="1"/>
  <c r="AK1792" i="1"/>
  <c r="L1793" i="1"/>
  <c r="O1793" i="1"/>
  <c r="AK1793" i="1"/>
  <c r="L1794" i="1"/>
  <c r="O1794" i="1"/>
  <c r="AK1794" i="1"/>
  <c r="L1795" i="1"/>
  <c r="O1795" i="1"/>
  <c r="AK1795" i="1"/>
  <c r="L1796" i="1"/>
  <c r="O1796" i="1"/>
  <c r="AK1796" i="1"/>
  <c r="L1797" i="1"/>
  <c r="O1797" i="1"/>
  <c r="AK1797" i="1"/>
  <c r="L1798" i="1"/>
  <c r="O1798" i="1"/>
  <c r="AK1798" i="1"/>
  <c r="L1799" i="1"/>
  <c r="O1799" i="1"/>
  <c r="AK1799" i="1"/>
  <c r="L1800" i="1"/>
  <c r="O1800" i="1"/>
  <c r="AK1800" i="1"/>
  <c r="L1801" i="1"/>
  <c r="O1801" i="1"/>
  <c r="AK1801" i="1"/>
  <c r="L1802" i="1"/>
  <c r="O1802" i="1"/>
  <c r="AK1802" i="1"/>
  <c r="L1803" i="1"/>
  <c r="O1803" i="1"/>
  <c r="AK1803" i="1"/>
  <c r="L1804" i="1"/>
  <c r="O1804" i="1"/>
  <c r="AK1804" i="1"/>
  <c r="L1805" i="1"/>
  <c r="O1805" i="1"/>
  <c r="AK1805" i="1"/>
  <c r="L1806" i="1"/>
  <c r="O1806" i="1"/>
  <c r="AK1806" i="1"/>
  <c r="L1807" i="1"/>
  <c r="O1807" i="1"/>
  <c r="AK1807" i="1"/>
  <c r="L1808" i="1"/>
  <c r="O1808" i="1"/>
  <c r="AK1808" i="1"/>
  <c r="L1809" i="1"/>
  <c r="O1809" i="1"/>
  <c r="AK1809" i="1"/>
  <c r="L1810" i="1"/>
  <c r="O1810" i="1"/>
  <c r="AK1810" i="1"/>
  <c r="L1811" i="1"/>
  <c r="O1811" i="1"/>
  <c r="AK1811" i="1"/>
  <c r="L1812" i="1"/>
  <c r="O1812" i="1"/>
  <c r="AK1812" i="1"/>
  <c r="L1813" i="1"/>
  <c r="O1813" i="1"/>
  <c r="AK1813" i="1"/>
  <c r="L1814" i="1"/>
  <c r="O1814" i="1"/>
  <c r="AK1814" i="1"/>
  <c r="L1815" i="1"/>
  <c r="O1815" i="1"/>
  <c r="AK1815" i="1"/>
  <c r="L1816" i="1"/>
  <c r="O1816" i="1"/>
  <c r="AK1816" i="1"/>
  <c r="L1817" i="1"/>
  <c r="O1817" i="1"/>
  <c r="AK1817" i="1"/>
  <c r="L1818" i="1"/>
  <c r="O1818" i="1"/>
  <c r="AK1818" i="1"/>
  <c r="L1819" i="1"/>
  <c r="O1819" i="1"/>
  <c r="AK1819" i="1"/>
  <c r="L1820" i="1"/>
  <c r="O1820" i="1"/>
  <c r="AK1820" i="1"/>
  <c r="L1821" i="1"/>
  <c r="O1821" i="1"/>
  <c r="AK1821" i="1"/>
  <c r="L1822" i="1"/>
  <c r="O1822" i="1"/>
  <c r="AK1822" i="1"/>
  <c r="L1823" i="1"/>
  <c r="O1823" i="1"/>
  <c r="AK1823" i="1"/>
  <c r="L1824" i="1"/>
  <c r="O1824" i="1"/>
  <c r="AK1824" i="1"/>
  <c r="L1825" i="1"/>
  <c r="O1825" i="1"/>
  <c r="AK1825" i="1"/>
  <c r="L1826" i="1"/>
  <c r="O1826" i="1"/>
  <c r="AK1826" i="1"/>
  <c r="L1827" i="1"/>
  <c r="O1827" i="1"/>
  <c r="AK1827" i="1"/>
  <c r="L1828" i="1"/>
  <c r="O1828" i="1"/>
  <c r="AK1828" i="1"/>
  <c r="L1829" i="1"/>
  <c r="O1829" i="1"/>
  <c r="AK1829" i="1"/>
  <c r="L1830" i="1"/>
  <c r="O1830" i="1"/>
  <c r="AK1830" i="1"/>
  <c r="L1831" i="1"/>
  <c r="O1831" i="1"/>
  <c r="AK1831" i="1"/>
  <c r="L1832" i="1"/>
  <c r="O1832" i="1"/>
  <c r="AK1832" i="1"/>
  <c r="L1833" i="1"/>
  <c r="O1833" i="1"/>
  <c r="AK1833" i="1"/>
  <c r="L1834" i="1"/>
  <c r="O1834" i="1"/>
  <c r="AK1834" i="1"/>
  <c r="L1835" i="1"/>
  <c r="O1835" i="1"/>
  <c r="AK1835" i="1"/>
  <c r="L1836" i="1"/>
  <c r="O1836" i="1"/>
  <c r="AK1836" i="1"/>
  <c r="L1837" i="1"/>
  <c r="O1837" i="1"/>
  <c r="AK1837" i="1"/>
  <c r="L1838" i="1"/>
  <c r="O1838" i="1"/>
  <c r="AK1838" i="1"/>
  <c r="L1839" i="1"/>
  <c r="O1839" i="1"/>
  <c r="AK1839" i="1"/>
  <c r="L1840" i="1"/>
  <c r="O1840" i="1"/>
  <c r="AK1840" i="1"/>
  <c r="L1841" i="1"/>
  <c r="O1841" i="1"/>
  <c r="AK1841" i="1"/>
  <c r="L1842" i="1"/>
  <c r="O1842" i="1"/>
  <c r="AK1842" i="1"/>
  <c r="L1843" i="1"/>
  <c r="O1843" i="1"/>
  <c r="AK1843" i="1"/>
  <c r="L1844" i="1"/>
  <c r="O1844" i="1"/>
  <c r="AK1844" i="1"/>
  <c r="L1845" i="1"/>
  <c r="O1845" i="1"/>
  <c r="AK1845" i="1"/>
  <c r="L1846" i="1"/>
  <c r="O1846" i="1"/>
  <c r="AK1846" i="1"/>
  <c r="L1847" i="1"/>
  <c r="O1847" i="1"/>
  <c r="AK1847" i="1"/>
  <c r="L1848" i="1"/>
  <c r="O1848" i="1"/>
  <c r="AK1848" i="1"/>
  <c r="L1849" i="1"/>
  <c r="O1849" i="1"/>
  <c r="AK1849" i="1"/>
  <c r="L1850" i="1"/>
  <c r="O1850" i="1"/>
  <c r="AK1850" i="1"/>
  <c r="L1851" i="1"/>
  <c r="O1851" i="1"/>
  <c r="AK1851" i="1"/>
  <c r="L1852" i="1"/>
  <c r="O1852" i="1"/>
  <c r="AK1852" i="1"/>
  <c r="L1853" i="1"/>
  <c r="O1853" i="1"/>
  <c r="AK1853" i="1"/>
  <c r="L1854" i="1"/>
  <c r="O1854" i="1"/>
  <c r="AK1854" i="1"/>
  <c r="L1855" i="1"/>
  <c r="O1855" i="1"/>
  <c r="AK1855" i="1"/>
  <c r="L1856" i="1"/>
  <c r="O1856" i="1"/>
  <c r="AK1856" i="1"/>
  <c r="L1857" i="1"/>
  <c r="O1857" i="1"/>
  <c r="AK1857" i="1"/>
  <c r="L1858" i="1"/>
  <c r="O1858" i="1"/>
  <c r="AK1858" i="1"/>
  <c r="L1859" i="1"/>
  <c r="O1859" i="1"/>
  <c r="AK1859" i="1"/>
  <c r="L1860" i="1"/>
  <c r="O1860" i="1"/>
  <c r="AK1860" i="1"/>
  <c r="L1861" i="1"/>
  <c r="O1861" i="1"/>
  <c r="AK1861" i="1"/>
  <c r="L1862" i="1"/>
  <c r="O1862" i="1"/>
  <c r="AK1862" i="1"/>
  <c r="L1863" i="1"/>
  <c r="O1863" i="1"/>
  <c r="AK1863" i="1"/>
  <c r="L1864" i="1"/>
  <c r="O1864" i="1"/>
  <c r="AK1864" i="1"/>
  <c r="L1865" i="1"/>
  <c r="O1865" i="1"/>
  <c r="AK1865" i="1"/>
  <c r="L1866" i="1"/>
  <c r="O1866" i="1"/>
  <c r="AK1866" i="1"/>
  <c r="L1867" i="1"/>
  <c r="O1867" i="1"/>
  <c r="AK1867" i="1"/>
  <c r="L1868" i="1"/>
  <c r="O1868" i="1"/>
  <c r="AK1868" i="1"/>
  <c r="L1869" i="1"/>
  <c r="O1869" i="1"/>
  <c r="AK1869" i="1"/>
  <c r="L1870" i="1"/>
  <c r="O1870" i="1"/>
  <c r="AK1870" i="1"/>
  <c r="L1871" i="1"/>
  <c r="O1871" i="1"/>
  <c r="AK1871" i="1"/>
  <c r="L1872" i="1"/>
  <c r="O1872" i="1"/>
  <c r="AK1872" i="1"/>
  <c r="L1873" i="1"/>
  <c r="O1873" i="1"/>
  <c r="AK1873" i="1"/>
  <c r="L1874" i="1"/>
  <c r="O1874" i="1"/>
  <c r="AK1874" i="1"/>
  <c r="L1875" i="1"/>
  <c r="O1875" i="1"/>
  <c r="AK1875" i="1"/>
  <c r="L1876" i="1"/>
  <c r="O1876" i="1"/>
  <c r="AK1876" i="1"/>
  <c r="L1877" i="1"/>
  <c r="O1877" i="1"/>
  <c r="AK1877" i="1"/>
  <c r="L1878" i="1"/>
  <c r="O1878" i="1"/>
  <c r="AK1878" i="1"/>
  <c r="L1879" i="1"/>
  <c r="O1879" i="1"/>
  <c r="AK1879" i="1"/>
  <c r="L1880" i="1"/>
  <c r="O1880" i="1"/>
  <c r="AK1880" i="1"/>
  <c r="L1881" i="1"/>
  <c r="O1881" i="1"/>
  <c r="AK1881" i="1"/>
  <c r="L1882" i="1"/>
  <c r="O1882" i="1"/>
  <c r="AK1882" i="1"/>
  <c r="L1883" i="1"/>
  <c r="O1883" i="1"/>
  <c r="AK1883" i="1"/>
  <c r="L1884" i="1"/>
  <c r="O1884" i="1"/>
  <c r="AK1884" i="1"/>
  <c r="L1885" i="1"/>
  <c r="O1885" i="1"/>
  <c r="AK1885" i="1"/>
  <c r="L1886" i="1"/>
  <c r="O1886" i="1"/>
  <c r="AK1886" i="1"/>
  <c r="L1887" i="1"/>
  <c r="O1887" i="1"/>
  <c r="AK1887" i="1"/>
  <c r="L1888" i="1"/>
  <c r="O1888" i="1"/>
  <c r="AK1888" i="1"/>
  <c r="L1889" i="1"/>
  <c r="O1889" i="1"/>
  <c r="AK1889" i="1"/>
  <c r="L1890" i="1"/>
  <c r="O1890" i="1"/>
  <c r="AK1890" i="1"/>
  <c r="L1891" i="1"/>
  <c r="O1891" i="1"/>
  <c r="AK1891" i="1"/>
  <c r="L1892" i="1"/>
  <c r="O1892" i="1"/>
  <c r="AK1892" i="1"/>
  <c r="L1893" i="1"/>
  <c r="O1893" i="1"/>
  <c r="AK1893" i="1"/>
  <c r="L1894" i="1"/>
  <c r="O1894" i="1"/>
  <c r="AK1894" i="1"/>
  <c r="L1895" i="1"/>
  <c r="O1895" i="1"/>
  <c r="AK1895" i="1"/>
  <c r="L1896" i="1"/>
  <c r="O1896" i="1"/>
  <c r="AK1896" i="1"/>
  <c r="L1897" i="1"/>
  <c r="O1897" i="1"/>
  <c r="AK1897" i="1"/>
  <c r="L1898" i="1"/>
  <c r="O1898" i="1"/>
  <c r="AK1898" i="1"/>
  <c r="L1899" i="1"/>
  <c r="O1899" i="1"/>
  <c r="AK1899" i="1"/>
  <c r="L1900" i="1"/>
  <c r="O1900" i="1"/>
  <c r="AK1900" i="1"/>
  <c r="L1901" i="1"/>
  <c r="O1901" i="1"/>
  <c r="AK1901" i="1"/>
  <c r="L1902" i="1"/>
  <c r="O1902" i="1"/>
  <c r="AK1902" i="1"/>
  <c r="L1903" i="1"/>
  <c r="O1903" i="1"/>
  <c r="AK1903" i="1"/>
  <c r="L1904" i="1"/>
  <c r="O1904" i="1"/>
  <c r="AK1904" i="1"/>
  <c r="L1905" i="1"/>
  <c r="O1905" i="1"/>
  <c r="AK1905" i="1"/>
  <c r="L1906" i="1"/>
  <c r="O1906" i="1"/>
  <c r="AK1906" i="1"/>
  <c r="L1907" i="1"/>
  <c r="O1907" i="1"/>
  <c r="AK1907" i="1"/>
  <c r="L1908" i="1"/>
  <c r="O1908" i="1"/>
  <c r="AK1908" i="1"/>
  <c r="L1909" i="1"/>
  <c r="O1909" i="1"/>
  <c r="AK1909" i="1"/>
  <c r="L1910" i="1"/>
  <c r="O1910" i="1"/>
  <c r="AK1910" i="1"/>
  <c r="L1911" i="1"/>
  <c r="O1911" i="1"/>
  <c r="AK1911" i="1"/>
  <c r="L1912" i="1"/>
  <c r="O1912" i="1"/>
  <c r="AK1912" i="1"/>
  <c r="L1913" i="1"/>
  <c r="O1913" i="1"/>
  <c r="AK1913" i="1"/>
  <c r="L1914" i="1"/>
  <c r="O1914" i="1"/>
  <c r="AK1914" i="1"/>
  <c r="L1915" i="1"/>
  <c r="O1915" i="1"/>
  <c r="AK1915" i="1"/>
  <c r="L1916" i="1"/>
  <c r="O1916" i="1"/>
  <c r="AK1916" i="1"/>
  <c r="L1917" i="1"/>
  <c r="O1917" i="1"/>
  <c r="AK1917" i="1"/>
  <c r="L1918" i="1"/>
  <c r="O1918" i="1"/>
  <c r="AK1918" i="1"/>
  <c r="L1919" i="1"/>
  <c r="O1919" i="1"/>
  <c r="AK1919" i="1"/>
  <c r="L1920" i="1"/>
  <c r="O1920" i="1"/>
  <c r="AK1920" i="1"/>
  <c r="L1921" i="1"/>
  <c r="O1921" i="1"/>
  <c r="AK1921" i="1"/>
  <c r="L1922" i="1"/>
  <c r="O1922" i="1"/>
  <c r="AK1922" i="1"/>
  <c r="L1923" i="1"/>
  <c r="O1923" i="1"/>
  <c r="AK1923" i="1"/>
  <c r="L1924" i="1"/>
  <c r="O1924" i="1"/>
  <c r="AK1924" i="1"/>
  <c r="L1925" i="1"/>
  <c r="O1925" i="1"/>
  <c r="AK1925" i="1"/>
  <c r="L1926" i="1"/>
  <c r="O1926" i="1"/>
  <c r="AK1926" i="1"/>
  <c r="L1927" i="1"/>
  <c r="O1927" i="1"/>
  <c r="AK1927" i="1"/>
  <c r="L1928" i="1"/>
  <c r="O1928" i="1"/>
  <c r="AK1928" i="1"/>
  <c r="L1929" i="1"/>
  <c r="O1929" i="1"/>
  <c r="AK1929" i="1"/>
  <c r="L1930" i="1"/>
  <c r="O1930" i="1"/>
  <c r="AK1930" i="1"/>
  <c r="L1931" i="1"/>
  <c r="O1931" i="1"/>
  <c r="AK1931" i="1"/>
  <c r="L1932" i="1"/>
  <c r="O1932" i="1"/>
  <c r="AK1932" i="1"/>
  <c r="L1933" i="1"/>
  <c r="O1933" i="1"/>
  <c r="AK1933" i="1"/>
  <c r="L1934" i="1"/>
  <c r="O1934" i="1"/>
  <c r="AK1934" i="1"/>
  <c r="L1935" i="1"/>
  <c r="O1935" i="1"/>
  <c r="AK1935" i="1"/>
  <c r="L1936" i="1"/>
  <c r="O1936" i="1"/>
  <c r="AK1936" i="1"/>
  <c r="L1937" i="1"/>
  <c r="O1937" i="1"/>
  <c r="AK1937" i="1"/>
  <c r="L1938" i="1"/>
  <c r="O1938" i="1"/>
  <c r="AK1938" i="1"/>
  <c r="L1939" i="1"/>
  <c r="O1939" i="1"/>
  <c r="AK1939" i="1"/>
  <c r="L1940" i="1"/>
  <c r="O1940" i="1"/>
  <c r="AK1940" i="1"/>
  <c r="L1941" i="1"/>
  <c r="O1941" i="1"/>
  <c r="AK1941" i="1"/>
  <c r="L1942" i="1"/>
  <c r="O1942" i="1"/>
  <c r="AK1942" i="1"/>
  <c r="L1943" i="1"/>
  <c r="O1943" i="1"/>
  <c r="AK1943" i="1"/>
  <c r="L1944" i="1"/>
  <c r="O1944" i="1"/>
  <c r="AK1944" i="1"/>
  <c r="L1945" i="1"/>
  <c r="O1945" i="1"/>
  <c r="AK1945" i="1"/>
  <c r="L1946" i="1"/>
  <c r="O1946" i="1"/>
  <c r="AK1946" i="1"/>
  <c r="L1947" i="1"/>
  <c r="O1947" i="1"/>
  <c r="AK1947" i="1"/>
  <c r="L1948" i="1"/>
  <c r="O1948" i="1"/>
  <c r="AK1948" i="1"/>
  <c r="L1949" i="1"/>
  <c r="O1949" i="1"/>
  <c r="AK1949" i="1"/>
  <c r="L1950" i="1"/>
  <c r="O1950" i="1"/>
  <c r="AK1950" i="1"/>
  <c r="L1951" i="1"/>
  <c r="O1951" i="1"/>
  <c r="AK1951" i="1"/>
  <c r="L1952" i="1"/>
  <c r="O1952" i="1"/>
  <c r="AK1952" i="1"/>
  <c r="L1953" i="1"/>
  <c r="O1953" i="1"/>
  <c r="AK1953" i="1"/>
  <c r="L1954" i="1"/>
  <c r="O1954" i="1"/>
  <c r="AK1954" i="1"/>
  <c r="L1955" i="1"/>
  <c r="O1955" i="1"/>
  <c r="AK1955" i="1"/>
  <c r="L1956" i="1"/>
  <c r="O1956" i="1"/>
  <c r="AK1956" i="1"/>
  <c r="L1957" i="1"/>
  <c r="O1957" i="1"/>
  <c r="AK1957" i="1"/>
  <c r="L1958" i="1"/>
  <c r="O1958" i="1"/>
  <c r="AK1958" i="1"/>
  <c r="L1959" i="1"/>
  <c r="O1959" i="1"/>
  <c r="AK1959" i="1"/>
  <c r="L1960" i="1"/>
  <c r="O1960" i="1"/>
  <c r="AK1960" i="1"/>
  <c r="L1961" i="1"/>
  <c r="O1961" i="1"/>
  <c r="AK1961" i="1"/>
  <c r="L1962" i="1"/>
  <c r="O1962" i="1"/>
  <c r="AK1962" i="1"/>
  <c r="L1963" i="1"/>
  <c r="O1963" i="1"/>
  <c r="AK1963" i="1"/>
  <c r="L1964" i="1"/>
  <c r="O1964" i="1"/>
  <c r="AK1964" i="1"/>
  <c r="L1965" i="1"/>
  <c r="O1965" i="1"/>
  <c r="AK1965" i="1"/>
  <c r="L1966" i="1"/>
  <c r="O1966" i="1"/>
  <c r="AK1966" i="1"/>
  <c r="L1967" i="1"/>
  <c r="O1967" i="1"/>
  <c r="AK1967" i="1"/>
  <c r="L1968" i="1"/>
  <c r="O1968" i="1"/>
  <c r="AK1968" i="1"/>
  <c r="L1969" i="1"/>
  <c r="O1969" i="1"/>
  <c r="AK1969" i="1"/>
  <c r="L1970" i="1"/>
  <c r="O1970" i="1"/>
  <c r="AK1970" i="1"/>
  <c r="L1971" i="1"/>
  <c r="O1971" i="1"/>
  <c r="AK1971" i="1"/>
  <c r="L1972" i="1"/>
  <c r="O1972" i="1"/>
  <c r="AK1972" i="1"/>
  <c r="L1973" i="1"/>
  <c r="O1973" i="1"/>
  <c r="AK1973" i="1"/>
  <c r="L1974" i="1"/>
  <c r="O1974" i="1"/>
  <c r="AK1974" i="1"/>
  <c r="L1975" i="1"/>
  <c r="O1975" i="1"/>
  <c r="AK1975" i="1"/>
  <c r="L1976" i="1"/>
  <c r="O1976" i="1"/>
  <c r="AK1976" i="1"/>
  <c r="L1977" i="1"/>
  <c r="O1977" i="1"/>
  <c r="AK1977" i="1"/>
  <c r="L1978" i="1"/>
  <c r="O1978" i="1"/>
  <c r="AK1978" i="1"/>
  <c r="L1979" i="1"/>
  <c r="O1979" i="1"/>
  <c r="AK1979" i="1"/>
  <c r="L1980" i="1"/>
  <c r="O1980" i="1"/>
  <c r="AK1980" i="1"/>
  <c r="L1981" i="1"/>
  <c r="O1981" i="1"/>
  <c r="AK1981" i="1"/>
  <c r="L1982" i="1"/>
  <c r="O1982" i="1"/>
  <c r="AK1982" i="1"/>
  <c r="L1983" i="1"/>
  <c r="O1983" i="1"/>
  <c r="AK1983" i="1"/>
  <c r="L1984" i="1"/>
  <c r="O1984" i="1"/>
  <c r="AK1984" i="1"/>
  <c r="L1985" i="1"/>
  <c r="O1985" i="1"/>
  <c r="AK1985" i="1"/>
  <c r="L1986" i="1"/>
  <c r="O1986" i="1"/>
  <c r="AK1986" i="1"/>
  <c r="L1987" i="1"/>
  <c r="O1987" i="1"/>
  <c r="AK1987" i="1"/>
  <c r="L1988" i="1"/>
  <c r="O1988" i="1"/>
  <c r="AK1988" i="1"/>
  <c r="L1989" i="1"/>
  <c r="O1989" i="1"/>
  <c r="AK1989" i="1"/>
  <c r="L1990" i="1"/>
  <c r="O1990" i="1"/>
  <c r="AK1990" i="1"/>
  <c r="L1991" i="1"/>
  <c r="O1991" i="1"/>
  <c r="AK1991" i="1"/>
  <c r="L1992" i="1"/>
  <c r="O1992" i="1"/>
  <c r="AK1992" i="1"/>
  <c r="L1993" i="1"/>
  <c r="O1993" i="1"/>
  <c r="AK1993" i="1"/>
  <c r="L1994" i="1"/>
  <c r="O1994" i="1"/>
  <c r="AK1994" i="1"/>
  <c r="L1995" i="1"/>
  <c r="O1995" i="1"/>
  <c r="AK1995" i="1"/>
  <c r="L1996" i="1"/>
  <c r="O1996" i="1"/>
  <c r="AK1996" i="1"/>
  <c r="L1997" i="1"/>
  <c r="O1997" i="1"/>
  <c r="AK1997" i="1"/>
  <c r="L1998" i="1"/>
  <c r="O1998" i="1"/>
  <c r="AK1998" i="1"/>
  <c r="L1999" i="1"/>
  <c r="O1999" i="1"/>
  <c r="AK1999" i="1"/>
  <c r="L2000" i="1"/>
  <c r="O2000" i="1"/>
  <c r="AK2000" i="1"/>
  <c r="L2001" i="1"/>
  <c r="O2001" i="1"/>
  <c r="AK2001" i="1"/>
  <c r="L2002" i="1"/>
  <c r="O2002" i="1"/>
  <c r="AK2002" i="1"/>
  <c r="L2003" i="1"/>
  <c r="O2003" i="1"/>
  <c r="AK2003" i="1"/>
  <c r="L2004" i="1"/>
  <c r="O2004" i="1"/>
  <c r="AK2004" i="1"/>
  <c r="L2005" i="1"/>
  <c r="O2005" i="1"/>
  <c r="AK2005" i="1"/>
  <c r="L2006" i="1"/>
  <c r="O2006" i="1"/>
  <c r="AK2006" i="1"/>
  <c r="L2007" i="1"/>
  <c r="O2007" i="1"/>
  <c r="AK2007" i="1"/>
  <c r="L2008" i="1"/>
  <c r="O2008" i="1"/>
  <c r="AK2008" i="1"/>
  <c r="L2009" i="1"/>
  <c r="O2009" i="1"/>
  <c r="AK2009" i="1"/>
  <c r="L2010" i="1"/>
  <c r="O2010" i="1"/>
  <c r="AK2010" i="1"/>
  <c r="L2011" i="1"/>
  <c r="O2011" i="1"/>
  <c r="AK2011" i="1"/>
  <c r="L2012" i="1"/>
  <c r="O2012" i="1"/>
  <c r="AK2012" i="1"/>
  <c r="L2013" i="1"/>
  <c r="O2013" i="1"/>
  <c r="AK2013" i="1"/>
  <c r="L2014" i="1"/>
  <c r="O2014" i="1"/>
  <c r="AK2014" i="1"/>
  <c r="L2015" i="1"/>
  <c r="O2015" i="1"/>
  <c r="AK2015" i="1"/>
  <c r="L2016" i="1"/>
  <c r="O2016" i="1"/>
  <c r="AK2016" i="1"/>
  <c r="L2017" i="1"/>
  <c r="O2017" i="1"/>
  <c r="AK2017" i="1"/>
  <c r="L2018" i="1"/>
  <c r="O2018" i="1"/>
  <c r="AK2018" i="1"/>
  <c r="L2019" i="1"/>
  <c r="O2019" i="1"/>
  <c r="AK2019" i="1"/>
  <c r="L2020" i="1"/>
  <c r="O2020" i="1"/>
  <c r="AK2020" i="1"/>
  <c r="L2021" i="1"/>
  <c r="O2021" i="1"/>
  <c r="AK2021" i="1"/>
  <c r="L2022" i="1"/>
  <c r="O2022" i="1"/>
  <c r="AK2022" i="1"/>
  <c r="L2023" i="1"/>
  <c r="O2023" i="1"/>
  <c r="AK2023" i="1"/>
  <c r="L2024" i="1"/>
  <c r="O2024" i="1"/>
  <c r="AK2024" i="1"/>
  <c r="L2025" i="1"/>
  <c r="O2025" i="1"/>
  <c r="AK2025" i="1"/>
  <c r="L2026" i="1"/>
  <c r="O2026" i="1"/>
  <c r="AK2026" i="1"/>
  <c r="L2027" i="1"/>
  <c r="O2027" i="1"/>
  <c r="AK2027" i="1"/>
  <c r="L2028" i="1"/>
  <c r="O2028" i="1"/>
  <c r="AK2028" i="1"/>
  <c r="L2029" i="1"/>
  <c r="O2029" i="1"/>
  <c r="AK2029" i="1"/>
  <c r="L2030" i="1"/>
  <c r="O2030" i="1"/>
  <c r="AK2030" i="1"/>
  <c r="L2031" i="1"/>
  <c r="O2031" i="1"/>
  <c r="AK2031" i="1"/>
  <c r="L2032" i="1"/>
  <c r="O2032" i="1"/>
  <c r="AK2032" i="1"/>
  <c r="L2033" i="1"/>
  <c r="O2033" i="1"/>
  <c r="AK2033" i="1"/>
  <c r="L2034" i="1"/>
  <c r="O2034" i="1"/>
  <c r="AK2034" i="1"/>
  <c r="L2035" i="1"/>
  <c r="O2035" i="1"/>
  <c r="AK2035" i="1"/>
  <c r="L2036" i="1"/>
  <c r="O2036" i="1"/>
  <c r="AK2036" i="1"/>
  <c r="L2037" i="1"/>
  <c r="O2037" i="1"/>
  <c r="AK2037" i="1"/>
  <c r="L2038" i="1"/>
  <c r="O2038" i="1"/>
  <c r="AK2038" i="1"/>
  <c r="L2039" i="1"/>
  <c r="O2039" i="1"/>
  <c r="AK2039" i="1"/>
  <c r="L2040" i="1"/>
  <c r="O2040" i="1"/>
  <c r="AK2040" i="1"/>
  <c r="L2041" i="1"/>
  <c r="O2041" i="1"/>
  <c r="AK2041" i="1"/>
  <c r="L2042" i="1"/>
  <c r="O2042" i="1"/>
  <c r="AK2042" i="1"/>
  <c r="L2043" i="1"/>
  <c r="O2043" i="1"/>
  <c r="AK2043" i="1"/>
  <c r="L2044" i="1"/>
  <c r="O2044" i="1"/>
  <c r="AK2044" i="1"/>
  <c r="L2045" i="1"/>
  <c r="O2045" i="1"/>
  <c r="AK2045" i="1"/>
  <c r="L2046" i="1"/>
  <c r="O2046" i="1"/>
  <c r="AK2046" i="1"/>
  <c r="L2047" i="1"/>
  <c r="O2047" i="1"/>
  <c r="AK2047" i="1"/>
  <c r="L2048" i="1"/>
  <c r="O2048" i="1"/>
  <c r="AK2048" i="1"/>
  <c r="L2049" i="1"/>
  <c r="O2049" i="1"/>
  <c r="AK2049" i="1"/>
  <c r="L2050" i="1"/>
  <c r="O2050" i="1"/>
  <c r="AK2050" i="1"/>
  <c r="L2051" i="1"/>
  <c r="O2051" i="1"/>
  <c r="AK2051" i="1"/>
  <c r="L2052" i="1"/>
  <c r="O2052" i="1"/>
  <c r="AK2052" i="1"/>
  <c r="L2053" i="1"/>
  <c r="O2053" i="1"/>
  <c r="AK2053" i="1"/>
  <c r="L2054" i="1"/>
  <c r="O2054" i="1"/>
  <c r="AK2054" i="1"/>
  <c r="L2055" i="1"/>
  <c r="O2055" i="1"/>
  <c r="AK2055" i="1"/>
  <c r="L2056" i="1"/>
  <c r="O2056" i="1"/>
  <c r="AK2056" i="1"/>
  <c r="L2057" i="1"/>
  <c r="O2057" i="1"/>
  <c r="AK2057" i="1"/>
  <c r="L2058" i="1"/>
  <c r="O2058" i="1"/>
  <c r="AK2058" i="1"/>
  <c r="L2059" i="1"/>
  <c r="O2059" i="1"/>
  <c r="AK2059" i="1"/>
  <c r="L2060" i="1"/>
  <c r="O2060" i="1"/>
  <c r="AK2060" i="1"/>
  <c r="L2061" i="1"/>
  <c r="O2061" i="1"/>
  <c r="AK2061" i="1"/>
  <c r="L2062" i="1"/>
  <c r="O2062" i="1"/>
  <c r="AK2062" i="1"/>
  <c r="L2063" i="1"/>
  <c r="O2063" i="1"/>
  <c r="AK2063" i="1"/>
  <c r="L2064" i="1"/>
  <c r="O2064" i="1"/>
  <c r="AK2064" i="1"/>
  <c r="L2065" i="1"/>
  <c r="O2065" i="1"/>
  <c r="AK2065" i="1"/>
  <c r="L2066" i="1"/>
  <c r="O2066" i="1"/>
  <c r="AK2066" i="1"/>
  <c r="L2067" i="1"/>
  <c r="O2067" i="1"/>
  <c r="AK2067" i="1"/>
  <c r="L2068" i="1"/>
  <c r="O2068" i="1"/>
  <c r="AK2068" i="1"/>
  <c r="L2069" i="1"/>
  <c r="O2069" i="1"/>
  <c r="AK2069" i="1"/>
  <c r="L2070" i="1"/>
  <c r="O2070" i="1"/>
  <c r="AK2070" i="1"/>
  <c r="L2071" i="1"/>
  <c r="O2071" i="1"/>
  <c r="AK2071" i="1"/>
  <c r="L2072" i="1"/>
  <c r="O2072" i="1"/>
  <c r="AK2072" i="1"/>
  <c r="L2073" i="1"/>
  <c r="O2073" i="1"/>
  <c r="AK2073" i="1"/>
  <c r="L2074" i="1"/>
  <c r="O2074" i="1"/>
  <c r="AK2074" i="1"/>
  <c r="L2075" i="1"/>
  <c r="O2075" i="1"/>
  <c r="AK2075" i="1"/>
  <c r="L2076" i="1"/>
  <c r="O2076" i="1"/>
  <c r="AK2076" i="1"/>
  <c r="L2077" i="1"/>
  <c r="O2077" i="1"/>
  <c r="AK2077" i="1"/>
  <c r="L2078" i="1"/>
  <c r="O2078" i="1"/>
  <c r="AK2078" i="1"/>
  <c r="L2079" i="1"/>
  <c r="O2079" i="1"/>
  <c r="AK2079" i="1"/>
  <c r="L2080" i="1"/>
  <c r="O2080" i="1"/>
  <c r="AK2080" i="1"/>
  <c r="L2081" i="1"/>
  <c r="O2081" i="1"/>
  <c r="AK2081" i="1"/>
  <c r="L2082" i="1"/>
  <c r="O2082" i="1"/>
  <c r="AK2082" i="1"/>
  <c r="L2083" i="1"/>
  <c r="O2083" i="1"/>
  <c r="AK2083" i="1"/>
  <c r="L2084" i="1"/>
  <c r="O2084" i="1"/>
  <c r="AK2084" i="1"/>
  <c r="L2085" i="1"/>
  <c r="O2085" i="1"/>
  <c r="AK2085" i="1"/>
  <c r="L2086" i="1"/>
  <c r="O2086" i="1"/>
  <c r="AK2086" i="1"/>
  <c r="L2087" i="1"/>
  <c r="O2087" i="1"/>
  <c r="AK2087" i="1"/>
  <c r="L2088" i="1"/>
  <c r="O2088" i="1"/>
  <c r="AK2088" i="1"/>
  <c r="L2089" i="1"/>
  <c r="O2089" i="1"/>
  <c r="AK2089" i="1"/>
  <c r="L2090" i="1"/>
  <c r="O2090" i="1"/>
  <c r="AK2090" i="1"/>
  <c r="L2091" i="1"/>
  <c r="O2091" i="1"/>
  <c r="AK2091" i="1"/>
  <c r="L2092" i="1"/>
  <c r="O2092" i="1"/>
  <c r="AK2092" i="1"/>
  <c r="L2093" i="1"/>
  <c r="O2093" i="1"/>
  <c r="AK2093" i="1"/>
  <c r="L2094" i="1"/>
  <c r="O2094" i="1"/>
  <c r="AK2094" i="1"/>
  <c r="L2095" i="1"/>
  <c r="O2095" i="1"/>
  <c r="AK2095" i="1"/>
  <c r="L2096" i="1"/>
  <c r="O2096" i="1"/>
  <c r="AK2096" i="1"/>
  <c r="L2097" i="1"/>
  <c r="O2097" i="1"/>
  <c r="AK2097" i="1"/>
  <c r="L2098" i="1"/>
  <c r="O2098" i="1"/>
  <c r="AK2098" i="1"/>
  <c r="L2099" i="1"/>
  <c r="O2099" i="1"/>
  <c r="AK2099" i="1"/>
  <c r="L2100" i="1"/>
  <c r="O2100" i="1"/>
  <c r="AK2100" i="1"/>
  <c r="L2101" i="1"/>
  <c r="O2101" i="1"/>
  <c r="AK2101" i="1"/>
  <c r="L2102" i="1"/>
  <c r="O2102" i="1"/>
  <c r="AK2102" i="1"/>
  <c r="L2103" i="1"/>
  <c r="O2103" i="1"/>
  <c r="AK2103" i="1"/>
  <c r="L2104" i="1"/>
  <c r="O2104" i="1"/>
  <c r="AK2104" i="1"/>
  <c r="L2105" i="1"/>
  <c r="O2105" i="1"/>
  <c r="AK2105" i="1"/>
  <c r="L2106" i="1"/>
  <c r="O2106" i="1"/>
  <c r="AK2106" i="1"/>
  <c r="L2107" i="1"/>
  <c r="O2107" i="1"/>
  <c r="AK2107" i="1"/>
  <c r="L2108" i="1"/>
  <c r="O2108" i="1"/>
  <c r="AK2108" i="1"/>
  <c r="L2109" i="1"/>
  <c r="O2109" i="1"/>
  <c r="AK2109" i="1"/>
  <c r="L2110" i="1"/>
  <c r="O2110" i="1"/>
  <c r="AK2110" i="1"/>
  <c r="L2111" i="1"/>
  <c r="O2111" i="1"/>
  <c r="AK2111" i="1"/>
  <c r="L2112" i="1"/>
  <c r="O2112" i="1"/>
  <c r="AK2112" i="1"/>
  <c r="L2113" i="1"/>
  <c r="O2113" i="1"/>
  <c r="AK2113" i="1"/>
  <c r="L2114" i="1"/>
  <c r="O2114" i="1"/>
  <c r="AK2114" i="1"/>
  <c r="L2115" i="1"/>
  <c r="O2115" i="1"/>
  <c r="AK2115" i="1"/>
  <c r="L2116" i="1"/>
  <c r="O2116" i="1"/>
  <c r="AK2116" i="1"/>
  <c r="L2117" i="1"/>
  <c r="O2117" i="1"/>
  <c r="AK2117" i="1"/>
  <c r="L2118" i="1"/>
  <c r="O2118" i="1"/>
  <c r="AK2118" i="1"/>
  <c r="L2119" i="1"/>
  <c r="O2119" i="1"/>
  <c r="AK2119" i="1"/>
  <c r="L2120" i="1"/>
  <c r="O2120" i="1"/>
  <c r="AK2120" i="1"/>
  <c r="L2121" i="1"/>
  <c r="O2121" i="1"/>
  <c r="AK2121" i="1"/>
  <c r="L2122" i="1"/>
  <c r="O2122" i="1"/>
  <c r="AK2122" i="1"/>
  <c r="L2123" i="1"/>
  <c r="O2123" i="1"/>
  <c r="AK2123" i="1"/>
  <c r="L2124" i="1"/>
  <c r="O2124" i="1"/>
  <c r="AK2124" i="1"/>
  <c r="L2125" i="1"/>
  <c r="O2125" i="1"/>
  <c r="AK2125" i="1"/>
  <c r="L2126" i="1"/>
  <c r="O2126" i="1"/>
  <c r="AK2126" i="1"/>
  <c r="L2127" i="1"/>
  <c r="O2127" i="1"/>
  <c r="AK2127" i="1"/>
  <c r="L2128" i="1"/>
  <c r="O2128" i="1"/>
  <c r="AK2128" i="1"/>
  <c r="L2129" i="1"/>
  <c r="O2129" i="1"/>
  <c r="AK2129" i="1"/>
  <c r="L2130" i="1"/>
  <c r="O2130" i="1"/>
  <c r="AK2130" i="1"/>
  <c r="L2131" i="1"/>
  <c r="O2131" i="1"/>
  <c r="AK2131" i="1"/>
  <c r="L2132" i="1"/>
  <c r="O2132" i="1"/>
  <c r="AK2132" i="1"/>
  <c r="L2133" i="1"/>
  <c r="O2133" i="1"/>
  <c r="AK2133" i="1"/>
  <c r="L2134" i="1"/>
  <c r="O2134" i="1"/>
  <c r="AK2134" i="1"/>
  <c r="L2135" i="1"/>
  <c r="O2135" i="1"/>
  <c r="AK2135" i="1"/>
  <c r="L2136" i="1"/>
  <c r="O2136" i="1"/>
  <c r="AK2136" i="1"/>
  <c r="L2137" i="1"/>
  <c r="O2137" i="1"/>
  <c r="AK2137" i="1"/>
  <c r="L2138" i="1"/>
  <c r="O2138" i="1"/>
  <c r="AK2138" i="1"/>
  <c r="L2139" i="1"/>
  <c r="O2139" i="1"/>
  <c r="AK2139" i="1"/>
  <c r="L2140" i="1"/>
  <c r="O2140" i="1"/>
  <c r="AK2140" i="1"/>
  <c r="L2141" i="1"/>
  <c r="O2141" i="1"/>
  <c r="AK2141" i="1"/>
  <c r="L2142" i="1"/>
  <c r="O2142" i="1"/>
  <c r="AK2142" i="1"/>
  <c r="L2143" i="1"/>
  <c r="O2143" i="1"/>
  <c r="AK2143" i="1"/>
  <c r="L2144" i="1"/>
  <c r="O2144" i="1"/>
  <c r="AK2144" i="1"/>
  <c r="L2145" i="1"/>
  <c r="O2145" i="1"/>
  <c r="AK2145" i="1"/>
  <c r="L2146" i="1"/>
  <c r="O2146" i="1"/>
  <c r="AK2146" i="1"/>
  <c r="L2147" i="1"/>
  <c r="O2147" i="1"/>
  <c r="AK2147" i="1"/>
  <c r="L2148" i="1"/>
  <c r="O2148" i="1"/>
  <c r="AK2148" i="1"/>
  <c r="L2149" i="1"/>
  <c r="O2149" i="1"/>
  <c r="AK2149" i="1"/>
  <c r="L2150" i="1"/>
  <c r="O2150" i="1"/>
  <c r="AK2150" i="1"/>
  <c r="L2151" i="1"/>
  <c r="O2151" i="1"/>
  <c r="AK2151" i="1"/>
  <c r="L2152" i="1"/>
  <c r="O2152" i="1"/>
  <c r="AK2152" i="1"/>
  <c r="L2153" i="1"/>
  <c r="O2153" i="1"/>
  <c r="AK2153" i="1"/>
  <c r="L2154" i="1"/>
  <c r="O2154" i="1"/>
  <c r="AK2154" i="1"/>
  <c r="L2155" i="1"/>
  <c r="O2155" i="1"/>
  <c r="AK2155" i="1"/>
  <c r="L2156" i="1"/>
  <c r="O2156" i="1"/>
  <c r="AK2156" i="1"/>
  <c r="L2157" i="1"/>
  <c r="O2157" i="1"/>
  <c r="AK2157" i="1"/>
  <c r="L2158" i="1"/>
  <c r="O2158" i="1"/>
  <c r="AK2158" i="1"/>
  <c r="L2159" i="1"/>
  <c r="O2159" i="1"/>
  <c r="AK2159" i="1"/>
  <c r="L2160" i="1"/>
  <c r="O2160" i="1"/>
  <c r="AK2160" i="1"/>
  <c r="L2161" i="1"/>
  <c r="O2161" i="1"/>
  <c r="AK2161" i="1"/>
  <c r="L2162" i="1"/>
  <c r="O2162" i="1"/>
  <c r="AK2162" i="1"/>
  <c r="L2163" i="1"/>
  <c r="O2163" i="1"/>
  <c r="AK2163" i="1"/>
  <c r="L2164" i="1"/>
  <c r="O2164" i="1"/>
  <c r="AK2164" i="1"/>
  <c r="L2165" i="1"/>
  <c r="O2165" i="1"/>
  <c r="AK2165" i="1"/>
  <c r="L2166" i="1"/>
  <c r="O2166" i="1"/>
  <c r="AK2166" i="1"/>
  <c r="L2167" i="1"/>
  <c r="O2167" i="1"/>
  <c r="AK2167" i="1"/>
  <c r="L2168" i="1"/>
  <c r="O2168" i="1"/>
  <c r="AK2168" i="1"/>
  <c r="L2169" i="1"/>
  <c r="O2169" i="1"/>
  <c r="AK2169" i="1"/>
  <c r="L2170" i="1"/>
  <c r="O2170" i="1"/>
  <c r="AK2170" i="1"/>
  <c r="L2171" i="1"/>
  <c r="O2171" i="1"/>
  <c r="AK2171" i="1"/>
  <c r="L2172" i="1"/>
  <c r="O2172" i="1"/>
  <c r="AK2172" i="1"/>
  <c r="L2173" i="1"/>
  <c r="O2173" i="1"/>
  <c r="AK2173" i="1"/>
  <c r="L2174" i="1"/>
  <c r="O2174" i="1"/>
  <c r="AK2174" i="1"/>
  <c r="L2175" i="1"/>
  <c r="O2175" i="1"/>
  <c r="AK2175" i="1"/>
  <c r="L2176" i="1"/>
  <c r="O2176" i="1"/>
  <c r="AK2176" i="1"/>
  <c r="L2177" i="1"/>
  <c r="O2177" i="1"/>
  <c r="AK2177" i="1"/>
  <c r="L2178" i="1"/>
  <c r="O2178" i="1"/>
  <c r="AK2178" i="1"/>
  <c r="L2179" i="1"/>
  <c r="O2179" i="1"/>
  <c r="AK2179" i="1"/>
  <c r="L2180" i="1"/>
  <c r="O2180" i="1"/>
  <c r="AK2180" i="1"/>
  <c r="L2181" i="1"/>
  <c r="O2181" i="1"/>
  <c r="AK2181" i="1"/>
  <c r="L2182" i="1"/>
  <c r="O2182" i="1"/>
  <c r="AK2182" i="1"/>
  <c r="L2183" i="1"/>
  <c r="O2183" i="1"/>
  <c r="AK2183" i="1"/>
  <c r="L2184" i="1"/>
  <c r="O2184" i="1"/>
  <c r="AK2184" i="1"/>
  <c r="L2185" i="1"/>
  <c r="O2185" i="1"/>
  <c r="AK2185" i="1"/>
  <c r="L2186" i="1"/>
  <c r="O2186" i="1"/>
  <c r="AK2186" i="1"/>
  <c r="L2187" i="1"/>
  <c r="O2187" i="1"/>
  <c r="AK2187" i="1"/>
  <c r="L2188" i="1"/>
  <c r="O2188" i="1"/>
  <c r="AK2188" i="1"/>
  <c r="L2189" i="1"/>
  <c r="O2189" i="1"/>
  <c r="AK2189" i="1"/>
  <c r="L2190" i="1"/>
  <c r="O2190" i="1"/>
  <c r="AK2190" i="1"/>
  <c r="L2191" i="1"/>
  <c r="O2191" i="1"/>
  <c r="AK2191" i="1"/>
  <c r="L2192" i="1"/>
  <c r="O2192" i="1"/>
  <c r="AK2192" i="1"/>
  <c r="L2193" i="1"/>
  <c r="O2193" i="1"/>
  <c r="AK2193" i="1"/>
  <c r="L2194" i="1"/>
  <c r="O2194" i="1"/>
  <c r="AK2194" i="1"/>
  <c r="L2195" i="1"/>
  <c r="O2195" i="1"/>
  <c r="AK2195" i="1"/>
  <c r="L2196" i="1"/>
  <c r="O2196" i="1"/>
  <c r="AK2196" i="1"/>
  <c r="L2197" i="1"/>
  <c r="O2197" i="1"/>
  <c r="AK2197" i="1"/>
  <c r="L2198" i="1"/>
  <c r="O2198" i="1"/>
  <c r="AK2198" i="1"/>
  <c r="L2199" i="1"/>
  <c r="O2199" i="1"/>
  <c r="AK2199" i="1"/>
  <c r="L2200" i="1"/>
  <c r="O2200" i="1"/>
  <c r="AK2200" i="1"/>
  <c r="L2201" i="1"/>
  <c r="O2201" i="1"/>
  <c r="AK2201" i="1"/>
  <c r="L2202" i="1"/>
  <c r="O2202" i="1"/>
  <c r="AK2202" i="1"/>
  <c r="L2203" i="1"/>
  <c r="O2203" i="1"/>
  <c r="AK2203" i="1"/>
  <c r="L2204" i="1"/>
  <c r="O2204" i="1"/>
  <c r="AK2204" i="1"/>
  <c r="L2205" i="1"/>
  <c r="O2205" i="1"/>
  <c r="AK2205" i="1"/>
  <c r="L2206" i="1"/>
  <c r="O2206" i="1"/>
  <c r="AK2206" i="1"/>
  <c r="L2207" i="1"/>
  <c r="O2207" i="1"/>
  <c r="AK2207" i="1"/>
  <c r="L2208" i="1"/>
  <c r="O2208" i="1"/>
  <c r="AK2208" i="1"/>
  <c r="L2209" i="1"/>
  <c r="O2209" i="1"/>
  <c r="AK2209" i="1"/>
  <c r="L2210" i="1"/>
  <c r="O2210" i="1"/>
  <c r="AK2210" i="1"/>
  <c r="L2211" i="1"/>
  <c r="O2211" i="1"/>
  <c r="AK2211" i="1"/>
  <c r="L2212" i="1"/>
  <c r="O2212" i="1"/>
  <c r="AK2212" i="1"/>
  <c r="L2213" i="1"/>
  <c r="O2213" i="1"/>
  <c r="AK2213" i="1"/>
  <c r="L2214" i="1"/>
  <c r="O2214" i="1"/>
  <c r="AK2214" i="1"/>
  <c r="L2215" i="1"/>
  <c r="O2215" i="1"/>
  <c r="AK2215" i="1"/>
  <c r="L2216" i="1"/>
  <c r="O2216" i="1"/>
  <c r="AK2216" i="1"/>
  <c r="L2217" i="1"/>
  <c r="O2217" i="1"/>
  <c r="AK2217" i="1"/>
  <c r="L2218" i="1"/>
  <c r="O2218" i="1"/>
  <c r="AK2218" i="1"/>
  <c r="L2219" i="1"/>
  <c r="O2219" i="1"/>
  <c r="AK2219" i="1"/>
  <c r="L2220" i="1"/>
  <c r="O2220" i="1"/>
  <c r="AK2220" i="1"/>
  <c r="L2221" i="1"/>
  <c r="O2221" i="1"/>
  <c r="AK2221" i="1"/>
  <c r="L2222" i="1"/>
  <c r="O2222" i="1"/>
  <c r="AK2222" i="1"/>
  <c r="L2223" i="1"/>
  <c r="O2223" i="1"/>
  <c r="AK2223" i="1"/>
  <c r="L2224" i="1"/>
  <c r="O2224" i="1"/>
  <c r="AK2224" i="1"/>
  <c r="L2225" i="1"/>
  <c r="O2225" i="1"/>
  <c r="AK2225" i="1"/>
  <c r="L2226" i="1"/>
  <c r="O2226" i="1"/>
  <c r="AK2226" i="1"/>
  <c r="L2227" i="1"/>
  <c r="O2227" i="1"/>
  <c r="AK2227" i="1"/>
  <c r="L2228" i="1"/>
  <c r="O2228" i="1"/>
  <c r="AK2228" i="1"/>
  <c r="L2229" i="1"/>
  <c r="O2229" i="1"/>
  <c r="AK2229" i="1"/>
  <c r="L2230" i="1"/>
  <c r="O2230" i="1"/>
  <c r="AK2230" i="1"/>
  <c r="L2231" i="1"/>
  <c r="O2231" i="1"/>
  <c r="AK2231" i="1"/>
  <c r="L2232" i="1"/>
  <c r="O2232" i="1"/>
  <c r="AK2232" i="1"/>
  <c r="L2233" i="1"/>
  <c r="O2233" i="1"/>
  <c r="AK2233" i="1"/>
  <c r="L2234" i="1"/>
  <c r="O2234" i="1"/>
  <c r="AK2234" i="1"/>
  <c r="L2235" i="1"/>
  <c r="O2235" i="1"/>
  <c r="AK2235" i="1"/>
  <c r="L2236" i="1"/>
  <c r="O2236" i="1"/>
  <c r="AK2236" i="1"/>
  <c r="L2237" i="1"/>
  <c r="O2237" i="1"/>
  <c r="AK2237" i="1"/>
  <c r="L2238" i="1"/>
  <c r="O2238" i="1"/>
  <c r="AK2238" i="1"/>
  <c r="L2239" i="1"/>
  <c r="O2239" i="1"/>
  <c r="AK2239" i="1"/>
  <c r="L2240" i="1"/>
  <c r="O2240" i="1"/>
  <c r="AK2240" i="1"/>
  <c r="L2241" i="1"/>
  <c r="O2241" i="1"/>
  <c r="AK2241" i="1"/>
  <c r="L2242" i="1"/>
  <c r="O2242" i="1"/>
  <c r="AK2242" i="1"/>
  <c r="L2243" i="1"/>
  <c r="O2243" i="1"/>
  <c r="AK2243" i="1"/>
  <c r="L2244" i="1"/>
  <c r="O2244" i="1"/>
  <c r="AK2244" i="1"/>
  <c r="L2245" i="1"/>
  <c r="O2245" i="1"/>
  <c r="AK2245" i="1"/>
  <c r="L2246" i="1"/>
  <c r="O2246" i="1"/>
  <c r="AK2246" i="1"/>
  <c r="L2247" i="1"/>
  <c r="O2247" i="1"/>
  <c r="AK2247" i="1"/>
  <c r="L2248" i="1"/>
  <c r="O2248" i="1"/>
  <c r="AK2248" i="1"/>
  <c r="L2249" i="1"/>
  <c r="O2249" i="1"/>
  <c r="AK2249" i="1"/>
  <c r="L2250" i="1"/>
  <c r="O2250" i="1"/>
  <c r="AK2250" i="1"/>
  <c r="L2251" i="1"/>
  <c r="O2251" i="1"/>
  <c r="AK2251" i="1"/>
  <c r="L2252" i="1"/>
  <c r="O2252" i="1"/>
  <c r="AK2252" i="1"/>
  <c r="L2253" i="1"/>
  <c r="O2253" i="1"/>
  <c r="AK2253" i="1"/>
  <c r="L2254" i="1"/>
  <c r="O2254" i="1"/>
  <c r="AK2254" i="1"/>
  <c r="L2255" i="1"/>
  <c r="O2255" i="1"/>
  <c r="AK2255" i="1"/>
  <c r="L2256" i="1"/>
  <c r="O2256" i="1"/>
  <c r="AK2256" i="1"/>
  <c r="L2257" i="1"/>
  <c r="O2257" i="1"/>
  <c r="AK2257" i="1"/>
  <c r="L2258" i="1"/>
  <c r="O2258" i="1"/>
  <c r="AK2258" i="1"/>
  <c r="L2259" i="1"/>
  <c r="O2259" i="1"/>
  <c r="AK2259" i="1"/>
  <c r="L2260" i="1"/>
  <c r="O2260" i="1"/>
  <c r="AK2260" i="1"/>
  <c r="L2261" i="1"/>
  <c r="O2261" i="1"/>
  <c r="AK2261" i="1"/>
  <c r="L2262" i="1"/>
  <c r="O2262" i="1"/>
  <c r="AK2262" i="1"/>
  <c r="L2263" i="1"/>
  <c r="O2263" i="1"/>
  <c r="AK2263" i="1"/>
  <c r="L2264" i="1"/>
  <c r="O2264" i="1"/>
  <c r="AK2264" i="1"/>
  <c r="L2265" i="1"/>
  <c r="O2265" i="1"/>
  <c r="AK2265" i="1"/>
  <c r="L2266" i="1"/>
  <c r="O2266" i="1"/>
  <c r="AK2266" i="1"/>
  <c r="L2267" i="1"/>
  <c r="O2267" i="1"/>
  <c r="AK2267" i="1"/>
  <c r="L2268" i="1"/>
  <c r="O2268" i="1"/>
  <c r="AK2268" i="1"/>
  <c r="L2269" i="1"/>
  <c r="O2269" i="1"/>
  <c r="AK2269" i="1"/>
  <c r="L2270" i="1"/>
  <c r="O2270" i="1"/>
  <c r="AK2270" i="1"/>
  <c r="L2271" i="1"/>
  <c r="O2271" i="1"/>
  <c r="AK2271" i="1"/>
  <c r="L2272" i="1"/>
  <c r="O2272" i="1"/>
  <c r="AK2272" i="1"/>
  <c r="L2273" i="1"/>
  <c r="O2273" i="1"/>
  <c r="AK2273" i="1"/>
  <c r="L2274" i="1"/>
  <c r="O2274" i="1"/>
  <c r="AK2274" i="1"/>
  <c r="L2275" i="1"/>
  <c r="O2275" i="1"/>
  <c r="AK2275" i="1"/>
  <c r="L2276" i="1"/>
  <c r="O2276" i="1"/>
  <c r="AK2276" i="1"/>
  <c r="L2277" i="1"/>
  <c r="O2277" i="1"/>
  <c r="AK2277" i="1"/>
  <c r="L2278" i="1"/>
  <c r="O2278" i="1"/>
  <c r="AK2278" i="1"/>
  <c r="L2279" i="1"/>
  <c r="O2279" i="1"/>
  <c r="AK2279" i="1"/>
  <c r="L2280" i="1"/>
  <c r="O2280" i="1"/>
  <c r="AK2280" i="1"/>
  <c r="L2281" i="1"/>
  <c r="O2281" i="1"/>
  <c r="AK2281" i="1"/>
  <c r="L2282" i="1"/>
  <c r="O2282" i="1"/>
  <c r="AK2282" i="1"/>
  <c r="L2283" i="1"/>
  <c r="O2283" i="1"/>
  <c r="AK2283" i="1"/>
  <c r="L2284" i="1"/>
  <c r="O2284" i="1"/>
  <c r="AK2284" i="1"/>
  <c r="L2285" i="1"/>
  <c r="O2285" i="1"/>
  <c r="AK2285" i="1"/>
  <c r="L2286" i="1"/>
  <c r="O2286" i="1"/>
  <c r="AK2286" i="1"/>
  <c r="L2287" i="1"/>
  <c r="O2287" i="1"/>
  <c r="AK2287" i="1"/>
  <c r="L2288" i="1"/>
  <c r="O2288" i="1"/>
  <c r="AK2288" i="1"/>
  <c r="L2289" i="1"/>
  <c r="O2289" i="1"/>
  <c r="AK2289" i="1"/>
  <c r="L2290" i="1"/>
  <c r="O2290" i="1"/>
  <c r="AK2290" i="1"/>
  <c r="L2291" i="1"/>
  <c r="O2291" i="1"/>
  <c r="AK2291" i="1"/>
  <c r="L2292" i="1"/>
  <c r="O2292" i="1"/>
  <c r="AK2292" i="1"/>
  <c r="L2293" i="1"/>
  <c r="O2293" i="1"/>
  <c r="AK2293" i="1"/>
  <c r="L2294" i="1"/>
  <c r="O2294" i="1"/>
  <c r="AK2294" i="1"/>
  <c r="L2295" i="1"/>
  <c r="O2295" i="1"/>
  <c r="AK2295" i="1"/>
  <c r="L2296" i="1"/>
  <c r="O2296" i="1"/>
  <c r="AK2296" i="1"/>
  <c r="L2297" i="1"/>
  <c r="O2297" i="1"/>
  <c r="AK2297" i="1"/>
  <c r="L2298" i="1"/>
  <c r="O2298" i="1"/>
  <c r="AK2298" i="1"/>
  <c r="L2299" i="1"/>
  <c r="O2299" i="1"/>
  <c r="AK2299" i="1"/>
  <c r="L2300" i="1"/>
  <c r="O2300" i="1"/>
  <c r="AK2300" i="1"/>
  <c r="L2301" i="1"/>
  <c r="O2301" i="1"/>
  <c r="AK2301" i="1"/>
  <c r="L2302" i="1"/>
  <c r="O2302" i="1"/>
  <c r="AK2302" i="1"/>
  <c r="L2303" i="1"/>
  <c r="O2303" i="1"/>
  <c r="AK2303" i="1"/>
  <c r="L2304" i="1"/>
  <c r="O2304" i="1"/>
  <c r="AK2304" i="1"/>
  <c r="L2305" i="1"/>
  <c r="O2305" i="1"/>
  <c r="AK2305" i="1"/>
  <c r="AK1" i="1"/>
  <c r="K1" i="1"/>
  <c r="K3" i="1"/>
  <c r="N1" i="1"/>
  <c r="N3" i="1"/>
  <c r="AJ3" i="1"/>
  <c r="K4" i="1"/>
  <c r="N4" i="1"/>
  <c r="AJ4" i="1"/>
  <c r="K5" i="1"/>
  <c r="N5" i="1"/>
  <c r="AJ5" i="1"/>
  <c r="K6" i="1"/>
  <c r="N6" i="1"/>
  <c r="AJ6" i="1"/>
  <c r="K7" i="1"/>
  <c r="N7" i="1"/>
  <c r="AJ7" i="1"/>
  <c r="K8" i="1"/>
  <c r="N8" i="1"/>
  <c r="AJ8" i="1"/>
  <c r="K9" i="1"/>
  <c r="N9" i="1"/>
  <c r="AJ9" i="1"/>
  <c r="K10" i="1"/>
  <c r="N10" i="1"/>
  <c r="AJ10" i="1"/>
  <c r="K11" i="1"/>
  <c r="N11" i="1"/>
  <c r="AJ11" i="1"/>
  <c r="K12" i="1"/>
  <c r="N12" i="1"/>
  <c r="AJ12" i="1"/>
  <c r="K13" i="1"/>
  <c r="N13" i="1"/>
  <c r="AJ13" i="1"/>
  <c r="K14" i="1"/>
  <c r="N14" i="1"/>
  <c r="AJ14" i="1"/>
  <c r="K15" i="1"/>
  <c r="N15" i="1"/>
  <c r="AJ15" i="1"/>
  <c r="K16" i="1"/>
  <c r="N16" i="1"/>
  <c r="AJ16" i="1"/>
  <c r="K17" i="1"/>
  <c r="N17" i="1"/>
  <c r="AJ17" i="1"/>
  <c r="K18" i="1"/>
  <c r="N18" i="1"/>
  <c r="AJ18" i="1"/>
  <c r="K19" i="1"/>
  <c r="N19" i="1"/>
  <c r="AJ19" i="1"/>
  <c r="K20" i="1"/>
  <c r="N20" i="1"/>
  <c r="AJ20" i="1"/>
  <c r="K21" i="1"/>
  <c r="N21" i="1"/>
  <c r="AJ21" i="1"/>
  <c r="K22" i="1"/>
  <c r="N22" i="1"/>
  <c r="AJ22" i="1"/>
  <c r="K23" i="1"/>
  <c r="N23" i="1"/>
  <c r="AJ23" i="1"/>
  <c r="K24" i="1"/>
  <c r="N24" i="1"/>
  <c r="AJ24" i="1"/>
  <c r="K25" i="1"/>
  <c r="N25" i="1"/>
  <c r="AJ25" i="1"/>
  <c r="K26" i="1"/>
  <c r="N26" i="1"/>
  <c r="AJ26" i="1"/>
  <c r="K27" i="1"/>
  <c r="N27" i="1"/>
  <c r="AJ27" i="1"/>
  <c r="K28" i="1"/>
  <c r="N28" i="1"/>
  <c r="AJ28" i="1"/>
  <c r="K29" i="1"/>
  <c r="N29" i="1"/>
  <c r="AJ29" i="1"/>
  <c r="K30" i="1"/>
  <c r="N30" i="1"/>
  <c r="AJ30" i="1"/>
  <c r="K31" i="1"/>
  <c r="N31" i="1"/>
  <c r="AJ31" i="1"/>
  <c r="K32" i="1"/>
  <c r="N32" i="1"/>
  <c r="AJ32" i="1"/>
  <c r="K33" i="1"/>
  <c r="N33" i="1"/>
  <c r="AJ33" i="1"/>
  <c r="K34" i="1"/>
  <c r="N34" i="1"/>
  <c r="AJ34" i="1"/>
  <c r="K35" i="1"/>
  <c r="N35" i="1"/>
  <c r="AJ35" i="1"/>
  <c r="K36" i="1"/>
  <c r="N36" i="1"/>
  <c r="AJ36" i="1"/>
  <c r="K37" i="1"/>
  <c r="N37" i="1"/>
  <c r="AJ37" i="1"/>
  <c r="K38" i="1"/>
  <c r="N38" i="1"/>
  <c r="AJ38" i="1"/>
  <c r="K39" i="1"/>
  <c r="N39" i="1"/>
  <c r="AJ39" i="1"/>
  <c r="K40" i="1"/>
  <c r="N40" i="1"/>
  <c r="AJ40" i="1"/>
  <c r="K41" i="1"/>
  <c r="N41" i="1"/>
  <c r="AJ41" i="1"/>
  <c r="K42" i="1"/>
  <c r="N42" i="1"/>
  <c r="AJ42" i="1"/>
  <c r="K43" i="1"/>
  <c r="N43" i="1"/>
  <c r="AJ43" i="1"/>
  <c r="K44" i="1"/>
  <c r="N44" i="1"/>
  <c r="AJ44" i="1"/>
  <c r="K45" i="1"/>
  <c r="N45" i="1"/>
  <c r="AJ45" i="1"/>
  <c r="K46" i="1"/>
  <c r="N46" i="1"/>
  <c r="AJ46" i="1"/>
  <c r="K47" i="1"/>
  <c r="N47" i="1"/>
  <c r="AJ47" i="1"/>
  <c r="K48" i="1"/>
  <c r="N48" i="1"/>
  <c r="AJ48" i="1"/>
  <c r="K49" i="1"/>
  <c r="N49" i="1"/>
  <c r="AJ49" i="1"/>
  <c r="K50" i="1"/>
  <c r="N50" i="1"/>
  <c r="AJ50" i="1"/>
  <c r="K51" i="1"/>
  <c r="N51" i="1"/>
  <c r="AJ51" i="1"/>
  <c r="K52" i="1"/>
  <c r="N52" i="1"/>
  <c r="AJ52" i="1"/>
  <c r="K53" i="1"/>
  <c r="N53" i="1"/>
  <c r="AJ53" i="1"/>
  <c r="K54" i="1"/>
  <c r="N54" i="1"/>
  <c r="AJ54" i="1"/>
  <c r="K55" i="1"/>
  <c r="N55" i="1"/>
  <c r="AJ55" i="1"/>
  <c r="K56" i="1"/>
  <c r="N56" i="1"/>
  <c r="AJ56" i="1"/>
  <c r="K57" i="1"/>
  <c r="N57" i="1"/>
  <c r="AJ57" i="1"/>
  <c r="K58" i="1"/>
  <c r="N58" i="1"/>
  <c r="AJ58" i="1"/>
  <c r="K59" i="1"/>
  <c r="N59" i="1"/>
  <c r="AJ59" i="1"/>
  <c r="K60" i="1"/>
  <c r="N60" i="1"/>
  <c r="AJ60" i="1"/>
  <c r="K61" i="1"/>
  <c r="N61" i="1"/>
  <c r="AJ61" i="1"/>
  <c r="K62" i="1"/>
  <c r="N62" i="1"/>
  <c r="AJ62" i="1"/>
  <c r="K63" i="1"/>
  <c r="N63" i="1"/>
  <c r="AJ63" i="1"/>
  <c r="K64" i="1"/>
  <c r="N64" i="1"/>
  <c r="AJ64" i="1"/>
  <c r="K65" i="1"/>
  <c r="N65" i="1"/>
  <c r="AJ65" i="1"/>
  <c r="K66" i="1"/>
  <c r="N66" i="1"/>
  <c r="AJ66" i="1"/>
  <c r="K67" i="1"/>
  <c r="N67" i="1"/>
  <c r="AJ67" i="1"/>
  <c r="K68" i="1"/>
  <c r="N68" i="1"/>
  <c r="AJ68" i="1"/>
  <c r="K69" i="1"/>
  <c r="N69" i="1"/>
  <c r="AJ69" i="1"/>
  <c r="K70" i="1"/>
  <c r="N70" i="1"/>
  <c r="AJ70" i="1"/>
  <c r="K71" i="1"/>
  <c r="N71" i="1"/>
  <c r="AJ71" i="1"/>
  <c r="K72" i="1"/>
  <c r="N72" i="1"/>
  <c r="AJ72" i="1"/>
  <c r="K73" i="1"/>
  <c r="N73" i="1"/>
  <c r="AJ73" i="1"/>
  <c r="K74" i="1"/>
  <c r="N74" i="1"/>
  <c r="AJ74" i="1"/>
  <c r="K75" i="1"/>
  <c r="N75" i="1"/>
  <c r="AJ75" i="1"/>
  <c r="K76" i="1"/>
  <c r="N76" i="1"/>
  <c r="AJ76" i="1"/>
  <c r="K77" i="1"/>
  <c r="N77" i="1"/>
  <c r="AJ77" i="1"/>
  <c r="K78" i="1"/>
  <c r="N78" i="1"/>
  <c r="AJ78" i="1"/>
  <c r="K79" i="1"/>
  <c r="N79" i="1"/>
  <c r="AJ79" i="1"/>
  <c r="K80" i="1"/>
  <c r="N80" i="1"/>
  <c r="AJ80" i="1"/>
  <c r="K81" i="1"/>
  <c r="N81" i="1"/>
  <c r="AJ81" i="1"/>
  <c r="K82" i="1"/>
  <c r="N82" i="1"/>
  <c r="AJ82" i="1"/>
  <c r="K83" i="1"/>
  <c r="N83" i="1"/>
  <c r="AJ83" i="1"/>
  <c r="K84" i="1"/>
  <c r="N84" i="1"/>
  <c r="AJ84" i="1"/>
  <c r="K85" i="1"/>
  <c r="N85" i="1"/>
  <c r="AJ85" i="1"/>
  <c r="K86" i="1"/>
  <c r="N86" i="1"/>
  <c r="AJ86" i="1"/>
  <c r="K87" i="1"/>
  <c r="N87" i="1"/>
  <c r="AJ87" i="1"/>
  <c r="K88" i="1"/>
  <c r="N88" i="1"/>
  <c r="AJ88" i="1"/>
  <c r="K89" i="1"/>
  <c r="N89" i="1"/>
  <c r="AJ89" i="1"/>
  <c r="K90" i="1"/>
  <c r="N90" i="1"/>
  <c r="AJ90" i="1"/>
  <c r="K91" i="1"/>
  <c r="N91" i="1"/>
  <c r="AJ91" i="1"/>
  <c r="K92" i="1"/>
  <c r="N92" i="1"/>
  <c r="AJ92" i="1"/>
  <c r="K93" i="1"/>
  <c r="N93" i="1"/>
  <c r="AJ93" i="1"/>
  <c r="K94" i="1"/>
  <c r="N94" i="1"/>
  <c r="AJ94" i="1"/>
  <c r="K95" i="1"/>
  <c r="N95" i="1"/>
  <c r="AJ95" i="1"/>
  <c r="K96" i="1"/>
  <c r="N96" i="1"/>
  <c r="AJ96" i="1"/>
  <c r="K97" i="1"/>
  <c r="N97" i="1"/>
  <c r="AJ97" i="1"/>
  <c r="K98" i="1"/>
  <c r="N98" i="1"/>
  <c r="AJ98" i="1"/>
  <c r="K99" i="1"/>
  <c r="N99" i="1"/>
  <c r="AJ99" i="1"/>
  <c r="K100" i="1"/>
  <c r="N100" i="1"/>
  <c r="AJ100" i="1"/>
  <c r="K101" i="1"/>
  <c r="N101" i="1"/>
  <c r="AJ101" i="1"/>
  <c r="K102" i="1"/>
  <c r="N102" i="1"/>
  <c r="AJ102" i="1"/>
  <c r="K103" i="1"/>
  <c r="N103" i="1"/>
  <c r="AJ103" i="1"/>
  <c r="K104" i="1"/>
  <c r="N104" i="1"/>
  <c r="AJ104" i="1"/>
  <c r="K105" i="1"/>
  <c r="N105" i="1"/>
  <c r="AJ105" i="1"/>
  <c r="K106" i="1"/>
  <c r="N106" i="1"/>
  <c r="AJ106" i="1"/>
  <c r="K107" i="1"/>
  <c r="N107" i="1"/>
  <c r="AJ107" i="1"/>
  <c r="K108" i="1"/>
  <c r="N108" i="1"/>
  <c r="AJ108" i="1"/>
  <c r="K109" i="1"/>
  <c r="N109" i="1"/>
  <c r="AJ109" i="1"/>
  <c r="K110" i="1"/>
  <c r="N110" i="1"/>
  <c r="AJ110" i="1"/>
  <c r="K111" i="1"/>
  <c r="N111" i="1"/>
  <c r="AJ111" i="1"/>
  <c r="K112" i="1"/>
  <c r="N112" i="1"/>
  <c r="AJ112" i="1"/>
  <c r="K113" i="1"/>
  <c r="N113" i="1"/>
  <c r="AJ113" i="1"/>
  <c r="K114" i="1"/>
  <c r="N114" i="1"/>
  <c r="AJ114" i="1"/>
  <c r="K115" i="1"/>
  <c r="N115" i="1"/>
  <c r="AJ115" i="1"/>
  <c r="K116" i="1"/>
  <c r="N116" i="1"/>
  <c r="AJ116" i="1"/>
  <c r="K117" i="1"/>
  <c r="N117" i="1"/>
  <c r="AJ117" i="1"/>
  <c r="K118" i="1"/>
  <c r="N118" i="1"/>
  <c r="AJ118" i="1"/>
  <c r="K119" i="1"/>
  <c r="N119" i="1"/>
  <c r="AJ119" i="1"/>
  <c r="K120" i="1"/>
  <c r="N120" i="1"/>
  <c r="AJ120" i="1"/>
  <c r="K121" i="1"/>
  <c r="N121" i="1"/>
  <c r="AJ121" i="1"/>
  <c r="K122" i="1"/>
  <c r="N122" i="1"/>
  <c r="AJ122" i="1"/>
  <c r="K123" i="1"/>
  <c r="N123" i="1"/>
  <c r="AJ123" i="1"/>
  <c r="K124" i="1"/>
  <c r="N124" i="1"/>
  <c r="AJ124" i="1"/>
  <c r="K125" i="1"/>
  <c r="N125" i="1"/>
  <c r="AJ125" i="1"/>
  <c r="K126" i="1"/>
  <c r="N126" i="1"/>
  <c r="AJ126" i="1"/>
  <c r="K127" i="1"/>
  <c r="N127" i="1"/>
  <c r="AJ127" i="1"/>
  <c r="K128" i="1"/>
  <c r="N128" i="1"/>
  <c r="AJ128" i="1"/>
  <c r="K129" i="1"/>
  <c r="N129" i="1"/>
  <c r="AJ129" i="1"/>
  <c r="K130" i="1"/>
  <c r="N130" i="1"/>
  <c r="AJ130" i="1"/>
  <c r="K131" i="1"/>
  <c r="N131" i="1"/>
  <c r="AJ131" i="1"/>
  <c r="K132" i="1"/>
  <c r="N132" i="1"/>
  <c r="AJ132" i="1"/>
  <c r="K133" i="1"/>
  <c r="N133" i="1"/>
  <c r="AJ133" i="1"/>
  <c r="K134" i="1"/>
  <c r="N134" i="1"/>
  <c r="AJ134" i="1"/>
  <c r="K135" i="1"/>
  <c r="N135" i="1"/>
  <c r="AJ135" i="1"/>
  <c r="K136" i="1"/>
  <c r="N136" i="1"/>
  <c r="AJ136" i="1"/>
  <c r="K137" i="1"/>
  <c r="N137" i="1"/>
  <c r="AJ137" i="1"/>
  <c r="K138" i="1"/>
  <c r="N138" i="1"/>
  <c r="AJ138" i="1"/>
  <c r="K139" i="1"/>
  <c r="N139" i="1"/>
  <c r="AJ139" i="1"/>
  <c r="K140" i="1"/>
  <c r="N140" i="1"/>
  <c r="AJ140" i="1"/>
  <c r="K141" i="1"/>
  <c r="N141" i="1"/>
  <c r="AJ141" i="1"/>
  <c r="K142" i="1"/>
  <c r="N142" i="1"/>
  <c r="AJ142" i="1"/>
  <c r="K143" i="1"/>
  <c r="N143" i="1"/>
  <c r="AJ143" i="1"/>
  <c r="K144" i="1"/>
  <c r="N144" i="1"/>
  <c r="AJ144" i="1"/>
  <c r="K145" i="1"/>
  <c r="N145" i="1"/>
  <c r="AJ145" i="1"/>
  <c r="K146" i="1"/>
  <c r="N146" i="1"/>
  <c r="AJ146" i="1"/>
  <c r="K147" i="1"/>
  <c r="N147" i="1"/>
  <c r="AJ147" i="1"/>
  <c r="K148" i="1"/>
  <c r="N148" i="1"/>
  <c r="AJ148" i="1"/>
  <c r="K149" i="1"/>
  <c r="N149" i="1"/>
  <c r="AJ149" i="1"/>
  <c r="K150" i="1"/>
  <c r="N150" i="1"/>
  <c r="AJ150" i="1"/>
  <c r="K151" i="1"/>
  <c r="N151" i="1"/>
  <c r="AJ151" i="1"/>
  <c r="K152" i="1"/>
  <c r="N152" i="1"/>
  <c r="AJ152" i="1"/>
  <c r="K153" i="1"/>
  <c r="N153" i="1"/>
  <c r="AJ153" i="1"/>
  <c r="K154" i="1"/>
  <c r="N154" i="1"/>
  <c r="AJ154" i="1"/>
  <c r="K155" i="1"/>
  <c r="N155" i="1"/>
  <c r="AJ155" i="1"/>
  <c r="K156" i="1"/>
  <c r="N156" i="1"/>
  <c r="AJ156" i="1"/>
  <c r="K157" i="1"/>
  <c r="N157" i="1"/>
  <c r="AJ157" i="1"/>
  <c r="K158" i="1"/>
  <c r="N158" i="1"/>
  <c r="AJ158" i="1"/>
  <c r="K159" i="1"/>
  <c r="N159" i="1"/>
  <c r="AJ159" i="1"/>
  <c r="K160" i="1"/>
  <c r="N160" i="1"/>
  <c r="AJ160" i="1"/>
  <c r="K161" i="1"/>
  <c r="N161" i="1"/>
  <c r="AJ161" i="1"/>
  <c r="K162" i="1"/>
  <c r="N162" i="1"/>
  <c r="AJ162" i="1"/>
  <c r="K163" i="1"/>
  <c r="N163" i="1"/>
  <c r="AJ163" i="1"/>
  <c r="K164" i="1"/>
  <c r="N164" i="1"/>
  <c r="AJ164" i="1"/>
  <c r="K165" i="1"/>
  <c r="N165" i="1"/>
  <c r="AJ165" i="1"/>
  <c r="K166" i="1"/>
  <c r="N166" i="1"/>
  <c r="AJ166" i="1"/>
  <c r="K167" i="1"/>
  <c r="N167" i="1"/>
  <c r="AJ167" i="1"/>
  <c r="K168" i="1"/>
  <c r="N168" i="1"/>
  <c r="AJ168" i="1"/>
  <c r="K169" i="1"/>
  <c r="N169" i="1"/>
  <c r="AJ169" i="1"/>
  <c r="K170" i="1"/>
  <c r="N170" i="1"/>
  <c r="AJ170" i="1"/>
  <c r="K171" i="1"/>
  <c r="N171" i="1"/>
  <c r="AJ171" i="1"/>
  <c r="K172" i="1"/>
  <c r="N172" i="1"/>
  <c r="AJ172" i="1"/>
  <c r="K173" i="1"/>
  <c r="N173" i="1"/>
  <c r="AJ173" i="1"/>
  <c r="K174" i="1"/>
  <c r="N174" i="1"/>
  <c r="AJ174" i="1"/>
  <c r="K175" i="1"/>
  <c r="N175" i="1"/>
  <c r="AJ175" i="1"/>
  <c r="K176" i="1"/>
  <c r="N176" i="1"/>
  <c r="AJ176" i="1"/>
  <c r="K177" i="1"/>
  <c r="N177" i="1"/>
  <c r="AJ177" i="1"/>
  <c r="K178" i="1"/>
  <c r="N178" i="1"/>
  <c r="AJ178" i="1"/>
  <c r="K179" i="1"/>
  <c r="N179" i="1"/>
  <c r="AJ179" i="1"/>
  <c r="K180" i="1"/>
  <c r="N180" i="1"/>
  <c r="AJ180" i="1"/>
  <c r="K181" i="1"/>
  <c r="N181" i="1"/>
  <c r="AJ181" i="1"/>
  <c r="K182" i="1"/>
  <c r="N182" i="1"/>
  <c r="AJ182" i="1"/>
  <c r="K183" i="1"/>
  <c r="N183" i="1"/>
  <c r="AJ183" i="1"/>
  <c r="K184" i="1"/>
  <c r="N184" i="1"/>
  <c r="AJ184" i="1"/>
  <c r="K185" i="1"/>
  <c r="N185" i="1"/>
  <c r="AJ185" i="1"/>
  <c r="K186" i="1"/>
  <c r="N186" i="1"/>
  <c r="AJ186" i="1"/>
  <c r="K187" i="1"/>
  <c r="N187" i="1"/>
  <c r="AJ187" i="1"/>
  <c r="K188" i="1"/>
  <c r="N188" i="1"/>
  <c r="AJ188" i="1"/>
  <c r="K189" i="1"/>
  <c r="N189" i="1"/>
  <c r="AJ189" i="1"/>
  <c r="K190" i="1"/>
  <c r="N190" i="1"/>
  <c r="AJ190" i="1"/>
  <c r="K191" i="1"/>
  <c r="N191" i="1"/>
  <c r="AJ191" i="1"/>
  <c r="K192" i="1"/>
  <c r="N192" i="1"/>
  <c r="AJ192" i="1"/>
  <c r="K193" i="1"/>
  <c r="N193" i="1"/>
  <c r="AJ193" i="1"/>
  <c r="K194" i="1"/>
  <c r="N194" i="1"/>
  <c r="AJ194" i="1"/>
  <c r="K195" i="1"/>
  <c r="N195" i="1"/>
  <c r="AJ195" i="1"/>
  <c r="K196" i="1"/>
  <c r="N196" i="1"/>
  <c r="AJ196" i="1"/>
  <c r="K197" i="1"/>
  <c r="N197" i="1"/>
  <c r="AJ197" i="1"/>
  <c r="K198" i="1"/>
  <c r="N198" i="1"/>
  <c r="AJ198" i="1"/>
  <c r="K199" i="1"/>
  <c r="N199" i="1"/>
  <c r="AJ199" i="1"/>
  <c r="K200" i="1"/>
  <c r="N200" i="1"/>
  <c r="AJ200" i="1"/>
  <c r="K201" i="1"/>
  <c r="N201" i="1"/>
  <c r="AJ201" i="1"/>
  <c r="K202" i="1"/>
  <c r="N202" i="1"/>
  <c r="AJ202" i="1"/>
  <c r="K203" i="1"/>
  <c r="N203" i="1"/>
  <c r="AJ203" i="1"/>
  <c r="K204" i="1"/>
  <c r="N204" i="1"/>
  <c r="AJ204" i="1"/>
  <c r="K205" i="1"/>
  <c r="N205" i="1"/>
  <c r="AJ205" i="1"/>
  <c r="K206" i="1"/>
  <c r="N206" i="1"/>
  <c r="AJ206" i="1"/>
  <c r="K207" i="1"/>
  <c r="N207" i="1"/>
  <c r="AJ207" i="1"/>
  <c r="K208" i="1"/>
  <c r="N208" i="1"/>
  <c r="AJ208" i="1"/>
  <c r="K209" i="1"/>
  <c r="N209" i="1"/>
  <c r="AJ209" i="1"/>
  <c r="K210" i="1"/>
  <c r="N210" i="1"/>
  <c r="AJ210" i="1"/>
  <c r="K211" i="1"/>
  <c r="N211" i="1"/>
  <c r="AJ211" i="1"/>
  <c r="K212" i="1"/>
  <c r="N212" i="1"/>
  <c r="AJ212" i="1"/>
  <c r="K213" i="1"/>
  <c r="N213" i="1"/>
  <c r="AJ213" i="1"/>
  <c r="K214" i="1"/>
  <c r="N214" i="1"/>
  <c r="AJ214" i="1"/>
  <c r="K215" i="1"/>
  <c r="N215" i="1"/>
  <c r="AJ215" i="1"/>
  <c r="K216" i="1"/>
  <c r="N216" i="1"/>
  <c r="AJ216" i="1"/>
  <c r="K217" i="1"/>
  <c r="N217" i="1"/>
  <c r="AJ217" i="1"/>
  <c r="K218" i="1"/>
  <c r="N218" i="1"/>
  <c r="AJ218" i="1"/>
  <c r="K219" i="1"/>
  <c r="N219" i="1"/>
  <c r="AJ219" i="1"/>
  <c r="K220" i="1"/>
  <c r="N220" i="1"/>
  <c r="AJ220" i="1"/>
  <c r="K221" i="1"/>
  <c r="N221" i="1"/>
  <c r="AJ221" i="1"/>
  <c r="K222" i="1"/>
  <c r="N222" i="1"/>
  <c r="AJ222" i="1"/>
  <c r="K223" i="1"/>
  <c r="N223" i="1"/>
  <c r="AJ223" i="1"/>
  <c r="K224" i="1"/>
  <c r="N224" i="1"/>
  <c r="AJ224" i="1"/>
  <c r="K225" i="1"/>
  <c r="N225" i="1"/>
  <c r="AJ225" i="1"/>
  <c r="K226" i="1"/>
  <c r="N226" i="1"/>
  <c r="AJ226" i="1"/>
  <c r="K227" i="1"/>
  <c r="N227" i="1"/>
  <c r="AJ227" i="1"/>
  <c r="K228" i="1"/>
  <c r="N228" i="1"/>
  <c r="AJ228" i="1"/>
  <c r="K229" i="1"/>
  <c r="N229" i="1"/>
  <c r="AJ229" i="1"/>
  <c r="K230" i="1"/>
  <c r="N230" i="1"/>
  <c r="AJ230" i="1"/>
  <c r="K231" i="1"/>
  <c r="N231" i="1"/>
  <c r="AJ231" i="1"/>
  <c r="K232" i="1"/>
  <c r="N232" i="1"/>
  <c r="AJ232" i="1"/>
  <c r="K233" i="1"/>
  <c r="N233" i="1"/>
  <c r="AJ233" i="1"/>
  <c r="K234" i="1"/>
  <c r="N234" i="1"/>
  <c r="AJ234" i="1"/>
  <c r="K235" i="1"/>
  <c r="N235" i="1"/>
  <c r="AJ235" i="1"/>
  <c r="K236" i="1"/>
  <c r="N236" i="1"/>
  <c r="AJ236" i="1"/>
  <c r="K237" i="1"/>
  <c r="N237" i="1"/>
  <c r="AJ237" i="1"/>
  <c r="K238" i="1"/>
  <c r="N238" i="1"/>
  <c r="AJ238" i="1"/>
  <c r="K239" i="1"/>
  <c r="N239" i="1"/>
  <c r="AJ239" i="1"/>
  <c r="K240" i="1"/>
  <c r="N240" i="1"/>
  <c r="AJ240" i="1"/>
  <c r="K241" i="1"/>
  <c r="N241" i="1"/>
  <c r="AJ241" i="1"/>
  <c r="K242" i="1"/>
  <c r="N242" i="1"/>
  <c r="AJ242" i="1"/>
  <c r="K243" i="1"/>
  <c r="N243" i="1"/>
  <c r="AJ243" i="1"/>
  <c r="K244" i="1"/>
  <c r="N244" i="1"/>
  <c r="AJ244" i="1"/>
  <c r="K245" i="1"/>
  <c r="N245" i="1"/>
  <c r="AJ245" i="1"/>
  <c r="K246" i="1"/>
  <c r="N246" i="1"/>
  <c r="AJ246" i="1"/>
  <c r="K247" i="1"/>
  <c r="N247" i="1"/>
  <c r="AJ247" i="1"/>
  <c r="K248" i="1"/>
  <c r="N248" i="1"/>
  <c r="AJ248" i="1"/>
  <c r="K249" i="1"/>
  <c r="N249" i="1"/>
  <c r="AJ249" i="1"/>
  <c r="K250" i="1"/>
  <c r="N250" i="1"/>
  <c r="AJ250" i="1"/>
  <c r="K251" i="1"/>
  <c r="N251" i="1"/>
  <c r="AJ251" i="1"/>
  <c r="K252" i="1"/>
  <c r="N252" i="1"/>
  <c r="AJ252" i="1"/>
  <c r="K253" i="1"/>
  <c r="N253" i="1"/>
  <c r="AJ253" i="1"/>
  <c r="K254" i="1"/>
  <c r="N254" i="1"/>
  <c r="AJ254" i="1"/>
  <c r="K255" i="1"/>
  <c r="N255" i="1"/>
  <c r="AJ255" i="1"/>
  <c r="K256" i="1"/>
  <c r="N256" i="1"/>
  <c r="AJ256" i="1"/>
  <c r="K257" i="1"/>
  <c r="N257" i="1"/>
  <c r="AJ257" i="1"/>
  <c r="K258" i="1"/>
  <c r="N258" i="1"/>
  <c r="AJ258" i="1"/>
  <c r="K259" i="1"/>
  <c r="N259" i="1"/>
  <c r="AJ259" i="1"/>
  <c r="K260" i="1"/>
  <c r="N260" i="1"/>
  <c r="AJ260" i="1"/>
  <c r="K261" i="1"/>
  <c r="N261" i="1"/>
  <c r="AJ261" i="1"/>
  <c r="K262" i="1"/>
  <c r="N262" i="1"/>
  <c r="AJ262" i="1"/>
  <c r="K263" i="1"/>
  <c r="N263" i="1"/>
  <c r="AJ263" i="1"/>
  <c r="K264" i="1"/>
  <c r="N264" i="1"/>
  <c r="AJ264" i="1"/>
  <c r="K265" i="1"/>
  <c r="N265" i="1"/>
  <c r="AJ265" i="1"/>
  <c r="K266" i="1"/>
  <c r="N266" i="1"/>
  <c r="AJ266" i="1"/>
  <c r="K267" i="1"/>
  <c r="N267" i="1"/>
  <c r="AJ267" i="1"/>
  <c r="K268" i="1"/>
  <c r="N268" i="1"/>
  <c r="AJ268" i="1"/>
  <c r="K269" i="1"/>
  <c r="N269" i="1"/>
  <c r="AJ269" i="1"/>
  <c r="K270" i="1"/>
  <c r="N270" i="1"/>
  <c r="AJ270" i="1"/>
  <c r="K271" i="1"/>
  <c r="N271" i="1"/>
  <c r="AJ271" i="1"/>
  <c r="K272" i="1"/>
  <c r="N272" i="1"/>
  <c r="AJ272" i="1"/>
  <c r="K273" i="1"/>
  <c r="N273" i="1"/>
  <c r="AJ273" i="1"/>
  <c r="K274" i="1"/>
  <c r="N274" i="1"/>
  <c r="AJ274" i="1"/>
  <c r="K275" i="1"/>
  <c r="N275" i="1"/>
  <c r="AJ275" i="1"/>
  <c r="K276" i="1"/>
  <c r="N276" i="1"/>
  <c r="AJ276" i="1"/>
  <c r="K277" i="1"/>
  <c r="N277" i="1"/>
  <c r="AJ277" i="1"/>
  <c r="K278" i="1"/>
  <c r="N278" i="1"/>
  <c r="AJ278" i="1"/>
  <c r="K279" i="1"/>
  <c r="N279" i="1"/>
  <c r="AJ279" i="1"/>
  <c r="K280" i="1"/>
  <c r="N280" i="1"/>
  <c r="AJ280" i="1"/>
  <c r="K281" i="1"/>
  <c r="N281" i="1"/>
  <c r="AJ281" i="1"/>
  <c r="K282" i="1"/>
  <c r="N282" i="1"/>
  <c r="AJ282" i="1"/>
  <c r="K283" i="1"/>
  <c r="N283" i="1"/>
  <c r="AJ283" i="1"/>
  <c r="K284" i="1"/>
  <c r="N284" i="1"/>
  <c r="AJ284" i="1"/>
  <c r="K285" i="1"/>
  <c r="N285" i="1"/>
  <c r="AJ285" i="1"/>
  <c r="K286" i="1"/>
  <c r="N286" i="1"/>
  <c r="AJ286" i="1"/>
  <c r="K287" i="1"/>
  <c r="N287" i="1"/>
  <c r="AJ287" i="1"/>
  <c r="K288" i="1"/>
  <c r="N288" i="1"/>
  <c r="AJ288" i="1"/>
  <c r="K289" i="1"/>
  <c r="N289" i="1"/>
  <c r="AJ289" i="1"/>
  <c r="K290" i="1"/>
  <c r="N290" i="1"/>
  <c r="AJ290" i="1"/>
  <c r="K291" i="1"/>
  <c r="N291" i="1"/>
  <c r="AJ291" i="1"/>
  <c r="K292" i="1"/>
  <c r="N292" i="1"/>
  <c r="AJ292" i="1"/>
  <c r="K293" i="1"/>
  <c r="N293" i="1"/>
  <c r="AJ293" i="1"/>
  <c r="K294" i="1"/>
  <c r="N294" i="1"/>
  <c r="AJ294" i="1"/>
  <c r="K295" i="1"/>
  <c r="N295" i="1"/>
  <c r="AJ295" i="1"/>
  <c r="K296" i="1"/>
  <c r="N296" i="1"/>
  <c r="AJ296" i="1"/>
  <c r="K297" i="1"/>
  <c r="N297" i="1"/>
  <c r="AJ297" i="1"/>
  <c r="K298" i="1"/>
  <c r="N298" i="1"/>
  <c r="AJ298" i="1"/>
  <c r="K299" i="1"/>
  <c r="N299" i="1"/>
  <c r="AJ299" i="1"/>
  <c r="K300" i="1"/>
  <c r="N300" i="1"/>
  <c r="AJ300" i="1"/>
  <c r="K301" i="1"/>
  <c r="N301" i="1"/>
  <c r="AJ301" i="1"/>
  <c r="K302" i="1"/>
  <c r="N302" i="1"/>
  <c r="AJ302" i="1"/>
  <c r="K303" i="1"/>
  <c r="N303" i="1"/>
  <c r="AJ303" i="1"/>
  <c r="K304" i="1"/>
  <c r="N304" i="1"/>
  <c r="AJ304" i="1"/>
  <c r="K305" i="1"/>
  <c r="N305" i="1"/>
  <c r="AJ305" i="1"/>
  <c r="K306" i="1"/>
  <c r="N306" i="1"/>
  <c r="AJ306" i="1"/>
  <c r="K307" i="1"/>
  <c r="N307" i="1"/>
  <c r="AJ307" i="1"/>
  <c r="K308" i="1"/>
  <c r="N308" i="1"/>
  <c r="AJ308" i="1"/>
  <c r="K309" i="1"/>
  <c r="N309" i="1"/>
  <c r="AJ309" i="1"/>
  <c r="K310" i="1"/>
  <c r="N310" i="1"/>
  <c r="AJ310" i="1"/>
  <c r="K311" i="1"/>
  <c r="N311" i="1"/>
  <c r="AJ311" i="1"/>
  <c r="K312" i="1"/>
  <c r="N312" i="1"/>
  <c r="AJ312" i="1"/>
  <c r="K313" i="1"/>
  <c r="N313" i="1"/>
  <c r="AJ313" i="1"/>
  <c r="K314" i="1"/>
  <c r="N314" i="1"/>
  <c r="AJ314" i="1"/>
  <c r="K315" i="1"/>
  <c r="N315" i="1"/>
  <c r="AJ315" i="1"/>
  <c r="K316" i="1"/>
  <c r="N316" i="1"/>
  <c r="AJ316" i="1"/>
  <c r="K317" i="1"/>
  <c r="N317" i="1"/>
  <c r="AJ317" i="1"/>
  <c r="K318" i="1"/>
  <c r="N318" i="1"/>
  <c r="AJ318" i="1"/>
  <c r="K319" i="1"/>
  <c r="N319" i="1"/>
  <c r="AJ319" i="1"/>
  <c r="K320" i="1"/>
  <c r="N320" i="1"/>
  <c r="AJ320" i="1"/>
  <c r="K321" i="1"/>
  <c r="N321" i="1"/>
  <c r="AJ321" i="1"/>
  <c r="K322" i="1"/>
  <c r="N322" i="1"/>
  <c r="AJ322" i="1"/>
  <c r="K323" i="1"/>
  <c r="N323" i="1"/>
  <c r="AJ323" i="1"/>
  <c r="K324" i="1"/>
  <c r="N324" i="1"/>
  <c r="AJ324" i="1"/>
  <c r="K325" i="1"/>
  <c r="N325" i="1"/>
  <c r="AJ325" i="1"/>
  <c r="K326" i="1"/>
  <c r="N326" i="1"/>
  <c r="AJ326" i="1"/>
  <c r="K327" i="1"/>
  <c r="N327" i="1"/>
  <c r="AJ327" i="1"/>
  <c r="K328" i="1"/>
  <c r="N328" i="1"/>
  <c r="AJ328" i="1"/>
  <c r="K329" i="1"/>
  <c r="N329" i="1"/>
  <c r="AJ329" i="1"/>
  <c r="K330" i="1"/>
  <c r="N330" i="1"/>
  <c r="AJ330" i="1"/>
  <c r="K331" i="1"/>
  <c r="N331" i="1"/>
  <c r="AJ331" i="1"/>
  <c r="K332" i="1"/>
  <c r="N332" i="1"/>
  <c r="AJ332" i="1"/>
  <c r="K333" i="1"/>
  <c r="N333" i="1"/>
  <c r="AJ333" i="1"/>
  <c r="K334" i="1"/>
  <c r="N334" i="1"/>
  <c r="AJ334" i="1"/>
  <c r="K335" i="1"/>
  <c r="N335" i="1"/>
  <c r="AJ335" i="1"/>
  <c r="K336" i="1"/>
  <c r="N336" i="1"/>
  <c r="AJ336" i="1"/>
  <c r="K337" i="1"/>
  <c r="N337" i="1"/>
  <c r="AJ337" i="1"/>
  <c r="K338" i="1"/>
  <c r="N338" i="1"/>
  <c r="AJ338" i="1"/>
  <c r="K339" i="1"/>
  <c r="N339" i="1"/>
  <c r="AJ339" i="1"/>
  <c r="K340" i="1"/>
  <c r="N340" i="1"/>
  <c r="AJ340" i="1"/>
  <c r="K341" i="1"/>
  <c r="N341" i="1"/>
  <c r="AJ341" i="1"/>
  <c r="K342" i="1"/>
  <c r="N342" i="1"/>
  <c r="AJ342" i="1"/>
  <c r="K343" i="1"/>
  <c r="N343" i="1"/>
  <c r="AJ343" i="1"/>
  <c r="K344" i="1"/>
  <c r="N344" i="1"/>
  <c r="AJ344" i="1"/>
  <c r="K345" i="1"/>
  <c r="N345" i="1"/>
  <c r="AJ345" i="1"/>
  <c r="K346" i="1"/>
  <c r="N346" i="1"/>
  <c r="AJ346" i="1"/>
  <c r="K347" i="1"/>
  <c r="N347" i="1"/>
  <c r="AJ347" i="1"/>
  <c r="K348" i="1"/>
  <c r="N348" i="1"/>
  <c r="AJ348" i="1"/>
  <c r="K349" i="1"/>
  <c r="N349" i="1"/>
  <c r="AJ349" i="1"/>
  <c r="K350" i="1"/>
  <c r="N350" i="1"/>
  <c r="AJ350" i="1"/>
  <c r="K351" i="1"/>
  <c r="N351" i="1"/>
  <c r="AJ351" i="1"/>
  <c r="K352" i="1"/>
  <c r="N352" i="1"/>
  <c r="AJ352" i="1"/>
  <c r="K353" i="1"/>
  <c r="N353" i="1"/>
  <c r="AJ353" i="1"/>
  <c r="K354" i="1"/>
  <c r="N354" i="1"/>
  <c r="AJ354" i="1"/>
  <c r="K355" i="1"/>
  <c r="N355" i="1"/>
  <c r="AJ355" i="1"/>
  <c r="K356" i="1"/>
  <c r="N356" i="1"/>
  <c r="AJ356" i="1"/>
  <c r="K357" i="1"/>
  <c r="N357" i="1"/>
  <c r="AJ357" i="1"/>
  <c r="K358" i="1"/>
  <c r="N358" i="1"/>
  <c r="AJ358" i="1"/>
  <c r="K359" i="1"/>
  <c r="N359" i="1"/>
  <c r="AJ359" i="1"/>
  <c r="K360" i="1"/>
  <c r="N360" i="1"/>
  <c r="AJ360" i="1"/>
  <c r="K361" i="1"/>
  <c r="N361" i="1"/>
  <c r="AJ361" i="1"/>
  <c r="K362" i="1"/>
  <c r="N362" i="1"/>
  <c r="AJ362" i="1"/>
  <c r="K363" i="1"/>
  <c r="N363" i="1"/>
  <c r="AJ363" i="1"/>
  <c r="K364" i="1"/>
  <c r="N364" i="1"/>
  <c r="AJ364" i="1"/>
  <c r="K365" i="1"/>
  <c r="N365" i="1"/>
  <c r="AJ365" i="1"/>
  <c r="K366" i="1"/>
  <c r="N366" i="1"/>
  <c r="AJ366" i="1"/>
  <c r="K367" i="1"/>
  <c r="N367" i="1"/>
  <c r="AJ367" i="1"/>
  <c r="K368" i="1"/>
  <c r="N368" i="1"/>
  <c r="AJ368" i="1"/>
  <c r="K369" i="1"/>
  <c r="N369" i="1"/>
  <c r="AJ369" i="1"/>
  <c r="K370" i="1"/>
  <c r="N370" i="1"/>
  <c r="AJ370" i="1"/>
  <c r="K371" i="1"/>
  <c r="N371" i="1"/>
  <c r="AJ371" i="1"/>
  <c r="K372" i="1"/>
  <c r="N372" i="1"/>
  <c r="AJ372" i="1"/>
  <c r="K373" i="1"/>
  <c r="N373" i="1"/>
  <c r="AJ373" i="1"/>
  <c r="K374" i="1"/>
  <c r="N374" i="1"/>
  <c r="AJ374" i="1"/>
  <c r="K375" i="1"/>
  <c r="N375" i="1"/>
  <c r="AJ375" i="1"/>
  <c r="K376" i="1"/>
  <c r="N376" i="1"/>
  <c r="AJ376" i="1"/>
  <c r="K377" i="1"/>
  <c r="N377" i="1"/>
  <c r="AJ377" i="1"/>
  <c r="K378" i="1"/>
  <c r="N378" i="1"/>
  <c r="AJ378" i="1"/>
  <c r="K379" i="1"/>
  <c r="N379" i="1"/>
  <c r="AJ379" i="1"/>
  <c r="K380" i="1"/>
  <c r="N380" i="1"/>
  <c r="AJ380" i="1"/>
  <c r="K381" i="1"/>
  <c r="N381" i="1"/>
  <c r="AJ381" i="1"/>
  <c r="K382" i="1"/>
  <c r="N382" i="1"/>
  <c r="AJ382" i="1"/>
  <c r="K383" i="1"/>
  <c r="N383" i="1"/>
  <c r="AJ383" i="1"/>
  <c r="K384" i="1"/>
  <c r="N384" i="1"/>
  <c r="AJ384" i="1"/>
  <c r="K385" i="1"/>
  <c r="N385" i="1"/>
  <c r="AJ385" i="1"/>
  <c r="K386" i="1"/>
  <c r="N386" i="1"/>
  <c r="AJ386" i="1"/>
  <c r="K387" i="1"/>
  <c r="N387" i="1"/>
  <c r="AJ387" i="1"/>
  <c r="K388" i="1"/>
  <c r="N388" i="1"/>
  <c r="AJ388" i="1"/>
  <c r="K389" i="1"/>
  <c r="N389" i="1"/>
  <c r="AJ389" i="1"/>
  <c r="K390" i="1"/>
  <c r="N390" i="1"/>
  <c r="AJ390" i="1"/>
  <c r="K391" i="1"/>
  <c r="N391" i="1"/>
  <c r="AJ391" i="1"/>
  <c r="K392" i="1"/>
  <c r="N392" i="1"/>
  <c r="AJ392" i="1"/>
  <c r="K393" i="1"/>
  <c r="N393" i="1"/>
  <c r="AJ393" i="1"/>
  <c r="K394" i="1"/>
  <c r="N394" i="1"/>
  <c r="AJ394" i="1"/>
  <c r="K395" i="1"/>
  <c r="N395" i="1"/>
  <c r="AJ395" i="1"/>
  <c r="K396" i="1"/>
  <c r="N396" i="1"/>
  <c r="AJ396" i="1"/>
  <c r="K397" i="1"/>
  <c r="N397" i="1"/>
  <c r="AJ397" i="1"/>
  <c r="K398" i="1"/>
  <c r="N398" i="1"/>
  <c r="AJ398" i="1"/>
  <c r="K399" i="1"/>
  <c r="N399" i="1"/>
  <c r="AJ399" i="1"/>
  <c r="K400" i="1"/>
  <c r="N400" i="1"/>
  <c r="AJ400" i="1"/>
  <c r="K401" i="1"/>
  <c r="N401" i="1"/>
  <c r="AJ401" i="1"/>
  <c r="K402" i="1"/>
  <c r="N402" i="1"/>
  <c r="AJ402" i="1"/>
  <c r="K403" i="1"/>
  <c r="N403" i="1"/>
  <c r="AJ403" i="1"/>
  <c r="K404" i="1"/>
  <c r="N404" i="1"/>
  <c r="AJ404" i="1"/>
  <c r="K405" i="1"/>
  <c r="N405" i="1"/>
  <c r="AJ405" i="1"/>
  <c r="K406" i="1"/>
  <c r="N406" i="1"/>
  <c r="AJ406" i="1"/>
  <c r="K407" i="1"/>
  <c r="N407" i="1"/>
  <c r="AJ407" i="1"/>
  <c r="K408" i="1"/>
  <c r="N408" i="1"/>
  <c r="AJ408" i="1"/>
  <c r="K409" i="1"/>
  <c r="N409" i="1"/>
  <c r="AJ409" i="1"/>
  <c r="K410" i="1"/>
  <c r="N410" i="1"/>
  <c r="AJ410" i="1"/>
  <c r="K411" i="1"/>
  <c r="N411" i="1"/>
  <c r="AJ411" i="1"/>
  <c r="K412" i="1"/>
  <c r="N412" i="1"/>
  <c r="AJ412" i="1"/>
  <c r="K413" i="1"/>
  <c r="N413" i="1"/>
  <c r="AJ413" i="1"/>
  <c r="K414" i="1"/>
  <c r="N414" i="1"/>
  <c r="AJ414" i="1"/>
  <c r="K415" i="1"/>
  <c r="N415" i="1"/>
  <c r="AJ415" i="1"/>
  <c r="K416" i="1"/>
  <c r="N416" i="1"/>
  <c r="AJ416" i="1"/>
  <c r="K417" i="1"/>
  <c r="N417" i="1"/>
  <c r="AJ417" i="1"/>
  <c r="K418" i="1"/>
  <c r="N418" i="1"/>
  <c r="AJ418" i="1"/>
  <c r="K419" i="1"/>
  <c r="N419" i="1"/>
  <c r="AJ419" i="1"/>
  <c r="K420" i="1"/>
  <c r="N420" i="1"/>
  <c r="AJ420" i="1"/>
  <c r="K421" i="1"/>
  <c r="N421" i="1"/>
  <c r="AJ421" i="1"/>
  <c r="K422" i="1"/>
  <c r="N422" i="1"/>
  <c r="AJ422" i="1"/>
  <c r="K423" i="1"/>
  <c r="N423" i="1"/>
  <c r="AJ423" i="1"/>
  <c r="K424" i="1"/>
  <c r="N424" i="1"/>
  <c r="AJ424" i="1"/>
  <c r="K425" i="1"/>
  <c r="N425" i="1"/>
  <c r="AJ425" i="1"/>
  <c r="K426" i="1"/>
  <c r="N426" i="1"/>
  <c r="AJ426" i="1"/>
  <c r="K427" i="1"/>
  <c r="N427" i="1"/>
  <c r="AJ427" i="1"/>
  <c r="K428" i="1"/>
  <c r="N428" i="1"/>
  <c r="AJ428" i="1"/>
  <c r="K429" i="1"/>
  <c r="N429" i="1"/>
  <c r="AJ429" i="1"/>
  <c r="K430" i="1"/>
  <c r="N430" i="1"/>
  <c r="AJ430" i="1"/>
  <c r="K431" i="1"/>
  <c r="N431" i="1"/>
  <c r="AJ431" i="1"/>
  <c r="K432" i="1"/>
  <c r="N432" i="1"/>
  <c r="AJ432" i="1"/>
  <c r="K433" i="1"/>
  <c r="N433" i="1"/>
  <c r="AJ433" i="1"/>
  <c r="K434" i="1"/>
  <c r="N434" i="1"/>
  <c r="AJ434" i="1"/>
  <c r="K519" i="1"/>
  <c r="N519" i="1"/>
  <c r="AJ519" i="1"/>
  <c r="K520" i="1"/>
  <c r="N520" i="1"/>
  <c r="AJ520" i="1"/>
  <c r="K521" i="1"/>
  <c r="N521" i="1"/>
  <c r="AJ521" i="1"/>
  <c r="K522" i="1"/>
  <c r="N522" i="1"/>
  <c r="AJ522" i="1"/>
  <c r="K523" i="1"/>
  <c r="N523" i="1"/>
  <c r="AJ523" i="1"/>
  <c r="K524" i="1"/>
  <c r="N524" i="1"/>
  <c r="AJ524" i="1"/>
  <c r="K525" i="1"/>
  <c r="N525" i="1"/>
  <c r="AJ525" i="1"/>
  <c r="K526" i="1"/>
  <c r="N526" i="1"/>
  <c r="AJ526" i="1"/>
  <c r="K527" i="1"/>
  <c r="N527" i="1"/>
  <c r="AJ527" i="1"/>
  <c r="K528" i="1"/>
  <c r="N528" i="1"/>
  <c r="AJ528" i="1"/>
  <c r="K529" i="1"/>
  <c r="N529" i="1"/>
  <c r="AJ529" i="1"/>
  <c r="K530" i="1"/>
  <c r="N530" i="1"/>
  <c r="AJ530" i="1"/>
  <c r="K543" i="1"/>
  <c r="N543" i="1"/>
  <c r="AJ543" i="1"/>
  <c r="K544" i="1"/>
  <c r="N544" i="1"/>
  <c r="AJ544" i="1"/>
  <c r="K545" i="1"/>
  <c r="N545" i="1"/>
  <c r="AJ545" i="1"/>
  <c r="K546" i="1"/>
  <c r="N546" i="1"/>
  <c r="AJ546" i="1"/>
  <c r="K547" i="1"/>
  <c r="N547" i="1"/>
  <c r="AJ547" i="1"/>
  <c r="K548" i="1"/>
  <c r="N548" i="1"/>
  <c r="AJ548" i="1"/>
  <c r="K549" i="1"/>
  <c r="N549" i="1"/>
  <c r="AJ549" i="1"/>
  <c r="K550" i="1"/>
  <c r="N550" i="1"/>
  <c r="AJ550" i="1"/>
  <c r="K551" i="1"/>
  <c r="N551" i="1"/>
  <c r="AJ551" i="1"/>
  <c r="K552" i="1"/>
  <c r="N552" i="1"/>
  <c r="AJ552" i="1"/>
  <c r="K553" i="1"/>
  <c r="N553" i="1"/>
  <c r="AJ553" i="1"/>
  <c r="K554" i="1"/>
  <c r="N554" i="1"/>
  <c r="AJ554" i="1"/>
  <c r="K555" i="1"/>
  <c r="N555" i="1"/>
  <c r="AJ555" i="1"/>
  <c r="K556" i="1"/>
  <c r="N556" i="1"/>
  <c r="AJ556" i="1"/>
  <c r="K557" i="1"/>
  <c r="N557" i="1"/>
  <c r="AJ557" i="1"/>
  <c r="K558" i="1"/>
  <c r="N558" i="1"/>
  <c r="AJ558" i="1"/>
  <c r="K559" i="1"/>
  <c r="N559" i="1"/>
  <c r="AJ559" i="1"/>
  <c r="K560" i="1"/>
  <c r="N560" i="1"/>
  <c r="AJ560" i="1"/>
  <c r="K561" i="1"/>
  <c r="N561" i="1"/>
  <c r="AJ561" i="1"/>
  <c r="K562" i="1"/>
  <c r="N562" i="1"/>
  <c r="AJ562" i="1"/>
  <c r="K563" i="1"/>
  <c r="N563" i="1"/>
  <c r="AJ563" i="1"/>
  <c r="K564" i="1"/>
  <c r="N564" i="1"/>
  <c r="AJ564" i="1"/>
  <c r="K565" i="1"/>
  <c r="N565" i="1"/>
  <c r="AJ565" i="1"/>
  <c r="K566" i="1"/>
  <c r="N566" i="1"/>
  <c r="AJ566" i="1"/>
  <c r="K435" i="1"/>
  <c r="N435" i="1"/>
  <c r="AJ435" i="1"/>
  <c r="K436" i="1"/>
  <c r="N436" i="1"/>
  <c r="AJ436" i="1"/>
  <c r="K437" i="1"/>
  <c r="N437" i="1"/>
  <c r="AJ437" i="1"/>
  <c r="K438" i="1"/>
  <c r="N438" i="1"/>
  <c r="AJ438" i="1"/>
  <c r="K439" i="1"/>
  <c r="N439" i="1"/>
  <c r="AJ439" i="1"/>
  <c r="K440" i="1"/>
  <c r="N440" i="1"/>
  <c r="AJ440" i="1"/>
  <c r="K441" i="1"/>
  <c r="N441" i="1"/>
  <c r="AJ441" i="1"/>
  <c r="K442" i="1"/>
  <c r="N442" i="1"/>
  <c r="AJ442" i="1"/>
  <c r="K443" i="1"/>
  <c r="N443" i="1"/>
  <c r="AJ443" i="1"/>
  <c r="K444" i="1"/>
  <c r="N444" i="1"/>
  <c r="AJ444" i="1"/>
  <c r="K445" i="1"/>
  <c r="N445" i="1"/>
  <c r="AJ445" i="1"/>
  <c r="K446" i="1"/>
  <c r="N446" i="1"/>
  <c r="AJ446" i="1"/>
  <c r="K447" i="1"/>
  <c r="N447" i="1"/>
  <c r="AJ447" i="1"/>
  <c r="K448" i="1"/>
  <c r="N448" i="1"/>
  <c r="AJ448" i="1"/>
  <c r="K449" i="1"/>
  <c r="N449" i="1"/>
  <c r="AJ449" i="1"/>
  <c r="K450" i="1"/>
  <c r="N450" i="1"/>
  <c r="AJ450" i="1"/>
  <c r="K451" i="1"/>
  <c r="N451" i="1"/>
  <c r="AJ451" i="1"/>
  <c r="K452" i="1"/>
  <c r="N452" i="1"/>
  <c r="AJ452" i="1"/>
  <c r="K453" i="1"/>
  <c r="N453" i="1"/>
  <c r="AJ453" i="1"/>
  <c r="K454" i="1"/>
  <c r="N454" i="1"/>
  <c r="AJ454" i="1"/>
  <c r="K455" i="1"/>
  <c r="N455" i="1"/>
  <c r="AJ455" i="1"/>
  <c r="K456" i="1"/>
  <c r="N456" i="1"/>
  <c r="AJ456" i="1"/>
  <c r="K457" i="1"/>
  <c r="N457" i="1"/>
  <c r="AJ457" i="1"/>
  <c r="K458" i="1"/>
  <c r="N458" i="1"/>
  <c r="AJ458" i="1"/>
  <c r="K459" i="1"/>
  <c r="N459" i="1"/>
  <c r="AJ459" i="1"/>
  <c r="K460" i="1"/>
  <c r="N460" i="1"/>
  <c r="AJ460" i="1"/>
  <c r="K461" i="1"/>
  <c r="N461" i="1"/>
  <c r="AJ461" i="1"/>
  <c r="K462" i="1"/>
  <c r="N462" i="1"/>
  <c r="AJ462" i="1"/>
  <c r="K463" i="1"/>
  <c r="N463" i="1"/>
  <c r="AJ463" i="1"/>
  <c r="K464" i="1"/>
  <c r="N464" i="1"/>
  <c r="AJ464" i="1"/>
  <c r="K465" i="1"/>
  <c r="N465" i="1"/>
  <c r="AJ465" i="1"/>
  <c r="K466" i="1"/>
  <c r="N466" i="1"/>
  <c r="AJ466" i="1"/>
  <c r="K467" i="1"/>
  <c r="N467" i="1"/>
  <c r="AJ467" i="1"/>
  <c r="K468" i="1"/>
  <c r="N468" i="1"/>
  <c r="AJ468" i="1"/>
  <c r="K469" i="1"/>
  <c r="N469" i="1"/>
  <c r="AJ469" i="1"/>
  <c r="K470" i="1"/>
  <c r="N470" i="1"/>
  <c r="AJ470" i="1"/>
  <c r="K483" i="1"/>
  <c r="N483" i="1"/>
  <c r="AJ483" i="1"/>
  <c r="K484" i="1"/>
  <c r="N484" i="1"/>
  <c r="AJ484" i="1"/>
  <c r="K485" i="1"/>
  <c r="N485" i="1"/>
  <c r="AJ485" i="1"/>
  <c r="K486" i="1"/>
  <c r="N486" i="1"/>
  <c r="AJ486" i="1"/>
  <c r="K487" i="1"/>
  <c r="N487" i="1"/>
  <c r="AJ487" i="1"/>
  <c r="K488" i="1"/>
  <c r="N488" i="1"/>
  <c r="AJ488" i="1"/>
  <c r="K489" i="1"/>
  <c r="N489" i="1"/>
  <c r="AJ489" i="1"/>
  <c r="K490" i="1"/>
  <c r="N490" i="1"/>
  <c r="AJ490" i="1"/>
  <c r="K491" i="1"/>
  <c r="N491" i="1"/>
  <c r="AJ491" i="1"/>
  <c r="K492" i="1"/>
  <c r="N492" i="1"/>
  <c r="AJ492" i="1"/>
  <c r="K493" i="1"/>
  <c r="N493" i="1"/>
  <c r="AJ493" i="1"/>
  <c r="K494" i="1"/>
  <c r="N494" i="1"/>
  <c r="AJ494" i="1"/>
  <c r="K471" i="1"/>
  <c r="N471" i="1"/>
  <c r="AJ471" i="1"/>
  <c r="K472" i="1"/>
  <c r="N472" i="1"/>
  <c r="AJ472" i="1"/>
  <c r="K473" i="1"/>
  <c r="N473" i="1"/>
  <c r="AJ473" i="1"/>
  <c r="K474" i="1"/>
  <c r="N474" i="1"/>
  <c r="AJ474" i="1"/>
  <c r="K475" i="1"/>
  <c r="N475" i="1"/>
  <c r="AJ475" i="1"/>
  <c r="K476" i="1"/>
  <c r="N476" i="1"/>
  <c r="AJ476" i="1"/>
  <c r="K477" i="1"/>
  <c r="N477" i="1"/>
  <c r="AJ477" i="1"/>
  <c r="K478" i="1"/>
  <c r="N478" i="1"/>
  <c r="AJ478" i="1"/>
  <c r="K479" i="1"/>
  <c r="N479" i="1"/>
  <c r="AJ479" i="1"/>
  <c r="K480" i="1"/>
  <c r="N480" i="1"/>
  <c r="AJ480" i="1"/>
  <c r="K481" i="1"/>
  <c r="N481" i="1"/>
  <c r="AJ481" i="1"/>
  <c r="K482" i="1"/>
  <c r="N482" i="1"/>
  <c r="AJ482" i="1"/>
  <c r="K495" i="1"/>
  <c r="N495" i="1"/>
  <c r="AJ495" i="1"/>
  <c r="K496" i="1"/>
  <c r="N496" i="1"/>
  <c r="AJ496" i="1"/>
  <c r="K497" i="1"/>
  <c r="N497" i="1"/>
  <c r="AJ497" i="1"/>
  <c r="K498" i="1"/>
  <c r="N498" i="1"/>
  <c r="AJ498" i="1"/>
  <c r="K499" i="1"/>
  <c r="N499" i="1"/>
  <c r="AJ499" i="1"/>
  <c r="K500" i="1"/>
  <c r="N500" i="1"/>
  <c r="AJ500" i="1"/>
  <c r="K501" i="1"/>
  <c r="N501" i="1"/>
  <c r="AJ501" i="1"/>
  <c r="K502" i="1"/>
  <c r="N502" i="1"/>
  <c r="AJ502" i="1"/>
  <c r="K503" i="1"/>
  <c r="N503" i="1"/>
  <c r="AJ503" i="1"/>
  <c r="K504" i="1"/>
  <c r="N504" i="1"/>
  <c r="AJ504" i="1"/>
  <c r="K505" i="1"/>
  <c r="N505" i="1"/>
  <c r="AJ505" i="1"/>
  <c r="K506" i="1"/>
  <c r="N506" i="1"/>
  <c r="AJ506" i="1"/>
  <c r="K507" i="1"/>
  <c r="N507" i="1"/>
  <c r="AJ507" i="1"/>
  <c r="K508" i="1"/>
  <c r="N508" i="1"/>
  <c r="AJ508" i="1"/>
  <c r="K509" i="1"/>
  <c r="N509" i="1"/>
  <c r="AJ509" i="1"/>
  <c r="K510" i="1"/>
  <c r="N510" i="1"/>
  <c r="AJ510" i="1"/>
  <c r="K511" i="1"/>
  <c r="N511" i="1"/>
  <c r="AJ511" i="1"/>
  <c r="K512" i="1"/>
  <c r="N512" i="1"/>
  <c r="AJ512" i="1"/>
  <c r="K513" i="1"/>
  <c r="N513" i="1"/>
  <c r="AJ513" i="1"/>
  <c r="K514" i="1"/>
  <c r="N514" i="1"/>
  <c r="AJ514" i="1"/>
  <c r="K515" i="1"/>
  <c r="N515" i="1"/>
  <c r="AJ515" i="1"/>
  <c r="K516" i="1"/>
  <c r="N516" i="1"/>
  <c r="AJ516" i="1"/>
  <c r="K517" i="1"/>
  <c r="N517" i="1"/>
  <c r="AJ517" i="1"/>
  <c r="K518" i="1"/>
  <c r="N518" i="1"/>
  <c r="AJ518" i="1"/>
  <c r="K531" i="1"/>
  <c r="N531" i="1"/>
  <c r="AJ531" i="1"/>
  <c r="K532" i="1"/>
  <c r="N532" i="1"/>
  <c r="AJ532" i="1"/>
  <c r="K533" i="1"/>
  <c r="N533" i="1"/>
  <c r="AJ533" i="1"/>
  <c r="K534" i="1"/>
  <c r="N534" i="1"/>
  <c r="AJ534" i="1"/>
  <c r="K535" i="1"/>
  <c r="N535" i="1"/>
  <c r="AJ535" i="1"/>
  <c r="K536" i="1"/>
  <c r="N536" i="1"/>
  <c r="AJ536" i="1"/>
  <c r="K537" i="1"/>
  <c r="N537" i="1"/>
  <c r="AJ537" i="1"/>
  <c r="K538" i="1"/>
  <c r="N538" i="1"/>
  <c r="AJ538" i="1"/>
  <c r="K539" i="1"/>
  <c r="N539" i="1"/>
  <c r="AJ539" i="1"/>
  <c r="K540" i="1"/>
  <c r="N540" i="1"/>
  <c r="AJ540" i="1"/>
  <c r="K541" i="1"/>
  <c r="N541" i="1"/>
  <c r="AJ541" i="1"/>
  <c r="K542" i="1"/>
  <c r="N542" i="1"/>
  <c r="AJ542" i="1"/>
  <c r="K567" i="1"/>
  <c r="N567" i="1"/>
  <c r="AJ567" i="1"/>
  <c r="K568" i="1"/>
  <c r="N568" i="1"/>
  <c r="AJ568" i="1"/>
  <c r="K569" i="1"/>
  <c r="N569" i="1"/>
  <c r="AJ569" i="1"/>
  <c r="K570" i="1"/>
  <c r="N570" i="1"/>
  <c r="AJ570" i="1"/>
  <c r="K571" i="1"/>
  <c r="N571" i="1"/>
  <c r="AJ571" i="1"/>
  <c r="K572" i="1"/>
  <c r="N572" i="1"/>
  <c r="AJ572" i="1"/>
  <c r="K573" i="1"/>
  <c r="N573" i="1"/>
  <c r="AJ573" i="1"/>
  <c r="K574" i="1"/>
  <c r="N574" i="1"/>
  <c r="AJ574" i="1"/>
  <c r="K575" i="1"/>
  <c r="N575" i="1"/>
  <c r="AJ575" i="1"/>
  <c r="K576" i="1"/>
  <c r="N576" i="1"/>
  <c r="AJ576" i="1"/>
  <c r="K577" i="1"/>
  <c r="N577" i="1"/>
  <c r="AJ577" i="1"/>
  <c r="K578" i="1"/>
  <c r="N578" i="1"/>
  <c r="AJ578" i="1"/>
  <c r="K579" i="1"/>
  <c r="N579" i="1"/>
  <c r="AJ579" i="1"/>
  <c r="K580" i="1"/>
  <c r="N580" i="1"/>
  <c r="AJ580" i="1"/>
  <c r="K581" i="1"/>
  <c r="N581" i="1"/>
  <c r="AJ581" i="1"/>
  <c r="K582" i="1"/>
  <c r="N582" i="1"/>
  <c r="AJ582" i="1"/>
  <c r="K583" i="1"/>
  <c r="N583" i="1"/>
  <c r="AJ583" i="1"/>
  <c r="K584" i="1"/>
  <c r="N584" i="1"/>
  <c r="AJ584" i="1"/>
  <c r="K585" i="1"/>
  <c r="N585" i="1"/>
  <c r="AJ585" i="1"/>
  <c r="K586" i="1"/>
  <c r="N586" i="1"/>
  <c r="AJ586" i="1"/>
  <c r="K587" i="1"/>
  <c r="N587" i="1"/>
  <c r="AJ587" i="1"/>
  <c r="K588" i="1"/>
  <c r="N588" i="1"/>
  <c r="AJ588" i="1"/>
  <c r="K589" i="1"/>
  <c r="N589" i="1"/>
  <c r="AJ589" i="1"/>
  <c r="K590" i="1"/>
  <c r="N590" i="1"/>
  <c r="AJ590" i="1"/>
  <c r="K591" i="1"/>
  <c r="N591" i="1"/>
  <c r="AJ591" i="1"/>
  <c r="K592" i="1"/>
  <c r="N592" i="1"/>
  <c r="AJ592" i="1"/>
  <c r="K593" i="1"/>
  <c r="N593" i="1"/>
  <c r="AJ593" i="1"/>
  <c r="K594" i="1"/>
  <c r="N594" i="1"/>
  <c r="AJ594" i="1"/>
  <c r="K595" i="1"/>
  <c r="N595" i="1"/>
  <c r="AJ595" i="1"/>
  <c r="K596" i="1"/>
  <c r="N596" i="1"/>
  <c r="AJ596" i="1"/>
  <c r="K597" i="1"/>
  <c r="N597" i="1"/>
  <c r="AJ597" i="1"/>
  <c r="K598" i="1"/>
  <c r="N598" i="1"/>
  <c r="AJ598" i="1"/>
  <c r="K599" i="1"/>
  <c r="N599" i="1"/>
  <c r="AJ599" i="1"/>
  <c r="K600" i="1"/>
  <c r="N600" i="1"/>
  <c r="AJ600" i="1"/>
  <c r="K601" i="1"/>
  <c r="N601" i="1"/>
  <c r="AJ601" i="1"/>
  <c r="K602" i="1"/>
  <c r="N602" i="1"/>
  <c r="AJ602" i="1"/>
  <c r="K603" i="1"/>
  <c r="N603" i="1"/>
  <c r="AJ603" i="1"/>
  <c r="K604" i="1"/>
  <c r="N604" i="1"/>
  <c r="AJ604" i="1"/>
  <c r="K605" i="1"/>
  <c r="N605" i="1"/>
  <c r="AJ605" i="1"/>
  <c r="K606" i="1"/>
  <c r="N606" i="1"/>
  <c r="AJ606" i="1"/>
  <c r="K607" i="1"/>
  <c r="N607" i="1"/>
  <c r="AJ607" i="1"/>
  <c r="K608" i="1"/>
  <c r="N608" i="1"/>
  <c r="AJ608" i="1"/>
  <c r="K609" i="1"/>
  <c r="N609" i="1"/>
  <c r="AJ609" i="1"/>
  <c r="K610" i="1"/>
  <c r="N610" i="1"/>
  <c r="AJ610" i="1"/>
  <c r="K611" i="1"/>
  <c r="N611" i="1"/>
  <c r="AJ611" i="1"/>
  <c r="K612" i="1"/>
  <c r="N612" i="1"/>
  <c r="AJ612" i="1"/>
  <c r="K613" i="1"/>
  <c r="N613" i="1"/>
  <c r="AJ613" i="1"/>
  <c r="K614" i="1"/>
  <c r="N614" i="1"/>
  <c r="AJ614" i="1"/>
  <c r="K615" i="1"/>
  <c r="N615" i="1"/>
  <c r="AJ615" i="1"/>
  <c r="K616" i="1"/>
  <c r="N616" i="1"/>
  <c r="AJ616" i="1"/>
  <c r="K617" i="1"/>
  <c r="N617" i="1"/>
  <c r="AJ617" i="1"/>
  <c r="K618" i="1"/>
  <c r="N618" i="1"/>
  <c r="AJ618" i="1"/>
  <c r="K619" i="1"/>
  <c r="N619" i="1"/>
  <c r="AJ619" i="1"/>
  <c r="K620" i="1"/>
  <c r="N620" i="1"/>
  <c r="AJ620" i="1"/>
  <c r="K621" i="1"/>
  <c r="N621" i="1"/>
  <c r="AJ621" i="1"/>
  <c r="K622" i="1"/>
  <c r="N622" i="1"/>
  <c r="AJ622" i="1"/>
  <c r="K623" i="1"/>
  <c r="N623" i="1"/>
  <c r="AJ623" i="1"/>
  <c r="K624" i="1"/>
  <c r="N624" i="1"/>
  <c r="AJ624" i="1"/>
  <c r="K625" i="1"/>
  <c r="N625" i="1"/>
  <c r="AJ625" i="1"/>
  <c r="K626" i="1"/>
  <c r="N626" i="1"/>
  <c r="AJ626" i="1"/>
  <c r="K627" i="1"/>
  <c r="N627" i="1"/>
  <c r="AJ627" i="1"/>
  <c r="K628" i="1"/>
  <c r="N628" i="1"/>
  <c r="AJ628" i="1"/>
  <c r="K629" i="1"/>
  <c r="N629" i="1"/>
  <c r="AJ629" i="1"/>
  <c r="K630" i="1"/>
  <c r="N630" i="1"/>
  <c r="AJ630" i="1"/>
  <c r="K631" i="1"/>
  <c r="N631" i="1"/>
  <c r="AJ631" i="1"/>
  <c r="K632" i="1"/>
  <c r="N632" i="1"/>
  <c r="AJ632" i="1"/>
  <c r="K633" i="1"/>
  <c r="N633" i="1"/>
  <c r="AJ633" i="1"/>
  <c r="K634" i="1"/>
  <c r="N634" i="1"/>
  <c r="AJ634" i="1"/>
  <c r="K635" i="1"/>
  <c r="N635" i="1"/>
  <c r="AJ635" i="1"/>
  <c r="K636" i="1"/>
  <c r="N636" i="1"/>
  <c r="AJ636" i="1"/>
  <c r="K637" i="1"/>
  <c r="N637" i="1"/>
  <c r="AJ637" i="1"/>
  <c r="K638" i="1"/>
  <c r="N638" i="1"/>
  <c r="AJ638" i="1"/>
  <c r="K639" i="1"/>
  <c r="N639" i="1"/>
  <c r="AJ639" i="1"/>
  <c r="K640" i="1"/>
  <c r="N640" i="1"/>
  <c r="AJ640" i="1"/>
  <c r="K641" i="1"/>
  <c r="N641" i="1"/>
  <c r="AJ641" i="1"/>
  <c r="K642" i="1"/>
  <c r="N642" i="1"/>
  <c r="AJ642" i="1"/>
  <c r="K643" i="1"/>
  <c r="N643" i="1"/>
  <c r="AJ643" i="1"/>
  <c r="K644" i="1"/>
  <c r="N644" i="1"/>
  <c r="AJ644" i="1"/>
  <c r="K645" i="1"/>
  <c r="N645" i="1"/>
  <c r="AJ645" i="1"/>
  <c r="K646" i="1"/>
  <c r="N646" i="1"/>
  <c r="AJ646" i="1"/>
  <c r="K647" i="1"/>
  <c r="N647" i="1"/>
  <c r="AJ647" i="1"/>
  <c r="K648" i="1"/>
  <c r="N648" i="1"/>
  <c r="AJ648" i="1"/>
  <c r="K649" i="1"/>
  <c r="N649" i="1"/>
  <c r="AJ649" i="1"/>
  <c r="K650" i="1"/>
  <c r="N650" i="1"/>
  <c r="AJ650" i="1"/>
  <c r="K651" i="1"/>
  <c r="N651" i="1"/>
  <c r="AJ651" i="1"/>
  <c r="K652" i="1"/>
  <c r="N652" i="1"/>
  <c r="AJ652" i="1"/>
  <c r="K653" i="1"/>
  <c r="N653" i="1"/>
  <c r="AJ653" i="1"/>
  <c r="K654" i="1"/>
  <c r="N654" i="1"/>
  <c r="AJ654" i="1"/>
  <c r="K655" i="1"/>
  <c r="N655" i="1"/>
  <c r="AJ655" i="1"/>
  <c r="K656" i="1"/>
  <c r="N656" i="1"/>
  <c r="AJ656" i="1"/>
  <c r="K657" i="1"/>
  <c r="N657" i="1"/>
  <c r="AJ657" i="1"/>
  <c r="K658" i="1"/>
  <c r="N658" i="1"/>
  <c r="AJ658" i="1"/>
  <c r="K659" i="1"/>
  <c r="N659" i="1"/>
  <c r="AJ659" i="1"/>
  <c r="K660" i="1"/>
  <c r="N660" i="1"/>
  <c r="AJ660" i="1"/>
  <c r="K661" i="1"/>
  <c r="N661" i="1"/>
  <c r="AJ661" i="1"/>
  <c r="K662" i="1"/>
  <c r="N662" i="1"/>
  <c r="AJ662" i="1"/>
  <c r="K663" i="1"/>
  <c r="N663" i="1"/>
  <c r="AJ663" i="1"/>
  <c r="K664" i="1"/>
  <c r="N664" i="1"/>
  <c r="AJ664" i="1"/>
  <c r="K665" i="1"/>
  <c r="N665" i="1"/>
  <c r="AJ665" i="1"/>
  <c r="K666" i="1"/>
  <c r="N666" i="1"/>
  <c r="AJ666" i="1"/>
  <c r="K667" i="1"/>
  <c r="N667" i="1"/>
  <c r="AJ667" i="1"/>
  <c r="K668" i="1"/>
  <c r="N668" i="1"/>
  <c r="AJ668" i="1"/>
  <c r="K669" i="1"/>
  <c r="N669" i="1"/>
  <c r="AJ669" i="1"/>
  <c r="K670" i="1"/>
  <c r="N670" i="1"/>
  <c r="AJ670" i="1"/>
  <c r="K671" i="1"/>
  <c r="N671" i="1"/>
  <c r="AJ671" i="1"/>
  <c r="K672" i="1"/>
  <c r="N672" i="1"/>
  <c r="AJ672" i="1"/>
  <c r="K673" i="1"/>
  <c r="N673" i="1"/>
  <c r="AJ673" i="1"/>
  <c r="K674" i="1"/>
  <c r="N674" i="1"/>
  <c r="AJ674" i="1"/>
  <c r="K675" i="1"/>
  <c r="N675" i="1"/>
  <c r="AJ675" i="1"/>
  <c r="K676" i="1"/>
  <c r="N676" i="1"/>
  <c r="AJ676" i="1"/>
  <c r="K677" i="1"/>
  <c r="N677" i="1"/>
  <c r="AJ677" i="1"/>
  <c r="K678" i="1"/>
  <c r="N678" i="1"/>
  <c r="AJ678" i="1"/>
  <c r="K679" i="1"/>
  <c r="N679" i="1"/>
  <c r="AJ679" i="1"/>
  <c r="K680" i="1"/>
  <c r="N680" i="1"/>
  <c r="AJ680" i="1"/>
  <c r="K681" i="1"/>
  <c r="N681" i="1"/>
  <c r="AJ681" i="1"/>
  <c r="K682" i="1"/>
  <c r="N682" i="1"/>
  <c r="AJ682" i="1"/>
  <c r="K683" i="1"/>
  <c r="N683" i="1"/>
  <c r="AJ683" i="1"/>
  <c r="K684" i="1"/>
  <c r="N684" i="1"/>
  <c r="AJ684" i="1"/>
  <c r="K685" i="1"/>
  <c r="N685" i="1"/>
  <c r="AJ685" i="1"/>
  <c r="K686" i="1"/>
  <c r="N686" i="1"/>
  <c r="AJ686" i="1"/>
  <c r="K687" i="1"/>
  <c r="N687" i="1"/>
  <c r="AJ687" i="1"/>
  <c r="K688" i="1"/>
  <c r="N688" i="1"/>
  <c r="AJ688" i="1"/>
  <c r="K689" i="1"/>
  <c r="N689" i="1"/>
  <c r="AJ689" i="1"/>
  <c r="K690" i="1"/>
  <c r="N690" i="1"/>
  <c r="AJ690" i="1"/>
  <c r="K691" i="1"/>
  <c r="N691" i="1"/>
  <c r="AJ691" i="1"/>
  <c r="K692" i="1"/>
  <c r="N692" i="1"/>
  <c r="AJ692" i="1"/>
  <c r="K693" i="1"/>
  <c r="N693" i="1"/>
  <c r="AJ693" i="1"/>
  <c r="K694" i="1"/>
  <c r="N694" i="1"/>
  <c r="AJ694" i="1"/>
  <c r="K695" i="1"/>
  <c r="N695" i="1"/>
  <c r="AJ695" i="1"/>
  <c r="K696" i="1"/>
  <c r="N696" i="1"/>
  <c r="AJ696" i="1"/>
  <c r="K697" i="1"/>
  <c r="N697" i="1"/>
  <c r="AJ697" i="1"/>
  <c r="K698" i="1"/>
  <c r="N698" i="1"/>
  <c r="AJ698" i="1"/>
  <c r="K699" i="1"/>
  <c r="N699" i="1"/>
  <c r="AJ699" i="1"/>
  <c r="K700" i="1"/>
  <c r="N700" i="1"/>
  <c r="AJ700" i="1"/>
  <c r="K701" i="1"/>
  <c r="N701" i="1"/>
  <c r="AJ701" i="1"/>
  <c r="K702" i="1"/>
  <c r="N702" i="1"/>
  <c r="AJ702" i="1"/>
  <c r="K703" i="1"/>
  <c r="N703" i="1"/>
  <c r="AJ703" i="1"/>
  <c r="K704" i="1"/>
  <c r="N704" i="1"/>
  <c r="AJ704" i="1"/>
  <c r="K705" i="1"/>
  <c r="N705" i="1"/>
  <c r="AJ705" i="1"/>
  <c r="K706" i="1"/>
  <c r="N706" i="1"/>
  <c r="AJ706" i="1"/>
  <c r="K707" i="1"/>
  <c r="N707" i="1"/>
  <c r="AJ707" i="1"/>
  <c r="K708" i="1"/>
  <c r="N708" i="1"/>
  <c r="AJ708" i="1"/>
  <c r="K709" i="1"/>
  <c r="N709" i="1"/>
  <c r="AJ709" i="1"/>
  <c r="K710" i="1"/>
  <c r="N710" i="1"/>
  <c r="AJ710" i="1"/>
  <c r="K711" i="1"/>
  <c r="N711" i="1"/>
  <c r="AJ711" i="1"/>
  <c r="K712" i="1"/>
  <c r="N712" i="1"/>
  <c r="AJ712" i="1"/>
  <c r="K713" i="1"/>
  <c r="N713" i="1"/>
  <c r="AJ713" i="1"/>
  <c r="K714" i="1"/>
  <c r="N714" i="1"/>
  <c r="AJ714" i="1"/>
  <c r="K715" i="1"/>
  <c r="N715" i="1"/>
  <c r="AJ715" i="1"/>
  <c r="K716" i="1"/>
  <c r="N716" i="1"/>
  <c r="AJ716" i="1"/>
  <c r="K717" i="1"/>
  <c r="N717" i="1"/>
  <c r="AJ717" i="1"/>
  <c r="K718" i="1"/>
  <c r="N718" i="1"/>
  <c r="AJ718" i="1"/>
  <c r="K719" i="1"/>
  <c r="N719" i="1"/>
  <c r="AJ719" i="1"/>
  <c r="K720" i="1"/>
  <c r="N720" i="1"/>
  <c r="AJ720" i="1"/>
  <c r="K721" i="1"/>
  <c r="N721" i="1"/>
  <c r="AJ721" i="1"/>
  <c r="K722" i="1"/>
  <c r="N722" i="1"/>
  <c r="AJ722" i="1"/>
  <c r="K723" i="1"/>
  <c r="N723" i="1"/>
  <c r="AJ723" i="1"/>
  <c r="K724" i="1"/>
  <c r="N724" i="1"/>
  <c r="AJ724" i="1"/>
  <c r="K725" i="1"/>
  <c r="N725" i="1"/>
  <c r="AJ725" i="1"/>
  <c r="K726" i="1"/>
  <c r="N726" i="1"/>
  <c r="AJ726" i="1"/>
  <c r="K727" i="1"/>
  <c r="N727" i="1"/>
  <c r="AJ727" i="1"/>
  <c r="K728" i="1"/>
  <c r="N728" i="1"/>
  <c r="AJ728" i="1"/>
  <c r="K729" i="1"/>
  <c r="N729" i="1"/>
  <c r="AJ729" i="1"/>
  <c r="K730" i="1"/>
  <c r="N730" i="1"/>
  <c r="AJ730" i="1"/>
  <c r="K731" i="1"/>
  <c r="N731" i="1"/>
  <c r="AJ731" i="1"/>
  <c r="K732" i="1"/>
  <c r="N732" i="1"/>
  <c r="AJ732" i="1"/>
  <c r="K733" i="1"/>
  <c r="N733" i="1"/>
  <c r="AJ733" i="1"/>
  <c r="K734" i="1"/>
  <c r="N734" i="1"/>
  <c r="AJ734" i="1"/>
  <c r="K735" i="1"/>
  <c r="N735" i="1"/>
  <c r="AJ735" i="1"/>
  <c r="K736" i="1"/>
  <c r="N736" i="1"/>
  <c r="AJ736" i="1"/>
  <c r="K737" i="1"/>
  <c r="N737" i="1"/>
  <c r="AJ737" i="1"/>
  <c r="K738" i="1"/>
  <c r="N738" i="1"/>
  <c r="AJ738" i="1"/>
  <c r="K739" i="1"/>
  <c r="N739" i="1"/>
  <c r="AJ739" i="1"/>
  <c r="K740" i="1"/>
  <c r="N740" i="1"/>
  <c r="AJ740" i="1"/>
  <c r="K741" i="1"/>
  <c r="N741" i="1"/>
  <c r="AJ741" i="1"/>
  <c r="K742" i="1"/>
  <c r="N742" i="1"/>
  <c r="AJ742" i="1"/>
  <c r="K743" i="1"/>
  <c r="N743" i="1"/>
  <c r="AJ743" i="1"/>
  <c r="K744" i="1"/>
  <c r="N744" i="1"/>
  <c r="AJ744" i="1"/>
  <c r="K745" i="1"/>
  <c r="N745" i="1"/>
  <c r="AJ745" i="1"/>
  <c r="K746" i="1"/>
  <c r="N746" i="1"/>
  <c r="AJ746" i="1"/>
  <c r="K747" i="1"/>
  <c r="N747" i="1"/>
  <c r="AJ747" i="1"/>
  <c r="K748" i="1"/>
  <c r="N748" i="1"/>
  <c r="AJ748" i="1"/>
  <c r="K749" i="1"/>
  <c r="N749" i="1"/>
  <c r="AJ749" i="1"/>
  <c r="K750" i="1"/>
  <c r="N750" i="1"/>
  <c r="AJ750" i="1"/>
  <c r="K751" i="1"/>
  <c r="N751" i="1"/>
  <c r="AJ751" i="1"/>
  <c r="K752" i="1"/>
  <c r="N752" i="1"/>
  <c r="AJ752" i="1"/>
  <c r="K753" i="1"/>
  <c r="N753" i="1"/>
  <c r="AJ753" i="1"/>
  <c r="K754" i="1"/>
  <c r="N754" i="1"/>
  <c r="AJ754" i="1"/>
  <c r="K755" i="1"/>
  <c r="N755" i="1"/>
  <c r="AJ755" i="1"/>
  <c r="K756" i="1"/>
  <c r="N756" i="1"/>
  <c r="AJ756" i="1"/>
  <c r="K757" i="1"/>
  <c r="N757" i="1"/>
  <c r="AJ757" i="1"/>
  <c r="K758" i="1"/>
  <c r="N758" i="1"/>
  <c r="AJ758" i="1"/>
  <c r="K759" i="1"/>
  <c r="N759" i="1"/>
  <c r="AJ759" i="1"/>
  <c r="K760" i="1"/>
  <c r="N760" i="1"/>
  <c r="AJ760" i="1"/>
  <c r="K761" i="1"/>
  <c r="N761" i="1"/>
  <c r="AJ761" i="1"/>
  <c r="K762" i="1"/>
  <c r="N762" i="1"/>
  <c r="AJ762" i="1"/>
  <c r="K763" i="1"/>
  <c r="N763" i="1"/>
  <c r="AJ763" i="1"/>
  <c r="K764" i="1"/>
  <c r="N764" i="1"/>
  <c r="AJ764" i="1"/>
  <c r="K765" i="1"/>
  <c r="N765" i="1"/>
  <c r="AJ765" i="1"/>
  <c r="K766" i="1"/>
  <c r="N766" i="1"/>
  <c r="AJ766" i="1"/>
  <c r="K767" i="1"/>
  <c r="N767" i="1"/>
  <c r="AJ767" i="1"/>
  <c r="K768" i="1"/>
  <c r="N768" i="1"/>
  <c r="AJ768" i="1"/>
  <c r="K769" i="1"/>
  <c r="N769" i="1"/>
  <c r="AJ769" i="1"/>
  <c r="K770" i="1"/>
  <c r="N770" i="1"/>
  <c r="AJ770" i="1"/>
  <c r="K771" i="1"/>
  <c r="N771" i="1"/>
  <c r="AJ771" i="1"/>
  <c r="K772" i="1"/>
  <c r="N772" i="1"/>
  <c r="AJ772" i="1"/>
  <c r="K773" i="1"/>
  <c r="N773" i="1"/>
  <c r="AJ773" i="1"/>
  <c r="K774" i="1"/>
  <c r="N774" i="1"/>
  <c r="AJ774" i="1"/>
  <c r="K775" i="1"/>
  <c r="N775" i="1"/>
  <c r="AJ775" i="1"/>
  <c r="K776" i="1"/>
  <c r="N776" i="1"/>
  <c r="AJ776" i="1"/>
  <c r="K777" i="1"/>
  <c r="N777" i="1"/>
  <c r="AJ777" i="1"/>
  <c r="K778" i="1"/>
  <c r="N778" i="1"/>
  <c r="AJ778" i="1"/>
  <c r="K779" i="1"/>
  <c r="N779" i="1"/>
  <c r="AJ779" i="1"/>
  <c r="K780" i="1"/>
  <c r="N780" i="1"/>
  <c r="AJ780" i="1"/>
  <c r="K781" i="1"/>
  <c r="N781" i="1"/>
  <c r="AJ781" i="1"/>
  <c r="K782" i="1"/>
  <c r="N782" i="1"/>
  <c r="AJ782" i="1"/>
  <c r="K783" i="1"/>
  <c r="N783" i="1"/>
  <c r="AJ783" i="1"/>
  <c r="K784" i="1"/>
  <c r="N784" i="1"/>
  <c r="AJ784" i="1"/>
  <c r="K785" i="1"/>
  <c r="N785" i="1"/>
  <c r="AJ785" i="1"/>
  <c r="K786" i="1"/>
  <c r="N786" i="1"/>
  <c r="AJ786" i="1"/>
  <c r="K787" i="1"/>
  <c r="N787" i="1"/>
  <c r="AJ787" i="1"/>
  <c r="K788" i="1"/>
  <c r="N788" i="1"/>
  <c r="AJ788" i="1"/>
  <c r="K789" i="1"/>
  <c r="N789" i="1"/>
  <c r="AJ789" i="1"/>
  <c r="K790" i="1"/>
  <c r="N790" i="1"/>
  <c r="AJ790" i="1"/>
  <c r="K791" i="1"/>
  <c r="N791" i="1"/>
  <c r="AJ791" i="1"/>
  <c r="K792" i="1"/>
  <c r="N792" i="1"/>
  <c r="AJ792" i="1"/>
  <c r="K793" i="1"/>
  <c r="N793" i="1"/>
  <c r="AJ793" i="1"/>
  <c r="K794" i="1"/>
  <c r="N794" i="1"/>
  <c r="AJ794" i="1"/>
  <c r="K795" i="1"/>
  <c r="N795" i="1"/>
  <c r="AJ795" i="1"/>
  <c r="K796" i="1"/>
  <c r="N796" i="1"/>
  <c r="AJ796" i="1"/>
  <c r="K797" i="1"/>
  <c r="N797" i="1"/>
  <c r="AJ797" i="1"/>
  <c r="K798" i="1"/>
  <c r="N798" i="1"/>
  <c r="AJ798" i="1"/>
  <c r="K799" i="1"/>
  <c r="N799" i="1"/>
  <c r="AJ799" i="1"/>
  <c r="K800" i="1"/>
  <c r="N800" i="1"/>
  <c r="AJ800" i="1"/>
  <c r="K801" i="1"/>
  <c r="N801" i="1"/>
  <c r="AJ801" i="1"/>
  <c r="K802" i="1"/>
  <c r="N802" i="1"/>
  <c r="AJ802" i="1"/>
  <c r="K803" i="1"/>
  <c r="N803" i="1"/>
  <c r="AJ803" i="1"/>
  <c r="K804" i="1"/>
  <c r="N804" i="1"/>
  <c r="AJ804" i="1"/>
  <c r="K805" i="1"/>
  <c r="N805" i="1"/>
  <c r="AJ805" i="1"/>
  <c r="K806" i="1"/>
  <c r="N806" i="1"/>
  <c r="AJ806" i="1"/>
  <c r="K807" i="1"/>
  <c r="N807" i="1"/>
  <c r="AJ807" i="1"/>
  <c r="K808" i="1"/>
  <c r="N808" i="1"/>
  <c r="AJ808" i="1"/>
  <c r="K809" i="1"/>
  <c r="N809" i="1"/>
  <c r="AJ809" i="1"/>
  <c r="K810" i="1"/>
  <c r="N810" i="1"/>
  <c r="AJ810" i="1"/>
  <c r="K811" i="1"/>
  <c r="N811" i="1"/>
  <c r="AJ811" i="1"/>
  <c r="K812" i="1"/>
  <c r="N812" i="1"/>
  <c r="AJ812" i="1"/>
  <c r="K813" i="1"/>
  <c r="N813" i="1"/>
  <c r="AJ813" i="1"/>
  <c r="K814" i="1"/>
  <c r="N814" i="1"/>
  <c r="AJ814" i="1"/>
  <c r="K815" i="1"/>
  <c r="N815" i="1"/>
  <c r="AJ815" i="1"/>
  <c r="K816" i="1"/>
  <c r="N816" i="1"/>
  <c r="AJ816" i="1"/>
  <c r="K817" i="1"/>
  <c r="N817" i="1"/>
  <c r="AJ817" i="1"/>
  <c r="K818" i="1"/>
  <c r="N818" i="1"/>
  <c r="AJ818" i="1"/>
  <c r="K819" i="1"/>
  <c r="N819" i="1"/>
  <c r="AJ819" i="1"/>
  <c r="K820" i="1"/>
  <c r="N820" i="1"/>
  <c r="AJ820" i="1"/>
  <c r="K821" i="1"/>
  <c r="N821" i="1"/>
  <c r="AJ821" i="1"/>
  <c r="K822" i="1"/>
  <c r="N822" i="1"/>
  <c r="AJ822" i="1"/>
  <c r="K823" i="1"/>
  <c r="N823" i="1"/>
  <c r="AJ823" i="1"/>
  <c r="K824" i="1"/>
  <c r="N824" i="1"/>
  <c r="AJ824" i="1"/>
  <c r="K825" i="1"/>
  <c r="N825" i="1"/>
  <c r="AJ825" i="1"/>
  <c r="K826" i="1"/>
  <c r="N826" i="1"/>
  <c r="AJ826" i="1"/>
  <c r="K827" i="1"/>
  <c r="N827" i="1"/>
  <c r="AJ827" i="1"/>
  <c r="K828" i="1"/>
  <c r="N828" i="1"/>
  <c r="AJ828" i="1"/>
  <c r="K829" i="1"/>
  <c r="N829" i="1"/>
  <c r="AJ829" i="1"/>
  <c r="K830" i="1"/>
  <c r="N830" i="1"/>
  <c r="AJ830" i="1"/>
  <c r="K831" i="1"/>
  <c r="N831" i="1"/>
  <c r="AJ831" i="1"/>
  <c r="K832" i="1"/>
  <c r="N832" i="1"/>
  <c r="AJ832" i="1"/>
  <c r="K833" i="1"/>
  <c r="N833" i="1"/>
  <c r="AJ833" i="1"/>
  <c r="K834" i="1"/>
  <c r="N834" i="1"/>
  <c r="AJ834" i="1"/>
  <c r="K835" i="1"/>
  <c r="N835" i="1"/>
  <c r="AJ835" i="1"/>
  <c r="K836" i="1"/>
  <c r="N836" i="1"/>
  <c r="AJ836" i="1"/>
  <c r="K837" i="1"/>
  <c r="N837" i="1"/>
  <c r="AJ837" i="1"/>
  <c r="K838" i="1"/>
  <c r="N838" i="1"/>
  <c r="AJ838" i="1"/>
  <c r="K839" i="1"/>
  <c r="N839" i="1"/>
  <c r="AJ839" i="1"/>
  <c r="K840" i="1"/>
  <c r="N840" i="1"/>
  <c r="AJ840" i="1"/>
  <c r="K841" i="1"/>
  <c r="N841" i="1"/>
  <c r="AJ841" i="1"/>
  <c r="K842" i="1"/>
  <c r="N842" i="1"/>
  <c r="AJ842" i="1"/>
  <c r="K843" i="1"/>
  <c r="N843" i="1"/>
  <c r="AJ843" i="1"/>
  <c r="K844" i="1"/>
  <c r="N844" i="1"/>
  <c r="AJ844" i="1"/>
  <c r="K845" i="1"/>
  <c r="N845" i="1"/>
  <c r="AJ845" i="1"/>
  <c r="K846" i="1"/>
  <c r="N846" i="1"/>
  <c r="AJ846" i="1"/>
  <c r="K847" i="1"/>
  <c r="N847" i="1"/>
  <c r="AJ847" i="1"/>
  <c r="K848" i="1"/>
  <c r="N848" i="1"/>
  <c r="AJ848" i="1"/>
  <c r="K849" i="1"/>
  <c r="N849" i="1"/>
  <c r="AJ849" i="1"/>
  <c r="K850" i="1"/>
  <c r="N850" i="1"/>
  <c r="AJ850" i="1"/>
  <c r="K851" i="1"/>
  <c r="N851" i="1"/>
  <c r="AJ851" i="1"/>
  <c r="K852" i="1"/>
  <c r="N852" i="1"/>
  <c r="AJ852" i="1"/>
  <c r="K853" i="1"/>
  <c r="N853" i="1"/>
  <c r="AJ853" i="1"/>
  <c r="K854" i="1"/>
  <c r="N854" i="1"/>
  <c r="AJ854" i="1"/>
  <c r="K855" i="1"/>
  <c r="N855" i="1"/>
  <c r="AJ855" i="1"/>
  <c r="K856" i="1"/>
  <c r="N856" i="1"/>
  <c r="AJ856" i="1"/>
  <c r="K857" i="1"/>
  <c r="N857" i="1"/>
  <c r="AJ857" i="1"/>
  <c r="K858" i="1"/>
  <c r="N858" i="1"/>
  <c r="AJ858" i="1"/>
  <c r="K859" i="1"/>
  <c r="N859" i="1"/>
  <c r="AJ859" i="1"/>
  <c r="K860" i="1"/>
  <c r="N860" i="1"/>
  <c r="AJ860" i="1"/>
  <c r="K861" i="1"/>
  <c r="N861" i="1"/>
  <c r="AJ861" i="1"/>
  <c r="K862" i="1"/>
  <c r="N862" i="1"/>
  <c r="AJ862" i="1"/>
  <c r="K863" i="1"/>
  <c r="N863" i="1"/>
  <c r="AJ863" i="1"/>
  <c r="K864" i="1"/>
  <c r="N864" i="1"/>
  <c r="AJ864" i="1"/>
  <c r="K865" i="1"/>
  <c r="N865" i="1"/>
  <c r="AJ865" i="1"/>
  <c r="K866" i="1"/>
  <c r="N866" i="1"/>
  <c r="AJ866" i="1"/>
  <c r="K867" i="1"/>
  <c r="N867" i="1"/>
  <c r="AJ867" i="1"/>
  <c r="K868" i="1"/>
  <c r="N868" i="1"/>
  <c r="AJ868" i="1"/>
  <c r="K869" i="1"/>
  <c r="N869" i="1"/>
  <c r="AJ869" i="1"/>
  <c r="K870" i="1"/>
  <c r="N870" i="1"/>
  <c r="AJ870" i="1"/>
  <c r="K871" i="1"/>
  <c r="N871" i="1"/>
  <c r="AJ871" i="1"/>
  <c r="K872" i="1"/>
  <c r="N872" i="1"/>
  <c r="AJ872" i="1"/>
  <c r="K873" i="1"/>
  <c r="N873" i="1"/>
  <c r="AJ873" i="1"/>
  <c r="K874" i="1"/>
  <c r="N874" i="1"/>
  <c r="AJ874" i="1"/>
  <c r="K875" i="1"/>
  <c r="N875" i="1"/>
  <c r="AJ875" i="1"/>
  <c r="K876" i="1"/>
  <c r="N876" i="1"/>
  <c r="AJ876" i="1"/>
  <c r="K877" i="1"/>
  <c r="N877" i="1"/>
  <c r="AJ877" i="1"/>
  <c r="K878" i="1"/>
  <c r="N878" i="1"/>
  <c r="AJ878" i="1"/>
  <c r="K879" i="1"/>
  <c r="N879" i="1"/>
  <c r="AJ879" i="1"/>
  <c r="K880" i="1"/>
  <c r="N880" i="1"/>
  <c r="AJ880" i="1"/>
  <c r="K881" i="1"/>
  <c r="N881" i="1"/>
  <c r="AJ881" i="1"/>
  <c r="K882" i="1"/>
  <c r="N882" i="1"/>
  <c r="AJ882" i="1"/>
  <c r="K883" i="1"/>
  <c r="N883" i="1"/>
  <c r="AJ883" i="1"/>
  <c r="K884" i="1"/>
  <c r="N884" i="1"/>
  <c r="AJ884" i="1"/>
  <c r="K885" i="1"/>
  <c r="N885" i="1"/>
  <c r="AJ885" i="1"/>
  <c r="K886" i="1"/>
  <c r="N886" i="1"/>
  <c r="AJ886" i="1"/>
  <c r="K887" i="1"/>
  <c r="N887" i="1"/>
  <c r="AJ887" i="1"/>
  <c r="K888" i="1"/>
  <c r="N888" i="1"/>
  <c r="AJ888" i="1"/>
  <c r="K889" i="1"/>
  <c r="N889" i="1"/>
  <c r="AJ889" i="1"/>
  <c r="K890" i="1"/>
  <c r="N890" i="1"/>
  <c r="AJ890" i="1"/>
  <c r="K891" i="1"/>
  <c r="N891" i="1"/>
  <c r="AJ891" i="1"/>
  <c r="K892" i="1"/>
  <c r="N892" i="1"/>
  <c r="AJ892" i="1"/>
  <c r="K893" i="1"/>
  <c r="N893" i="1"/>
  <c r="AJ893" i="1"/>
  <c r="K894" i="1"/>
  <c r="N894" i="1"/>
  <c r="AJ894" i="1"/>
  <c r="K895" i="1"/>
  <c r="N895" i="1"/>
  <c r="AJ895" i="1"/>
  <c r="K896" i="1"/>
  <c r="N896" i="1"/>
  <c r="AJ896" i="1"/>
  <c r="K897" i="1"/>
  <c r="N897" i="1"/>
  <c r="AJ897" i="1"/>
  <c r="K898" i="1"/>
  <c r="N898" i="1"/>
  <c r="AJ898" i="1"/>
  <c r="K899" i="1"/>
  <c r="N899" i="1"/>
  <c r="AJ899" i="1"/>
  <c r="K900" i="1"/>
  <c r="N900" i="1"/>
  <c r="AJ900" i="1"/>
  <c r="K901" i="1"/>
  <c r="N901" i="1"/>
  <c r="AJ901" i="1"/>
  <c r="K902" i="1"/>
  <c r="N902" i="1"/>
  <c r="AJ902" i="1"/>
  <c r="K903" i="1"/>
  <c r="N903" i="1"/>
  <c r="AJ903" i="1"/>
  <c r="K904" i="1"/>
  <c r="N904" i="1"/>
  <c r="AJ904" i="1"/>
  <c r="K905" i="1"/>
  <c r="N905" i="1"/>
  <c r="AJ905" i="1"/>
  <c r="K906" i="1"/>
  <c r="N906" i="1"/>
  <c r="AJ906" i="1"/>
  <c r="K907" i="1"/>
  <c r="N907" i="1"/>
  <c r="AJ907" i="1"/>
  <c r="K908" i="1"/>
  <c r="N908" i="1"/>
  <c r="AJ908" i="1"/>
  <c r="K909" i="1"/>
  <c r="N909" i="1"/>
  <c r="AJ909" i="1"/>
  <c r="K910" i="1"/>
  <c r="N910" i="1"/>
  <c r="AJ910" i="1"/>
  <c r="K911" i="1"/>
  <c r="N911" i="1"/>
  <c r="AJ911" i="1"/>
  <c r="K912" i="1"/>
  <c r="N912" i="1"/>
  <c r="AJ912" i="1"/>
  <c r="K913" i="1"/>
  <c r="N913" i="1"/>
  <c r="AJ913" i="1"/>
  <c r="K914" i="1"/>
  <c r="N914" i="1"/>
  <c r="AJ914" i="1"/>
  <c r="K915" i="1"/>
  <c r="N915" i="1"/>
  <c r="AJ915" i="1"/>
  <c r="K916" i="1"/>
  <c r="N916" i="1"/>
  <c r="AJ916" i="1"/>
  <c r="K917" i="1"/>
  <c r="N917" i="1"/>
  <c r="AJ917" i="1"/>
  <c r="K918" i="1"/>
  <c r="N918" i="1"/>
  <c r="AJ918" i="1"/>
  <c r="K919" i="1"/>
  <c r="N919" i="1"/>
  <c r="AJ919" i="1"/>
  <c r="K920" i="1"/>
  <c r="N920" i="1"/>
  <c r="AJ920" i="1"/>
  <c r="K921" i="1"/>
  <c r="N921" i="1"/>
  <c r="AJ921" i="1"/>
  <c r="K922" i="1"/>
  <c r="N922" i="1"/>
  <c r="AJ922" i="1"/>
  <c r="K923" i="1"/>
  <c r="N923" i="1"/>
  <c r="AJ923" i="1"/>
  <c r="K924" i="1"/>
  <c r="N924" i="1"/>
  <c r="AJ924" i="1"/>
  <c r="K925" i="1"/>
  <c r="N925" i="1"/>
  <c r="AJ925" i="1"/>
  <c r="K926" i="1"/>
  <c r="N926" i="1"/>
  <c r="AJ926" i="1"/>
  <c r="K927" i="1"/>
  <c r="N927" i="1"/>
  <c r="AJ927" i="1"/>
  <c r="K928" i="1"/>
  <c r="N928" i="1"/>
  <c r="AJ928" i="1"/>
  <c r="K929" i="1"/>
  <c r="N929" i="1"/>
  <c r="AJ929" i="1"/>
  <c r="K930" i="1"/>
  <c r="N930" i="1"/>
  <c r="AJ930" i="1"/>
  <c r="K931" i="1"/>
  <c r="N931" i="1"/>
  <c r="AJ931" i="1"/>
  <c r="K932" i="1"/>
  <c r="N932" i="1"/>
  <c r="AJ932" i="1"/>
  <c r="K933" i="1"/>
  <c r="N933" i="1"/>
  <c r="AJ933" i="1"/>
  <c r="K934" i="1"/>
  <c r="N934" i="1"/>
  <c r="AJ934" i="1"/>
  <c r="K935" i="1"/>
  <c r="N935" i="1"/>
  <c r="AJ935" i="1"/>
  <c r="K936" i="1"/>
  <c r="N936" i="1"/>
  <c r="AJ936" i="1"/>
  <c r="K937" i="1"/>
  <c r="N937" i="1"/>
  <c r="AJ937" i="1"/>
  <c r="K938" i="1"/>
  <c r="N938" i="1"/>
  <c r="AJ938" i="1"/>
  <c r="K939" i="1"/>
  <c r="N939" i="1"/>
  <c r="AJ939" i="1"/>
  <c r="K940" i="1"/>
  <c r="N940" i="1"/>
  <c r="AJ940" i="1"/>
  <c r="K941" i="1"/>
  <c r="N941" i="1"/>
  <c r="AJ941" i="1"/>
  <c r="K942" i="1"/>
  <c r="N942" i="1"/>
  <c r="AJ942" i="1"/>
  <c r="K943" i="1"/>
  <c r="N943" i="1"/>
  <c r="AJ943" i="1"/>
  <c r="K944" i="1"/>
  <c r="N944" i="1"/>
  <c r="AJ944" i="1"/>
  <c r="K945" i="1"/>
  <c r="N945" i="1"/>
  <c r="AJ945" i="1"/>
  <c r="K946" i="1"/>
  <c r="N946" i="1"/>
  <c r="AJ946" i="1"/>
  <c r="K947" i="1"/>
  <c r="N947" i="1"/>
  <c r="AJ947" i="1"/>
  <c r="K948" i="1"/>
  <c r="N948" i="1"/>
  <c r="AJ948" i="1"/>
  <c r="K949" i="1"/>
  <c r="N949" i="1"/>
  <c r="AJ949" i="1"/>
  <c r="K950" i="1"/>
  <c r="N950" i="1"/>
  <c r="AJ950" i="1"/>
  <c r="K951" i="1"/>
  <c r="N951" i="1"/>
  <c r="AJ951" i="1"/>
  <c r="K952" i="1"/>
  <c r="N952" i="1"/>
  <c r="AJ952" i="1"/>
  <c r="K953" i="1"/>
  <c r="N953" i="1"/>
  <c r="AJ953" i="1"/>
  <c r="K954" i="1"/>
  <c r="N954" i="1"/>
  <c r="AJ954" i="1"/>
  <c r="K955" i="1"/>
  <c r="N955" i="1"/>
  <c r="AJ955" i="1"/>
  <c r="K956" i="1"/>
  <c r="N956" i="1"/>
  <c r="AJ956" i="1"/>
  <c r="K957" i="1"/>
  <c r="N957" i="1"/>
  <c r="AJ957" i="1"/>
  <c r="K958" i="1"/>
  <c r="N958" i="1"/>
  <c r="AJ958" i="1"/>
  <c r="K959" i="1"/>
  <c r="N959" i="1"/>
  <c r="AJ959" i="1"/>
  <c r="K960" i="1"/>
  <c r="N960" i="1"/>
  <c r="AJ960" i="1"/>
  <c r="K961" i="1"/>
  <c r="N961" i="1"/>
  <c r="AJ961" i="1"/>
  <c r="K962" i="1"/>
  <c r="N962" i="1"/>
  <c r="AJ962" i="1"/>
  <c r="K963" i="1"/>
  <c r="N963" i="1"/>
  <c r="AJ963" i="1"/>
  <c r="K964" i="1"/>
  <c r="N964" i="1"/>
  <c r="AJ964" i="1"/>
  <c r="K965" i="1"/>
  <c r="N965" i="1"/>
  <c r="AJ965" i="1"/>
  <c r="K966" i="1"/>
  <c r="N966" i="1"/>
  <c r="AJ966" i="1"/>
  <c r="K967" i="1"/>
  <c r="N967" i="1"/>
  <c r="AJ967" i="1"/>
  <c r="K968" i="1"/>
  <c r="N968" i="1"/>
  <c r="AJ968" i="1"/>
  <c r="K969" i="1"/>
  <c r="N969" i="1"/>
  <c r="AJ969" i="1"/>
  <c r="K970" i="1"/>
  <c r="N970" i="1"/>
  <c r="AJ970" i="1"/>
  <c r="K971" i="1"/>
  <c r="N971" i="1"/>
  <c r="AJ971" i="1"/>
  <c r="K972" i="1"/>
  <c r="N972" i="1"/>
  <c r="AJ972" i="1"/>
  <c r="K973" i="1"/>
  <c r="N973" i="1"/>
  <c r="AJ973" i="1"/>
  <c r="K974" i="1"/>
  <c r="N974" i="1"/>
  <c r="AJ974" i="1"/>
  <c r="K975" i="1"/>
  <c r="N975" i="1"/>
  <c r="AJ975" i="1"/>
  <c r="K976" i="1"/>
  <c r="N976" i="1"/>
  <c r="AJ976" i="1"/>
  <c r="K977" i="1"/>
  <c r="N977" i="1"/>
  <c r="AJ977" i="1"/>
  <c r="K978" i="1"/>
  <c r="N978" i="1"/>
  <c r="AJ978" i="1"/>
  <c r="K979" i="1"/>
  <c r="N979" i="1"/>
  <c r="AJ979" i="1"/>
  <c r="K980" i="1"/>
  <c r="N980" i="1"/>
  <c r="AJ980" i="1"/>
  <c r="K981" i="1"/>
  <c r="N981" i="1"/>
  <c r="AJ981" i="1"/>
  <c r="K982" i="1"/>
  <c r="N982" i="1"/>
  <c r="AJ982" i="1"/>
  <c r="K983" i="1"/>
  <c r="N983" i="1"/>
  <c r="AJ983" i="1"/>
  <c r="K984" i="1"/>
  <c r="N984" i="1"/>
  <c r="AJ984" i="1"/>
  <c r="K985" i="1"/>
  <c r="N985" i="1"/>
  <c r="AJ985" i="1"/>
  <c r="K986" i="1"/>
  <c r="N986" i="1"/>
  <c r="AJ986" i="1"/>
  <c r="K987" i="1"/>
  <c r="N987" i="1"/>
  <c r="AJ987" i="1"/>
  <c r="K988" i="1"/>
  <c r="N988" i="1"/>
  <c r="AJ988" i="1"/>
  <c r="K989" i="1"/>
  <c r="N989" i="1"/>
  <c r="AJ989" i="1"/>
  <c r="K990" i="1"/>
  <c r="N990" i="1"/>
  <c r="AJ990" i="1"/>
  <c r="K991" i="1"/>
  <c r="N991" i="1"/>
  <c r="AJ991" i="1"/>
  <c r="K992" i="1"/>
  <c r="N992" i="1"/>
  <c r="AJ992" i="1"/>
  <c r="K993" i="1"/>
  <c r="N993" i="1"/>
  <c r="AJ993" i="1"/>
  <c r="K994" i="1"/>
  <c r="N994" i="1"/>
  <c r="AJ994" i="1"/>
  <c r="K995" i="1"/>
  <c r="N995" i="1"/>
  <c r="AJ995" i="1"/>
  <c r="K996" i="1"/>
  <c r="N996" i="1"/>
  <c r="AJ996" i="1"/>
  <c r="K997" i="1"/>
  <c r="N997" i="1"/>
  <c r="AJ997" i="1"/>
  <c r="K998" i="1"/>
  <c r="N998" i="1"/>
  <c r="AJ998" i="1"/>
  <c r="K999" i="1"/>
  <c r="N999" i="1"/>
  <c r="AJ999" i="1"/>
  <c r="K1000" i="1"/>
  <c r="N1000" i="1"/>
  <c r="AJ1000" i="1"/>
  <c r="K1001" i="1"/>
  <c r="N1001" i="1"/>
  <c r="AJ1001" i="1"/>
  <c r="K1002" i="1"/>
  <c r="N1002" i="1"/>
  <c r="AJ1002" i="1"/>
  <c r="K1003" i="1"/>
  <c r="N1003" i="1"/>
  <c r="AJ1003" i="1"/>
  <c r="K1004" i="1"/>
  <c r="N1004" i="1"/>
  <c r="AJ1004" i="1"/>
  <c r="K1005" i="1"/>
  <c r="N1005" i="1"/>
  <c r="AJ1005" i="1"/>
  <c r="K1006" i="1"/>
  <c r="N1006" i="1"/>
  <c r="AJ1006" i="1"/>
  <c r="K1007" i="1"/>
  <c r="N1007" i="1"/>
  <c r="AJ1007" i="1"/>
  <c r="K1008" i="1"/>
  <c r="N1008" i="1"/>
  <c r="AJ1008" i="1"/>
  <c r="K1009" i="1"/>
  <c r="N1009" i="1"/>
  <c r="AJ1009" i="1"/>
  <c r="K1010" i="1"/>
  <c r="N1010" i="1"/>
  <c r="AJ1010" i="1"/>
  <c r="K1011" i="1"/>
  <c r="N1011" i="1"/>
  <c r="AJ1011" i="1"/>
  <c r="K1012" i="1"/>
  <c r="N1012" i="1"/>
  <c r="AJ1012" i="1"/>
  <c r="K1013" i="1"/>
  <c r="N1013" i="1"/>
  <c r="AJ1013" i="1"/>
  <c r="K1014" i="1"/>
  <c r="N1014" i="1"/>
  <c r="AJ1014" i="1"/>
  <c r="K1015" i="1"/>
  <c r="N1015" i="1"/>
  <c r="AJ1015" i="1"/>
  <c r="K1016" i="1"/>
  <c r="N1016" i="1"/>
  <c r="AJ1016" i="1"/>
  <c r="K1017" i="1"/>
  <c r="N1017" i="1"/>
  <c r="AJ1017" i="1"/>
  <c r="K1018" i="1"/>
  <c r="N1018" i="1"/>
  <c r="AJ1018" i="1"/>
  <c r="K1019" i="1"/>
  <c r="N1019" i="1"/>
  <c r="AJ1019" i="1"/>
  <c r="K1020" i="1"/>
  <c r="N1020" i="1"/>
  <c r="AJ1020" i="1"/>
  <c r="K1021" i="1"/>
  <c r="N1021" i="1"/>
  <c r="AJ1021" i="1"/>
  <c r="K1022" i="1"/>
  <c r="N1022" i="1"/>
  <c r="AJ1022" i="1"/>
  <c r="K1023" i="1"/>
  <c r="N1023" i="1"/>
  <c r="AJ1023" i="1"/>
  <c r="K1024" i="1"/>
  <c r="N1024" i="1"/>
  <c r="AJ1024" i="1"/>
  <c r="K1025" i="1"/>
  <c r="N1025" i="1"/>
  <c r="AJ1025" i="1"/>
  <c r="K1026" i="1"/>
  <c r="N1026" i="1"/>
  <c r="AJ1026" i="1"/>
  <c r="K1027" i="1"/>
  <c r="N1027" i="1"/>
  <c r="AJ1027" i="1"/>
  <c r="K1028" i="1"/>
  <c r="N1028" i="1"/>
  <c r="AJ1028" i="1"/>
  <c r="K1029" i="1"/>
  <c r="N1029" i="1"/>
  <c r="AJ1029" i="1"/>
  <c r="K1030" i="1"/>
  <c r="N1030" i="1"/>
  <c r="AJ1030" i="1"/>
  <c r="K1031" i="1"/>
  <c r="N1031" i="1"/>
  <c r="AJ1031" i="1"/>
  <c r="K1032" i="1"/>
  <c r="N1032" i="1"/>
  <c r="AJ1032" i="1"/>
  <c r="K1033" i="1"/>
  <c r="N1033" i="1"/>
  <c r="AJ1033" i="1"/>
  <c r="K1034" i="1"/>
  <c r="N1034" i="1"/>
  <c r="AJ1034" i="1"/>
  <c r="K1035" i="1"/>
  <c r="N1035" i="1"/>
  <c r="AJ1035" i="1"/>
  <c r="K1036" i="1"/>
  <c r="N1036" i="1"/>
  <c r="AJ1036" i="1"/>
  <c r="K1037" i="1"/>
  <c r="N1037" i="1"/>
  <c r="AJ1037" i="1"/>
  <c r="K1038" i="1"/>
  <c r="N1038" i="1"/>
  <c r="AJ1038" i="1"/>
  <c r="K1039" i="1"/>
  <c r="N1039" i="1"/>
  <c r="AJ1039" i="1"/>
  <c r="K1040" i="1"/>
  <c r="N1040" i="1"/>
  <c r="AJ1040" i="1"/>
  <c r="K1041" i="1"/>
  <c r="N1041" i="1"/>
  <c r="AJ1041" i="1"/>
  <c r="K1042" i="1"/>
  <c r="N1042" i="1"/>
  <c r="AJ1042" i="1"/>
  <c r="K1043" i="1"/>
  <c r="N1043" i="1"/>
  <c r="AJ1043" i="1"/>
  <c r="K1044" i="1"/>
  <c r="N1044" i="1"/>
  <c r="AJ1044" i="1"/>
  <c r="K1045" i="1"/>
  <c r="N1045" i="1"/>
  <c r="AJ1045" i="1"/>
  <c r="K1046" i="1"/>
  <c r="N1046" i="1"/>
  <c r="AJ1046" i="1"/>
  <c r="K1047" i="1"/>
  <c r="N1047" i="1"/>
  <c r="AJ1047" i="1"/>
  <c r="K1048" i="1"/>
  <c r="N1048" i="1"/>
  <c r="AJ1048" i="1"/>
  <c r="K1049" i="1"/>
  <c r="N1049" i="1"/>
  <c r="AJ1049" i="1"/>
  <c r="K1050" i="1"/>
  <c r="N1050" i="1"/>
  <c r="AJ1050" i="1"/>
  <c r="K1051" i="1"/>
  <c r="N1051" i="1"/>
  <c r="AJ1051" i="1"/>
  <c r="K1052" i="1"/>
  <c r="N1052" i="1"/>
  <c r="AJ1052" i="1"/>
  <c r="K1053" i="1"/>
  <c r="N1053" i="1"/>
  <c r="AJ1053" i="1"/>
  <c r="K1054" i="1"/>
  <c r="N1054" i="1"/>
  <c r="AJ1054" i="1"/>
  <c r="K1055" i="1"/>
  <c r="N1055" i="1"/>
  <c r="AJ1055" i="1"/>
  <c r="K1056" i="1"/>
  <c r="N1056" i="1"/>
  <c r="AJ1056" i="1"/>
  <c r="K1057" i="1"/>
  <c r="N1057" i="1"/>
  <c r="AJ1057" i="1"/>
  <c r="K1058" i="1"/>
  <c r="N1058" i="1"/>
  <c r="AJ1058" i="1"/>
  <c r="K1059" i="1"/>
  <c r="N1059" i="1"/>
  <c r="AJ1059" i="1"/>
  <c r="K1060" i="1"/>
  <c r="N1060" i="1"/>
  <c r="AJ1060" i="1"/>
  <c r="K1061" i="1"/>
  <c r="N1061" i="1"/>
  <c r="AJ1061" i="1"/>
  <c r="K1062" i="1"/>
  <c r="N1062" i="1"/>
  <c r="AJ1062" i="1"/>
  <c r="K1063" i="1"/>
  <c r="N1063" i="1"/>
  <c r="AJ1063" i="1"/>
  <c r="K1064" i="1"/>
  <c r="N1064" i="1"/>
  <c r="AJ1064" i="1"/>
  <c r="K1065" i="1"/>
  <c r="N1065" i="1"/>
  <c r="AJ1065" i="1"/>
  <c r="K1066" i="1"/>
  <c r="N1066" i="1"/>
  <c r="AJ1066" i="1"/>
  <c r="K1067" i="1"/>
  <c r="N1067" i="1"/>
  <c r="AJ1067" i="1"/>
  <c r="K1068" i="1"/>
  <c r="N1068" i="1"/>
  <c r="AJ1068" i="1"/>
  <c r="K1069" i="1"/>
  <c r="N1069" i="1"/>
  <c r="AJ1069" i="1"/>
  <c r="K1070" i="1"/>
  <c r="N1070" i="1"/>
  <c r="AJ1070" i="1"/>
  <c r="K1071" i="1"/>
  <c r="N1071" i="1"/>
  <c r="AJ1071" i="1"/>
  <c r="K1072" i="1"/>
  <c r="N1072" i="1"/>
  <c r="AJ1072" i="1"/>
  <c r="K1073" i="1"/>
  <c r="N1073" i="1"/>
  <c r="AJ1073" i="1"/>
  <c r="K1074" i="1"/>
  <c r="N1074" i="1"/>
  <c r="AJ1074" i="1"/>
  <c r="K1075" i="1"/>
  <c r="N1075" i="1"/>
  <c r="AJ1075" i="1"/>
  <c r="K1076" i="1"/>
  <c r="N1076" i="1"/>
  <c r="AJ1076" i="1"/>
  <c r="K1077" i="1"/>
  <c r="N1077" i="1"/>
  <c r="AJ1077" i="1"/>
  <c r="K1078" i="1"/>
  <c r="N1078" i="1"/>
  <c r="AJ1078" i="1"/>
  <c r="K1079" i="1"/>
  <c r="N1079" i="1"/>
  <c r="AJ1079" i="1"/>
  <c r="K1080" i="1"/>
  <c r="N1080" i="1"/>
  <c r="AJ1080" i="1"/>
  <c r="K1081" i="1"/>
  <c r="N1081" i="1"/>
  <c r="AJ1081" i="1"/>
  <c r="K1082" i="1"/>
  <c r="N1082" i="1"/>
  <c r="AJ1082" i="1"/>
  <c r="K1083" i="1"/>
  <c r="N1083" i="1"/>
  <c r="AJ1083" i="1"/>
  <c r="K1084" i="1"/>
  <c r="N1084" i="1"/>
  <c r="AJ1084" i="1"/>
  <c r="K1085" i="1"/>
  <c r="N1085" i="1"/>
  <c r="AJ1085" i="1"/>
  <c r="K1086" i="1"/>
  <c r="N1086" i="1"/>
  <c r="AJ1086" i="1"/>
  <c r="K1087" i="1"/>
  <c r="N1087" i="1"/>
  <c r="AJ1087" i="1"/>
  <c r="K1088" i="1"/>
  <c r="N1088" i="1"/>
  <c r="AJ1088" i="1"/>
  <c r="K1089" i="1"/>
  <c r="N1089" i="1"/>
  <c r="AJ1089" i="1"/>
  <c r="K1090" i="1"/>
  <c r="N1090" i="1"/>
  <c r="AJ1090" i="1"/>
  <c r="K1091" i="1"/>
  <c r="N1091" i="1"/>
  <c r="AJ1091" i="1"/>
  <c r="K1092" i="1"/>
  <c r="N1092" i="1"/>
  <c r="AJ1092" i="1"/>
  <c r="K1093" i="1"/>
  <c r="N1093" i="1"/>
  <c r="AJ1093" i="1"/>
  <c r="K1094" i="1"/>
  <c r="N1094" i="1"/>
  <c r="AJ1094" i="1"/>
  <c r="K1095" i="1"/>
  <c r="N1095" i="1"/>
  <c r="AJ1095" i="1"/>
  <c r="K1096" i="1"/>
  <c r="N1096" i="1"/>
  <c r="AJ1096" i="1"/>
  <c r="K1097" i="1"/>
  <c r="N1097" i="1"/>
  <c r="AJ1097" i="1"/>
  <c r="K1098" i="1"/>
  <c r="N1098" i="1"/>
  <c r="AJ1098" i="1"/>
  <c r="K1099" i="1"/>
  <c r="N1099" i="1"/>
  <c r="AJ1099" i="1"/>
  <c r="K1100" i="1"/>
  <c r="N1100" i="1"/>
  <c r="AJ1100" i="1"/>
  <c r="K1101" i="1"/>
  <c r="N1101" i="1"/>
  <c r="AJ1101" i="1"/>
  <c r="K1102" i="1"/>
  <c r="N1102" i="1"/>
  <c r="AJ1102" i="1"/>
  <c r="K1103" i="1"/>
  <c r="N1103" i="1"/>
  <c r="AJ1103" i="1"/>
  <c r="K1104" i="1"/>
  <c r="N1104" i="1"/>
  <c r="AJ1104" i="1"/>
  <c r="K1105" i="1"/>
  <c r="N1105" i="1"/>
  <c r="AJ1105" i="1"/>
  <c r="K1106" i="1"/>
  <c r="N1106" i="1"/>
  <c r="AJ1106" i="1"/>
  <c r="K1107" i="1"/>
  <c r="N1107" i="1"/>
  <c r="AJ1107" i="1"/>
  <c r="K1108" i="1"/>
  <c r="N1108" i="1"/>
  <c r="AJ1108" i="1"/>
  <c r="K1109" i="1"/>
  <c r="N1109" i="1"/>
  <c r="AJ1109" i="1"/>
  <c r="K1110" i="1"/>
  <c r="N1110" i="1"/>
  <c r="AJ1110" i="1"/>
  <c r="K1111" i="1"/>
  <c r="N1111" i="1"/>
  <c r="AJ1111" i="1"/>
  <c r="K1112" i="1"/>
  <c r="N1112" i="1"/>
  <c r="AJ1112" i="1"/>
  <c r="K1113" i="1"/>
  <c r="N1113" i="1"/>
  <c r="AJ1113" i="1"/>
  <c r="K1114" i="1"/>
  <c r="N1114" i="1"/>
  <c r="AJ1114" i="1"/>
  <c r="K1115" i="1"/>
  <c r="N1115" i="1"/>
  <c r="AJ1115" i="1"/>
  <c r="K1116" i="1"/>
  <c r="N1116" i="1"/>
  <c r="AJ1116" i="1"/>
  <c r="K1117" i="1"/>
  <c r="N1117" i="1"/>
  <c r="AJ1117" i="1"/>
  <c r="K1118" i="1"/>
  <c r="N1118" i="1"/>
  <c r="AJ1118" i="1"/>
  <c r="K1119" i="1"/>
  <c r="N1119" i="1"/>
  <c r="AJ1119" i="1"/>
  <c r="K1120" i="1"/>
  <c r="N1120" i="1"/>
  <c r="AJ1120" i="1"/>
  <c r="K1121" i="1"/>
  <c r="N1121" i="1"/>
  <c r="AJ1121" i="1"/>
  <c r="K1122" i="1"/>
  <c r="N1122" i="1"/>
  <c r="AJ1122" i="1"/>
  <c r="K1123" i="1"/>
  <c r="N1123" i="1"/>
  <c r="AJ1123" i="1"/>
  <c r="K1124" i="1"/>
  <c r="N1124" i="1"/>
  <c r="AJ1124" i="1"/>
  <c r="K1125" i="1"/>
  <c r="N1125" i="1"/>
  <c r="AJ1125" i="1"/>
  <c r="K1126" i="1"/>
  <c r="N1126" i="1"/>
  <c r="AJ1126" i="1"/>
  <c r="K1127" i="1"/>
  <c r="N1127" i="1"/>
  <c r="AJ1127" i="1"/>
  <c r="K1128" i="1"/>
  <c r="N1128" i="1"/>
  <c r="AJ1128" i="1"/>
  <c r="K1129" i="1"/>
  <c r="N1129" i="1"/>
  <c r="AJ1129" i="1"/>
  <c r="K1130" i="1"/>
  <c r="N1130" i="1"/>
  <c r="AJ1130" i="1"/>
  <c r="K1131" i="1"/>
  <c r="N1131" i="1"/>
  <c r="AJ1131" i="1"/>
  <c r="K1132" i="1"/>
  <c r="N1132" i="1"/>
  <c r="AJ1132" i="1"/>
  <c r="K1133" i="1"/>
  <c r="N1133" i="1"/>
  <c r="AJ1133" i="1"/>
  <c r="K1134" i="1"/>
  <c r="N1134" i="1"/>
  <c r="AJ1134" i="1"/>
  <c r="K1135" i="1"/>
  <c r="N1135" i="1"/>
  <c r="AJ1135" i="1"/>
  <c r="K1136" i="1"/>
  <c r="N1136" i="1"/>
  <c r="AJ1136" i="1"/>
  <c r="K1137" i="1"/>
  <c r="N1137" i="1"/>
  <c r="AJ1137" i="1"/>
  <c r="K1138" i="1"/>
  <c r="N1138" i="1"/>
  <c r="AJ1138" i="1"/>
  <c r="K1139" i="1"/>
  <c r="N1139" i="1"/>
  <c r="AJ1139" i="1"/>
  <c r="K1140" i="1"/>
  <c r="N1140" i="1"/>
  <c r="AJ1140" i="1"/>
  <c r="K1141" i="1"/>
  <c r="N1141" i="1"/>
  <c r="AJ1141" i="1"/>
  <c r="K1142" i="1"/>
  <c r="N1142" i="1"/>
  <c r="AJ1142" i="1"/>
  <c r="K1143" i="1"/>
  <c r="N1143" i="1"/>
  <c r="AJ1143" i="1"/>
  <c r="K1144" i="1"/>
  <c r="N1144" i="1"/>
  <c r="AJ1144" i="1"/>
  <c r="K1145" i="1"/>
  <c r="N1145" i="1"/>
  <c r="AJ1145" i="1"/>
  <c r="K1146" i="1"/>
  <c r="N1146" i="1"/>
  <c r="AJ1146" i="1"/>
  <c r="K1147" i="1"/>
  <c r="N1147" i="1"/>
  <c r="AJ1147" i="1"/>
  <c r="K1148" i="1"/>
  <c r="N1148" i="1"/>
  <c r="AJ1148" i="1"/>
  <c r="K1149" i="1"/>
  <c r="N1149" i="1"/>
  <c r="AJ1149" i="1"/>
  <c r="K1150" i="1"/>
  <c r="N1150" i="1"/>
  <c r="AJ1150" i="1"/>
  <c r="K1151" i="1"/>
  <c r="N1151" i="1"/>
  <c r="AJ1151" i="1"/>
  <c r="K1152" i="1"/>
  <c r="N1152" i="1"/>
  <c r="AJ1152" i="1"/>
  <c r="K1153" i="1"/>
  <c r="N1153" i="1"/>
  <c r="AJ1153" i="1"/>
  <c r="K1154" i="1"/>
  <c r="N1154" i="1"/>
  <c r="AJ1154" i="1"/>
  <c r="K1155" i="1"/>
  <c r="N1155" i="1"/>
  <c r="AJ1155" i="1"/>
  <c r="K1156" i="1"/>
  <c r="N1156" i="1"/>
  <c r="AJ1156" i="1"/>
  <c r="K1157" i="1"/>
  <c r="N1157" i="1"/>
  <c r="AJ1157" i="1"/>
  <c r="K1158" i="1"/>
  <c r="N1158" i="1"/>
  <c r="AJ1158" i="1"/>
  <c r="K1159" i="1"/>
  <c r="N1159" i="1"/>
  <c r="AJ1159" i="1"/>
  <c r="K1160" i="1"/>
  <c r="N1160" i="1"/>
  <c r="AJ1160" i="1"/>
  <c r="K1161" i="1"/>
  <c r="N1161" i="1"/>
  <c r="AJ1161" i="1"/>
  <c r="K1162" i="1"/>
  <c r="N1162" i="1"/>
  <c r="AJ1162" i="1"/>
  <c r="K1163" i="1"/>
  <c r="N1163" i="1"/>
  <c r="AJ1163" i="1"/>
  <c r="K1164" i="1"/>
  <c r="N1164" i="1"/>
  <c r="AJ1164" i="1"/>
  <c r="K1165" i="1"/>
  <c r="N1165" i="1"/>
  <c r="AJ1165" i="1"/>
  <c r="K1166" i="1"/>
  <c r="N1166" i="1"/>
  <c r="AJ1166" i="1"/>
  <c r="K1167" i="1"/>
  <c r="N1167" i="1"/>
  <c r="AJ1167" i="1"/>
  <c r="K1168" i="1"/>
  <c r="N1168" i="1"/>
  <c r="AJ1168" i="1"/>
  <c r="K1169" i="1"/>
  <c r="N1169" i="1"/>
  <c r="AJ1169" i="1"/>
  <c r="K1170" i="1"/>
  <c r="N1170" i="1"/>
  <c r="AJ1170" i="1"/>
  <c r="K1171" i="1"/>
  <c r="N1171" i="1"/>
  <c r="AJ1171" i="1"/>
  <c r="K1172" i="1"/>
  <c r="N1172" i="1"/>
  <c r="AJ1172" i="1"/>
  <c r="K1173" i="1"/>
  <c r="N1173" i="1"/>
  <c r="AJ1173" i="1"/>
  <c r="K1174" i="1"/>
  <c r="N1174" i="1"/>
  <c r="AJ1174" i="1"/>
  <c r="K1175" i="1"/>
  <c r="N1175" i="1"/>
  <c r="AJ1175" i="1"/>
  <c r="K1176" i="1"/>
  <c r="N1176" i="1"/>
  <c r="AJ1176" i="1"/>
  <c r="K1177" i="1"/>
  <c r="N1177" i="1"/>
  <c r="AJ1177" i="1"/>
  <c r="K1178" i="1"/>
  <c r="N1178" i="1"/>
  <c r="AJ1178" i="1"/>
  <c r="K1179" i="1"/>
  <c r="N1179" i="1"/>
  <c r="AJ1179" i="1"/>
  <c r="K1180" i="1"/>
  <c r="N1180" i="1"/>
  <c r="AJ1180" i="1"/>
  <c r="K1181" i="1"/>
  <c r="N1181" i="1"/>
  <c r="AJ1181" i="1"/>
  <c r="K1182" i="1"/>
  <c r="N1182" i="1"/>
  <c r="AJ1182" i="1"/>
  <c r="K1183" i="1"/>
  <c r="N1183" i="1"/>
  <c r="AJ1183" i="1"/>
  <c r="K1184" i="1"/>
  <c r="N1184" i="1"/>
  <c r="AJ1184" i="1"/>
  <c r="K1185" i="1"/>
  <c r="N1185" i="1"/>
  <c r="AJ1185" i="1"/>
  <c r="K1186" i="1"/>
  <c r="N1186" i="1"/>
  <c r="AJ1186" i="1"/>
  <c r="K1187" i="1"/>
  <c r="N1187" i="1"/>
  <c r="AJ1187" i="1"/>
  <c r="K1188" i="1"/>
  <c r="N1188" i="1"/>
  <c r="AJ1188" i="1"/>
  <c r="K1189" i="1"/>
  <c r="N1189" i="1"/>
  <c r="AJ1189" i="1"/>
  <c r="K1190" i="1"/>
  <c r="N1190" i="1"/>
  <c r="AJ1190" i="1"/>
  <c r="K1191" i="1"/>
  <c r="N1191" i="1"/>
  <c r="AJ1191" i="1"/>
  <c r="K1192" i="1"/>
  <c r="N1192" i="1"/>
  <c r="AJ1192" i="1"/>
  <c r="K1193" i="1"/>
  <c r="N1193" i="1"/>
  <c r="AJ1193" i="1"/>
  <c r="K1194" i="1"/>
  <c r="N1194" i="1"/>
  <c r="AJ1194" i="1"/>
  <c r="K1195" i="1"/>
  <c r="N1195" i="1"/>
  <c r="AJ1195" i="1"/>
  <c r="K1196" i="1"/>
  <c r="N1196" i="1"/>
  <c r="AJ1196" i="1"/>
  <c r="K1197" i="1"/>
  <c r="N1197" i="1"/>
  <c r="AJ1197" i="1"/>
  <c r="K1198" i="1"/>
  <c r="N1198" i="1"/>
  <c r="AJ1198" i="1"/>
  <c r="K1199" i="1"/>
  <c r="N1199" i="1"/>
  <c r="AJ1199" i="1"/>
  <c r="K1200" i="1"/>
  <c r="N1200" i="1"/>
  <c r="AJ1200" i="1"/>
  <c r="K1201" i="1"/>
  <c r="N1201" i="1"/>
  <c r="AJ1201" i="1"/>
  <c r="K1202" i="1"/>
  <c r="N1202" i="1"/>
  <c r="AJ1202" i="1"/>
  <c r="K1203" i="1"/>
  <c r="N1203" i="1"/>
  <c r="AJ1203" i="1"/>
  <c r="K1204" i="1"/>
  <c r="N1204" i="1"/>
  <c r="AJ1204" i="1"/>
  <c r="K1205" i="1"/>
  <c r="N1205" i="1"/>
  <c r="AJ1205" i="1"/>
  <c r="K1206" i="1"/>
  <c r="N1206" i="1"/>
  <c r="AJ1206" i="1"/>
  <c r="K1207" i="1"/>
  <c r="N1207" i="1"/>
  <c r="AJ1207" i="1"/>
  <c r="K1208" i="1"/>
  <c r="N1208" i="1"/>
  <c r="AJ1208" i="1"/>
  <c r="K1209" i="1"/>
  <c r="N1209" i="1"/>
  <c r="AJ1209" i="1"/>
  <c r="K1210" i="1"/>
  <c r="N1210" i="1"/>
  <c r="AJ1210" i="1"/>
  <c r="K1211" i="1"/>
  <c r="N1211" i="1"/>
  <c r="AJ1211" i="1"/>
  <c r="K1212" i="1"/>
  <c r="N1212" i="1"/>
  <c r="AJ1212" i="1"/>
  <c r="K1213" i="1"/>
  <c r="N1213" i="1"/>
  <c r="AJ1213" i="1"/>
  <c r="K1214" i="1"/>
  <c r="N1214" i="1"/>
  <c r="AJ1214" i="1"/>
  <c r="K1215" i="1"/>
  <c r="N1215" i="1"/>
  <c r="AJ1215" i="1"/>
  <c r="K1216" i="1"/>
  <c r="N1216" i="1"/>
  <c r="AJ1216" i="1"/>
  <c r="K1217" i="1"/>
  <c r="N1217" i="1"/>
  <c r="AJ1217" i="1"/>
  <c r="K1218" i="1"/>
  <c r="N1218" i="1"/>
  <c r="AJ1218" i="1"/>
  <c r="K1219" i="1"/>
  <c r="N1219" i="1"/>
  <c r="AJ1219" i="1"/>
  <c r="K1220" i="1"/>
  <c r="N1220" i="1"/>
  <c r="AJ1220" i="1"/>
  <c r="K1221" i="1"/>
  <c r="N1221" i="1"/>
  <c r="AJ1221" i="1"/>
  <c r="K1222" i="1"/>
  <c r="N1222" i="1"/>
  <c r="AJ1222" i="1"/>
  <c r="K1223" i="1"/>
  <c r="N1223" i="1"/>
  <c r="AJ1223" i="1"/>
  <c r="K1224" i="1"/>
  <c r="N1224" i="1"/>
  <c r="AJ1224" i="1"/>
  <c r="K1225" i="1"/>
  <c r="N1225" i="1"/>
  <c r="AJ1225" i="1"/>
  <c r="K1226" i="1"/>
  <c r="N1226" i="1"/>
  <c r="AJ1226" i="1"/>
  <c r="K1227" i="1"/>
  <c r="N1227" i="1"/>
  <c r="AJ1227" i="1"/>
  <c r="K1228" i="1"/>
  <c r="N1228" i="1"/>
  <c r="AJ1228" i="1"/>
  <c r="K1229" i="1"/>
  <c r="N1229" i="1"/>
  <c r="AJ1229" i="1"/>
  <c r="K1230" i="1"/>
  <c r="N1230" i="1"/>
  <c r="AJ1230" i="1"/>
  <c r="K1231" i="1"/>
  <c r="N1231" i="1"/>
  <c r="AJ1231" i="1"/>
  <c r="K1232" i="1"/>
  <c r="N1232" i="1"/>
  <c r="AJ1232" i="1"/>
  <c r="K1233" i="1"/>
  <c r="N1233" i="1"/>
  <c r="AJ1233" i="1"/>
  <c r="K1234" i="1"/>
  <c r="N1234" i="1"/>
  <c r="AJ1234" i="1"/>
  <c r="K1235" i="1"/>
  <c r="N1235" i="1"/>
  <c r="AJ1235" i="1"/>
  <c r="K1236" i="1"/>
  <c r="N1236" i="1"/>
  <c r="AJ1236" i="1"/>
  <c r="K1237" i="1"/>
  <c r="N1237" i="1"/>
  <c r="AJ1237" i="1"/>
  <c r="K1238" i="1"/>
  <c r="N1238" i="1"/>
  <c r="AJ1238" i="1"/>
  <c r="K1239" i="1"/>
  <c r="N1239" i="1"/>
  <c r="AJ1239" i="1"/>
  <c r="K1240" i="1"/>
  <c r="N1240" i="1"/>
  <c r="AJ1240" i="1"/>
  <c r="K1241" i="1"/>
  <c r="N1241" i="1"/>
  <c r="AJ1241" i="1"/>
  <c r="K1242" i="1"/>
  <c r="N1242" i="1"/>
  <c r="AJ1242" i="1"/>
  <c r="K1243" i="1"/>
  <c r="N1243" i="1"/>
  <c r="AJ1243" i="1"/>
  <c r="K1244" i="1"/>
  <c r="N1244" i="1"/>
  <c r="AJ1244" i="1"/>
  <c r="K1245" i="1"/>
  <c r="N1245" i="1"/>
  <c r="AJ1245" i="1"/>
  <c r="K1246" i="1"/>
  <c r="N1246" i="1"/>
  <c r="AJ1246" i="1"/>
  <c r="K1247" i="1"/>
  <c r="N1247" i="1"/>
  <c r="AJ1247" i="1"/>
  <c r="K1248" i="1"/>
  <c r="N1248" i="1"/>
  <c r="AJ1248" i="1"/>
  <c r="K1249" i="1"/>
  <c r="N1249" i="1"/>
  <c r="AJ1249" i="1"/>
  <c r="K1250" i="1"/>
  <c r="N1250" i="1"/>
  <c r="AJ1250" i="1"/>
  <c r="K1251" i="1"/>
  <c r="N1251" i="1"/>
  <c r="AJ1251" i="1"/>
  <c r="K1252" i="1"/>
  <c r="N1252" i="1"/>
  <c r="AJ1252" i="1"/>
  <c r="K1253" i="1"/>
  <c r="N1253" i="1"/>
  <c r="AJ1253" i="1"/>
  <c r="K1254" i="1"/>
  <c r="N1254" i="1"/>
  <c r="AJ1254" i="1"/>
  <c r="K1255" i="1"/>
  <c r="N1255" i="1"/>
  <c r="AJ1255" i="1"/>
  <c r="K1256" i="1"/>
  <c r="N1256" i="1"/>
  <c r="AJ1256" i="1"/>
  <c r="K1257" i="1"/>
  <c r="N1257" i="1"/>
  <c r="AJ1257" i="1"/>
  <c r="K1258" i="1"/>
  <c r="N1258" i="1"/>
  <c r="AJ1258" i="1"/>
  <c r="K1259" i="1"/>
  <c r="N1259" i="1"/>
  <c r="AJ1259" i="1"/>
  <c r="K1260" i="1"/>
  <c r="N1260" i="1"/>
  <c r="AJ1260" i="1"/>
  <c r="K1261" i="1"/>
  <c r="N1261" i="1"/>
  <c r="AJ1261" i="1"/>
  <c r="K1262" i="1"/>
  <c r="N1262" i="1"/>
  <c r="AJ1262" i="1"/>
  <c r="K1263" i="1"/>
  <c r="N1263" i="1"/>
  <c r="AJ1263" i="1"/>
  <c r="K1264" i="1"/>
  <c r="N1264" i="1"/>
  <c r="AJ1264" i="1"/>
  <c r="K1265" i="1"/>
  <c r="N1265" i="1"/>
  <c r="AJ1265" i="1"/>
  <c r="K1266" i="1"/>
  <c r="N1266" i="1"/>
  <c r="AJ1266" i="1"/>
  <c r="K1267" i="1"/>
  <c r="N1267" i="1"/>
  <c r="AJ1267" i="1"/>
  <c r="K1268" i="1"/>
  <c r="N1268" i="1"/>
  <c r="AJ1268" i="1"/>
  <c r="K1269" i="1"/>
  <c r="N1269" i="1"/>
  <c r="AJ1269" i="1"/>
  <c r="K1270" i="1"/>
  <c r="N1270" i="1"/>
  <c r="AJ1270" i="1"/>
  <c r="K1271" i="1"/>
  <c r="N1271" i="1"/>
  <c r="AJ1271" i="1"/>
  <c r="K1272" i="1"/>
  <c r="N1272" i="1"/>
  <c r="AJ1272" i="1"/>
  <c r="K1273" i="1"/>
  <c r="N1273" i="1"/>
  <c r="AJ1273" i="1"/>
  <c r="K1274" i="1"/>
  <c r="N1274" i="1"/>
  <c r="AJ1274" i="1"/>
  <c r="K1275" i="1"/>
  <c r="N1275" i="1"/>
  <c r="AJ1275" i="1"/>
  <c r="K1276" i="1"/>
  <c r="N1276" i="1"/>
  <c r="AJ1276" i="1"/>
  <c r="K1277" i="1"/>
  <c r="N1277" i="1"/>
  <c r="AJ1277" i="1"/>
  <c r="K1278" i="1"/>
  <c r="N1278" i="1"/>
  <c r="AJ1278" i="1"/>
  <c r="K1279" i="1"/>
  <c r="N1279" i="1"/>
  <c r="AJ1279" i="1"/>
  <c r="K1280" i="1"/>
  <c r="N1280" i="1"/>
  <c r="AJ1280" i="1"/>
  <c r="K1281" i="1"/>
  <c r="N1281" i="1"/>
  <c r="AJ1281" i="1"/>
  <c r="K1282" i="1"/>
  <c r="N1282" i="1"/>
  <c r="AJ1282" i="1"/>
  <c r="K1283" i="1"/>
  <c r="N1283" i="1"/>
  <c r="AJ1283" i="1"/>
  <c r="K1284" i="1"/>
  <c r="N1284" i="1"/>
  <c r="AJ1284" i="1"/>
  <c r="K1285" i="1"/>
  <c r="N1285" i="1"/>
  <c r="AJ1285" i="1"/>
  <c r="K1286" i="1"/>
  <c r="N1286" i="1"/>
  <c r="AJ1286" i="1"/>
  <c r="K1287" i="1"/>
  <c r="N1287" i="1"/>
  <c r="AJ1287" i="1"/>
  <c r="K1288" i="1"/>
  <c r="N1288" i="1"/>
  <c r="AJ1288" i="1"/>
  <c r="K1289" i="1"/>
  <c r="N1289" i="1"/>
  <c r="AJ1289" i="1"/>
  <c r="K1290" i="1"/>
  <c r="N1290" i="1"/>
  <c r="AJ1290" i="1"/>
  <c r="K1291" i="1"/>
  <c r="N1291" i="1"/>
  <c r="AJ1291" i="1"/>
  <c r="K1292" i="1"/>
  <c r="N1292" i="1"/>
  <c r="AJ1292" i="1"/>
  <c r="K1293" i="1"/>
  <c r="N1293" i="1"/>
  <c r="AJ1293" i="1"/>
  <c r="K1294" i="1"/>
  <c r="N1294" i="1"/>
  <c r="AJ1294" i="1"/>
  <c r="K1295" i="1"/>
  <c r="N1295" i="1"/>
  <c r="AJ1295" i="1"/>
  <c r="K1296" i="1"/>
  <c r="N1296" i="1"/>
  <c r="AJ1296" i="1"/>
  <c r="K1297" i="1"/>
  <c r="N1297" i="1"/>
  <c r="AJ1297" i="1"/>
  <c r="K1298" i="1"/>
  <c r="N1298" i="1"/>
  <c r="AJ1298" i="1"/>
  <c r="K1299" i="1"/>
  <c r="N1299" i="1"/>
  <c r="AJ1299" i="1"/>
  <c r="K1300" i="1"/>
  <c r="N1300" i="1"/>
  <c r="AJ1300" i="1"/>
  <c r="K1301" i="1"/>
  <c r="N1301" i="1"/>
  <c r="AJ1301" i="1"/>
  <c r="K1302" i="1"/>
  <c r="N1302" i="1"/>
  <c r="AJ1302" i="1"/>
  <c r="K1303" i="1"/>
  <c r="N1303" i="1"/>
  <c r="AJ1303" i="1"/>
  <c r="K1304" i="1"/>
  <c r="N1304" i="1"/>
  <c r="AJ1304" i="1"/>
  <c r="K1305" i="1"/>
  <c r="N1305" i="1"/>
  <c r="AJ1305" i="1"/>
  <c r="K1306" i="1"/>
  <c r="N1306" i="1"/>
  <c r="AJ1306" i="1"/>
  <c r="K1307" i="1"/>
  <c r="N1307" i="1"/>
  <c r="AJ1307" i="1"/>
  <c r="K1308" i="1"/>
  <c r="N1308" i="1"/>
  <c r="AJ1308" i="1"/>
  <c r="K1309" i="1"/>
  <c r="N1309" i="1"/>
  <c r="AJ1309" i="1"/>
  <c r="K1310" i="1"/>
  <c r="N1310" i="1"/>
  <c r="AJ1310" i="1"/>
  <c r="K1311" i="1"/>
  <c r="N1311" i="1"/>
  <c r="AJ1311" i="1"/>
  <c r="K1312" i="1"/>
  <c r="N1312" i="1"/>
  <c r="AJ1312" i="1"/>
  <c r="K1313" i="1"/>
  <c r="N1313" i="1"/>
  <c r="AJ1313" i="1"/>
  <c r="K1314" i="1"/>
  <c r="N1314" i="1"/>
  <c r="AJ1314" i="1"/>
  <c r="K1315" i="1"/>
  <c r="N1315" i="1"/>
  <c r="AJ1315" i="1"/>
  <c r="K1316" i="1"/>
  <c r="N1316" i="1"/>
  <c r="AJ1316" i="1"/>
  <c r="K1317" i="1"/>
  <c r="N1317" i="1"/>
  <c r="AJ1317" i="1"/>
  <c r="K1318" i="1"/>
  <c r="N1318" i="1"/>
  <c r="AJ1318" i="1"/>
  <c r="K1319" i="1"/>
  <c r="N1319" i="1"/>
  <c r="AJ1319" i="1"/>
  <c r="K1320" i="1"/>
  <c r="N1320" i="1"/>
  <c r="AJ1320" i="1"/>
  <c r="K1321" i="1"/>
  <c r="N1321" i="1"/>
  <c r="AJ1321" i="1"/>
  <c r="K1322" i="1"/>
  <c r="N1322" i="1"/>
  <c r="AJ1322" i="1"/>
  <c r="K1323" i="1"/>
  <c r="N1323" i="1"/>
  <c r="AJ1323" i="1"/>
  <c r="K1324" i="1"/>
  <c r="N1324" i="1"/>
  <c r="AJ1324" i="1"/>
  <c r="K1325" i="1"/>
  <c r="N1325" i="1"/>
  <c r="AJ1325" i="1"/>
  <c r="K1326" i="1"/>
  <c r="N1326" i="1"/>
  <c r="AJ1326" i="1"/>
  <c r="K1327" i="1"/>
  <c r="N1327" i="1"/>
  <c r="AJ1327" i="1"/>
  <c r="K1328" i="1"/>
  <c r="N1328" i="1"/>
  <c r="AJ1328" i="1"/>
  <c r="K1329" i="1"/>
  <c r="N1329" i="1"/>
  <c r="AJ1329" i="1"/>
  <c r="K1330" i="1"/>
  <c r="N1330" i="1"/>
  <c r="AJ1330" i="1"/>
  <c r="K1331" i="1"/>
  <c r="N1331" i="1"/>
  <c r="AJ1331" i="1"/>
  <c r="K1332" i="1"/>
  <c r="N1332" i="1"/>
  <c r="AJ1332" i="1"/>
  <c r="K1333" i="1"/>
  <c r="N1333" i="1"/>
  <c r="AJ1333" i="1"/>
  <c r="K1334" i="1"/>
  <c r="N1334" i="1"/>
  <c r="AJ1334" i="1"/>
  <c r="K1335" i="1"/>
  <c r="N1335" i="1"/>
  <c r="AJ1335" i="1"/>
  <c r="K1336" i="1"/>
  <c r="N1336" i="1"/>
  <c r="AJ1336" i="1"/>
  <c r="K1337" i="1"/>
  <c r="N1337" i="1"/>
  <c r="AJ1337" i="1"/>
  <c r="K1338" i="1"/>
  <c r="N1338" i="1"/>
  <c r="AJ1338" i="1"/>
  <c r="K1339" i="1"/>
  <c r="N1339" i="1"/>
  <c r="AJ1339" i="1"/>
  <c r="K1340" i="1"/>
  <c r="N1340" i="1"/>
  <c r="AJ1340" i="1"/>
  <c r="K1341" i="1"/>
  <c r="N1341" i="1"/>
  <c r="AJ1341" i="1"/>
  <c r="K1342" i="1"/>
  <c r="N1342" i="1"/>
  <c r="AJ1342" i="1"/>
  <c r="K1343" i="1"/>
  <c r="N1343" i="1"/>
  <c r="AJ1343" i="1"/>
  <c r="K1344" i="1"/>
  <c r="N1344" i="1"/>
  <c r="AJ1344" i="1"/>
  <c r="K1345" i="1"/>
  <c r="N1345" i="1"/>
  <c r="AJ1345" i="1"/>
  <c r="K1346" i="1"/>
  <c r="N1346" i="1"/>
  <c r="AJ1346" i="1"/>
  <c r="K1347" i="1"/>
  <c r="N1347" i="1"/>
  <c r="AJ1347" i="1"/>
  <c r="K1348" i="1"/>
  <c r="N1348" i="1"/>
  <c r="AJ1348" i="1"/>
  <c r="K1349" i="1"/>
  <c r="N1349" i="1"/>
  <c r="AJ1349" i="1"/>
  <c r="K1350" i="1"/>
  <c r="N1350" i="1"/>
  <c r="AJ1350" i="1"/>
  <c r="K1351" i="1"/>
  <c r="N1351" i="1"/>
  <c r="AJ1351" i="1"/>
  <c r="K1352" i="1"/>
  <c r="N1352" i="1"/>
  <c r="AJ1352" i="1"/>
  <c r="K1353" i="1"/>
  <c r="N1353" i="1"/>
  <c r="AJ1353" i="1"/>
  <c r="K1354" i="1"/>
  <c r="N1354" i="1"/>
  <c r="AJ1354" i="1"/>
  <c r="K1355" i="1"/>
  <c r="N1355" i="1"/>
  <c r="AJ1355" i="1"/>
  <c r="K1356" i="1"/>
  <c r="N1356" i="1"/>
  <c r="AJ1356" i="1"/>
  <c r="K1357" i="1"/>
  <c r="N1357" i="1"/>
  <c r="AJ1357" i="1"/>
  <c r="K1358" i="1"/>
  <c r="N1358" i="1"/>
  <c r="AJ1358" i="1"/>
  <c r="K1359" i="1"/>
  <c r="N1359" i="1"/>
  <c r="AJ1359" i="1"/>
  <c r="K1360" i="1"/>
  <c r="N1360" i="1"/>
  <c r="AJ1360" i="1"/>
  <c r="K1361" i="1"/>
  <c r="N1361" i="1"/>
  <c r="AJ1361" i="1"/>
  <c r="K1362" i="1"/>
  <c r="N1362" i="1"/>
  <c r="AJ1362" i="1"/>
  <c r="K1363" i="1"/>
  <c r="N1363" i="1"/>
  <c r="AJ1363" i="1"/>
  <c r="K1364" i="1"/>
  <c r="N1364" i="1"/>
  <c r="AJ1364" i="1"/>
  <c r="K1365" i="1"/>
  <c r="N1365" i="1"/>
  <c r="AJ1365" i="1"/>
  <c r="K1366" i="1"/>
  <c r="N1366" i="1"/>
  <c r="AJ1366" i="1"/>
  <c r="K1367" i="1"/>
  <c r="N1367" i="1"/>
  <c r="AJ1367" i="1"/>
  <c r="K1368" i="1"/>
  <c r="N1368" i="1"/>
  <c r="AJ1368" i="1"/>
  <c r="K1369" i="1"/>
  <c r="N1369" i="1"/>
  <c r="AJ1369" i="1"/>
  <c r="K1370" i="1"/>
  <c r="N1370" i="1"/>
  <c r="AJ1370" i="1"/>
  <c r="K1371" i="1"/>
  <c r="N1371" i="1"/>
  <c r="AJ1371" i="1"/>
  <c r="K1372" i="1"/>
  <c r="N1372" i="1"/>
  <c r="AJ1372" i="1"/>
  <c r="K1373" i="1"/>
  <c r="N1373" i="1"/>
  <c r="AJ1373" i="1"/>
  <c r="K1374" i="1"/>
  <c r="N1374" i="1"/>
  <c r="AJ1374" i="1"/>
  <c r="K1375" i="1"/>
  <c r="N1375" i="1"/>
  <c r="AJ1375" i="1"/>
  <c r="K1376" i="1"/>
  <c r="N1376" i="1"/>
  <c r="AJ1376" i="1"/>
  <c r="K1377" i="1"/>
  <c r="N1377" i="1"/>
  <c r="AJ1377" i="1"/>
  <c r="K1378" i="1"/>
  <c r="N1378" i="1"/>
  <c r="AJ1378" i="1"/>
  <c r="K1379" i="1"/>
  <c r="N1379" i="1"/>
  <c r="AJ1379" i="1"/>
  <c r="K1380" i="1"/>
  <c r="N1380" i="1"/>
  <c r="AJ1380" i="1"/>
  <c r="K1381" i="1"/>
  <c r="N1381" i="1"/>
  <c r="AJ1381" i="1"/>
  <c r="K1382" i="1"/>
  <c r="N1382" i="1"/>
  <c r="AJ1382" i="1"/>
  <c r="K1383" i="1"/>
  <c r="N1383" i="1"/>
  <c r="AJ1383" i="1"/>
  <c r="K1384" i="1"/>
  <c r="N1384" i="1"/>
  <c r="AJ1384" i="1"/>
  <c r="K1385" i="1"/>
  <c r="N1385" i="1"/>
  <c r="AJ1385" i="1"/>
  <c r="K1386" i="1"/>
  <c r="N1386" i="1"/>
  <c r="AJ1386" i="1"/>
  <c r="K1387" i="1"/>
  <c r="N1387" i="1"/>
  <c r="AJ1387" i="1"/>
  <c r="K1388" i="1"/>
  <c r="N1388" i="1"/>
  <c r="AJ1388" i="1"/>
  <c r="K1389" i="1"/>
  <c r="N1389" i="1"/>
  <c r="AJ1389" i="1"/>
  <c r="K1390" i="1"/>
  <c r="N1390" i="1"/>
  <c r="AJ1390" i="1"/>
  <c r="K1391" i="1"/>
  <c r="N1391" i="1"/>
  <c r="AJ1391" i="1"/>
  <c r="K1392" i="1"/>
  <c r="N1392" i="1"/>
  <c r="AJ1392" i="1"/>
  <c r="K1393" i="1"/>
  <c r="N1393" i="1"/>
  <c r="AJ1393" i="1"/>
  <c r="K1394" i="1"/>
  <c r="N1394" i="1"/>
  <c r="AJ1394" i="1"/>
  <c r="K1395" i="1"/>
  <c r="N1395" i="1"/>
  <c r="AJ1395" i="1"/>
  <c r="K1396" i="1"/>
  <c r="N1396" i="1"/>
  <c r="AJ1396" i="1"/>
  <c r="K1397" i="1"/>
  <c r="N1397" i="1"/>
  <c r="AJ1397" i="1"/>
  <c r="K1398" i="1"/>
  <c r="N1398" i="1"/>
  <c r="AJ1398" i="1"/>
  <c r="K1399" i="1"/>
  <c r="N1399" i="1"/>
  <c r="AJ1399" i="1"/>
  <c r="K1400" i="1"/>
  <c r="N1400" i="1"/>
  <c r="AJ1400" i="1"/>
  <c r="K1401" i="1"/>
  <c r="N1401" i="1"/>
  <c r="AJ1401" i="1"/>
  <c r="K1402" i="1"/>
  <c r="N1402" i="1"/>
  <c r="AJ1402" i="1"/>
  <c r="K1403" i="1"/>
  <c r="N1403" i="1"/>
  <c r="AJ1403" i="1"/>
  <c r="K1404" i="1"/>
  <c r="N1404" i="1"/>
  <c r="AJ1404" i="1"/>
  <c r="K1405" i="1"/>
  <c r="N1405" i="1"/>
  <c r="AJ1405" i="1"/>
  <c r="K1406" i="1"/>
  <c r="N1406" i="1"/>
  <c r="AJ1406" i="1"/>
  <c r="K1407" i="1"/>
  <c r="N1407" i="1"/>
  <c r="AJ1407" i="1"/>
  <c r="K1408" i="1"/>
  <c r="N1408" i="1"/>
  <c r="AJ1408" i="1"/>
  <c r="K1409" i="1"/>
  <c r="N1409" i="1"/>
  <c r="AJ1409" i="1"/>
  <c r="K1410" i="1"/>
  <c r="N1410" i="1"/>
  <c r="AJ1410" i="1"/>
  <c r="K1411" i="1"/>
  <c r="N1411" i="1"/>
  <c r="AJ1411" i="1"/>
  <c r="K1412" i="1"/>
  <c r="N1412" i="1"/>
  <c r="AJ1412" i="1"/>
  <c r="K1413" i="1"/>
  <c r="N1413" i="1"/>
  <c r="AJ1413" i="1"/>
  <c r="K1414" i="1"/>
  <c r="N1414" i="1"/>
  <c r="AJ1414" i="1"/>
  <c r="K1415" i="1"/>
  <c r="N1415" i="1"/>
  <c r="AJ1415" i="1"/>
  <c r="K1416" i="1"/>
  <c r="N1416" i="1"/>
  <c r="AJ1416" i="1"/>
  <c r="K1417" i="1"/>
  <c r="N1417" i="1"/>
  <c r="AJ1417" i="1"/>
  <c r="K1418" i="1"/>
  <c r="N1418" i="1"/>
  <c r="AJ1418" i="1"/>
  <c r="K1419" i="1"/>
  <c r="N1419" i="1"/>
  <c r="AJ1419" i="1"/>
  <c r="K1420" i="1"/>
  <c r="N1420" i="1"/>
  <c r="AJ1420" i="1"/>
  <c r="K1421" i="1"/>
  <c r="N1421" i="1"/>
  <c r="AJ1421" i="1"/>
  <c r="K1422" i="1"/>
  <c r="N1422" i="1"/>
  <c r="AJ1422" i="1"/>
  <c r="K1423" i="1"/>
  <c r="N1423" i="1"/>
  <c r="AJ1423" i="1"/>
  <c r="K1424" i="1"/>
  <c r="N1424" i="1"/>
  <c r="AJ1424" i="1"/>
  <c r="K1425" i="1"/>
  <c r="N1425" i="1"/>
  <c r="AJ1425" i="1"/>
  <c r="K1426" i="1"/>
  <c r="N1426" i="1"/>
  <c r="AJ1426" i="1"/>
  <c r="K1427" i="1"/>
  <c r="N1427" i="1"/>
  <c r="AJ1427" i="1"/>
  <c r="K1428" i="1"/>
  <c r="N1428" i="1"/>
  <c r="AJ1428" i="1"/>
  <c r="K1429" i="1"/>
  <c r="N1429" i="1"/>
  <c r="AJ1429" i="1"/>
  <c r="K1430" i="1"/>
  <c r="N1430" i="1"/>
  <c r="AJ1430" i="1"/>
  <c r="K1431" i="1"/>
  <c r="N1431" i="1"/>
  <c r="AJ1431" i="1"/>
  <c r="K1432" i="1"/>
  <c r="N1432" i="1"/>
  <c r="AJ1432" i="1"/>
  <c r="K1433" i="1"/>
  <c r="N1433" i="1"/>
  <c r="AJ1433" i="1"/>
  <c r="K1434" i="1"/>
  <c r="N1434" i="1"/>
  <c r="AJ1434" i="1"/>
  <c r="K1435" i="1"/>
  <c r="N1435" i="1"/>
  <c r="AJ1435" i="1"/>
  <c r="K1436" i="1"/>
  <c r="N1436" i="1"/>
  <c r="AJ1436" i="1"/>
  <c r="K1437" i="1"/>
  <c r="N1437" i="1"/>
  <c r="AJ1437" i="1"/>
  <c r="K1438" i="1"/>
  <c r="N1438" i="1"/>
  <c r="AJ1438" i="1"/>
  <c r="K1439" i="1"/>
  <c r="N1439" i="1"/>
  <c r="AJ1439" i="1"/>
  <c r="K1440" i="1"/>
  <c r="N1440" i="1"/>
  <c r="AJ1440" i="1"/>
  <c r="K1441" i="1"/>
  <c r="N1441" i="1"/>
  <c r="AJ1441" i="1"/>
  <c r="K1442" i="1"/>
  <c r="N1442" i="1"/>
  <c r="AJ1442" i="1"/>
  <c r="K1443" i="1"/>
  <c r="N1443" i="1"/>
  <c r="AJ1443" i="1"/>
  <c r="K1444" i="1"/>
  <c r="N1444" i="1"/>
  <c r="AJ1444" i="1"/>
  <c r="K1445" i="1"/>
  <c r="N1445" i="1"/>
  <c r="AJ1445" i="1"/>
  <c r="K1446" i="1"/>
  <c r="N1446" i="1"/>
  <c r="AJ1446" i="1"/>
  <c r="K1447" i="1"/>
  <c r="N1447" i="1"/>
  <c r="AJ1447" i="1"/>
  <c r="K1448" i="1"/>
  <c r="N1448" i="1"/>
  <c r="AJ1448" i="1"/>
  <c r="K1449" i="1"/>
  <c r="N1449" i="1"/>
  <c r="AJ1449" i="1"/>
  <c r="K1450" i="1"/>
  <c r="N1450" i="1"/>
  <c r="AJ1450" i="1"/>
  <c r="K1451" i="1"/>
  <c r="N1451" i="1"/>
  <c r="AJ1451" i="1"/>
  <c r="K1452" i="1"/>
  <c r="N1452" i="1"/>
  <c r="AJ1452" i="1"/>
  <c r="K1453" i="1"/>
  <c r="N1453" i="1"/>
  <c r="AJ1453" i="1"/>
  <c r="K1454" i="1"/>
  <c r="N1454" i="1"/>
  <c r="AJ1454" i="1"/>
  <c r="K1455" i="1"/>
  <c r="N1455" i="1"/>
  <c r="AJ1455" i="1"/>
  <c r="K1456" i="1"/>
  <c r="N1456" i="1"/>
  <c r="AJ1456" i="1"/>
  <c r="K1457" i="1"/>
  <c r="N1457" i="1"/>
  <c r="AJ1457" i="1"/>
  <c r="K1458" i="1"/>
  <c r="N1458" i="1"/>
  <c r="AJ1458" i="1"/>
  <c r="K1459" i="1"/>
  <c r="N1459" i="1"/>
  <c r="AJ1459" i="1"/>
  <c r="K1460" i="1"/>
  <c r="N1460" i="1"/>
  <c r="AJ1460" i="1"/>
  <c r="K1461" i="1"/>
  <c r="N1461" i="1"/>
  <c r="AJ1461" i="1"/>
  <c r="K1462" i="1"/>
  <c r="N1462" i="1"/>
  <c r="AJ1462" i="1"/>
  <c r="K1463" i="1"/>
  <c r="N1463" i="1"/>
  <c r="AJ1463" i="1"/>
  <c r="K1464" i="1"/>
  <c r="N1464" i="1"/>
  <c r="AJ1464" i="1"/>
  <c r="K1465" i="1"/>
  <c r="N1465" i="1"/>
  <c r="AJ1465" i="1"/>
  <c r="K1466" i="1"/>
  <c r="N1466" i="1"/>
  <c r="AJ1466" i="1"/>
  <c r="K1467" i="1"/>
  <c r="N1467" i="1"/>
  <c r="AJ1467" i="1"/>
  <c r="K1468" i="1"/>
  <c r="N1468" i="1"/>
  <c r="AJ1468" i="1"/>
  <c r="K1469" i="1"/>
  <c r="N1469" i="1"/>
  <c r="AJ1469" i="1"/>
  <c r="K1470" i="1"/>
  <c r="N1470" i="1"/>
  <c r="AJ1470" i="1"/>
  <c r="K1471" i="1"/>
  <c r="N1471" i="1"/>
  <c r="AJ1471" i="1"/>
  <c r="K1472" i="1"/>
  <c r="N1472" i="1"/>
  <c r="AJ1472" i="1"/>
  <c r="K1473" i="1"/>
  <c r="N1473" i="1"/>
  <c r="AJ1473" i="1"/>
  <c r="K1474" i="1"/>
  <c r="N1474" i="1"/>
  <c r="AJ1474" i="1"/>
  <c r="K1475" i="1"/>
  <c r="N1475" i="1"/>
  <c r="AJ1475" i="1"/>
  <c r="K1476" i="1"/>
  <c r="N1476" i="1"/>
  <c r="AJ1476" i="1"/>
  <c r="K1477" i="1"/>
  <c r="N1477" i="1"/>
  <c r="AJ1477" i="1"/>
  <c r="K1478" i="1"/>
  <c r="N1478" i="1"/>
  <c r="AJ1478" i="1"/>
  <c r="K1479" i="1"/>
  <c r="N1479" i="1"/>
  <c r="AJ1479" i="1"/>
  <c r="K1480" i="1"/>
  <c r="N1480" i="1"/>
  <c r="AJ1480" i="1"/>
  <c r="K1481" i="1"/>
  <c r="N1481" i="1"/>
  <c r="AJ1481" i="1"/>
  <c r="K1482" i="1"/>
  <c r="N1482" i="1"/>
  <c r="AJ1482" i="1"/>
  <c r="K1483" i="1"/>
  <c r="N1483" i="1"/>
  <c r="AJ1483" i="1"/>
  <c r="K1484" i="1"/>
  <c r="N1484" i="1"/>
  <c r="AJ1484" i="1"/>
  <c r="K1485" i="1"/>
  <c r="N1485" i="1"/>
  <c r="AJ1485" i="1"/>
  <c r="K1486" i="1"/>
  <c r="N1486" i="1"/>
  <c r="AJ1486" i="1"/>
  <c r="K1487" i="1"/>
  <c r="N1487" i="1"/>
  <c r="AJ1487" i="1"/>
  <c r="K1488" i="1"/>
  <c r="N1488" i="1"/>
  <c r="AJ1488" i="1"/>
  <c r="K1489" i="1"/>
  <c r="N1489" i="1"/>
  <c r="AJ1489" i="1"/>
  <c r="K1490" i="1"/>
  <c r="N1490" i="1"/>
  <c r="AJ1490" i="1"/>
  <c r="K1491" i="1"/>
  <c r="N1491" i="1"/>
  <c r="AJ1491" i="1"/>
  <c r="K1492" i="1"/>
  <c r="N1492" i="1"/>
  <c r="AJ1492" i="1"/>
  <c r="K1493" i="1"/>
  <c r="N1493" i="1"/>
  <c r="AJ1493" i="1"/>
  <c r="K1494" i="1"/>
  <c r="N1494" i="1"/>
  <c r="AJ1494" i="1"/>
  <c r="K1495" i="1"/>
  <c r="N1495" i="1"/>
  <c r="AJ1495" i="1"/>
  <c r="K1496" i="1"/>
  <c r="N1496" i="1"/>
  <c r="AJ1496" i="1"/>
  <c r="K1497" i="1"/>
  <c r="N1497" i="1"/>
  <c r="AJ1497" i="1"/>
  <c r="K1498" i="1"/>
  <c r="N1498" i="1"/>
  <c r="AJ1498" i="1"/>
  <c r="K1499" i="1"/>
  <c r="N1499" i="1"/>
  <c r="AJ1499" i="1"/>
  <c r="K1500" i="1"/>
  <c r="N1500" i="1"/>
  <c r="AJ1500" i="1"/>
  <c r="K1501" i="1"/>
  <c r="N1501" i="1"/>
  <c r="AJ1501" i="1"/>
  <c r="K1502" i="1"/>
  <c r="N1502" i="1"/>
  <c r="AJ1502" i="1"/>
  <c r="K1503" i="1"/>
  <c r="N1503" i="1"/>
  <c r="AJ1503" i="1"/>
  <c r="K1504" i="1"/>
  <c r="N1504" i="1"/>
  <c r="AJ1504" i="1"/>
  <c r="K1505" i="1"/>
  <c r="N1505" i="1"/>
  <c r="AJ1505" i="1"/>
  <c r="K1506" i="1"/>
  <c r="N1506" i="1"/>
  <c r="AJ1506" i="1"/>
  <c r="K1507" i="1"/>
  <c r="N1507" i="1"/>
  <c r="AJ1507" i="1"/>
  <c r="K1508" i="1"/>
  <c r="N1508" i="1"/>
  <c r="AJ1508" i="1"/>
  <c r="K1509" i="1"/>
  <c r="N1509" i="1"/>
  <c r="AJ1509" i="1"/>
  <c r="K1510" i="1"/>
  <c r="N1510" i="1"/>
  <c r="AJ1510" i="1"/>
  <c r="K1511" i="1"/>
  <c r="N1511" i="1"/>
  <c r="AJ1511" i="1"/>
  <c r="K1512" i="1"/>
  <c r="N1512" i="1"/>
  <c r="AJ1512" i="1"/>
  <c r="K1513" i="1"/>
  <c r="N1513" i="1"/>
  <c r="AJ1513" i="1"/>
  <c r="K1514" i="1"/>
  <c r="N1514" i="1"/>
  <c r="AJ1514" i="1"/>
  <c r="K1515" i="1"/>
  <c r="N1515" i="1"/>
  <c r="AJ1515" i="1"/>
  <c r="K1516" i="1"/>
  <c r="N1516" i="1"/>
  <c r="AJ1516" i="1"/>
  <c r="K1517" i="1"/>
  <c r="N1517" i="1"/>
  <c r="AJ1517" i="1"/>
  <c r="K1518" i="1"/>
  <c r="N1518" i="1"/>
  <c r="AJ1518" i="1"/>
  <c r="K1519" i="1"/>
  <c r="N1519" i="1"/>
  <c r="AJ1519" i="1"/>
  <c r="K1520" i="1"/>
  <c r="N1520" i="1"/>
  <c r="AJ1520" i="1"/>
  <c r="K1521" i="1"/>
  <c r="N1521" i="1"/>
  <c r="AJ1521" i="1"/>
  <c r="K1522" i="1"/>
  <c r="N1522" i="1"/>
  <c r="AJ1522" i="1"/>
  <c r="K1523" i="1"/>
  <c r="N1523" i="1"/>
  <c r="AJ1523" i="1"/>
  <c r="K1524" i="1"/>
  <c r="N1524" i="1"/>
  <c r="AJ1524" i="1"/>
  <c r="K1525" i="1"/>
  <c r="N1525" i="1"/>
  <c r="AJ1525" i="1"/>
  <c r="K1526" i="1"/>
  <c r="N1526" i="1"/>
  <c r="AJ1526" i="1"/>
  <c r="K1527" i="1"/>
  <c r="N1527" i="1"/>
  <c r="AJ1527" i="1"/>
  <c r="K1528" i="1"/>
  <c r="N1528" i="1"/>
  <c r="AJ1528" i="1"/>
  <c r="K1529" i="1"/>
  <c r="N1529" i="1"/>
  <c r="AJ1529" i="1"/>
  <c r="K1530" i="1"/>
  <c r="N1530" i="1"/>
  <c r="AJ1530" i="1"/>
  <c r="K1531" i="1"/>
  <c r="N1531" i="1"/>
  <c r="AJ1531" i="1"/>
  <c r="K1532" i="1"/>
  <c r="N1532" i="1"/>
  <c r="AJ1532" i="1"/>
  <c r="K1533" i="1"/>
  <c r="N1533" i="1"/>
  <c r="AJ1533" i="1"/>
  <c r="K1534" i="1"/>
  <c r="N1534" i="1"/>
  <c r="AJ1534" i="1"/>
  <c r="K1535" i="1"/>
  <c r="N1535" i="1"/>
  <c r="AJ1535" i="1"/>
  <c r="K1536" i="1"/>
  <c r="N1536" i="1"/>
  <c r="AJ1536" i="1"/>
  <c r="K1537" i="1"/>
  <c r="N1537" i="1"/>
  <c r="AJ1537" i="1"/>
  <c r="K1538" i="1"/>
  <c r="N1538" i="1"/>
  <c r="AJ1538" i="1"/>
  <c r="K1539" i="1"/>
  <c r="N1539" i="1"/>
  <c r="AJ1539" i="1"/>
  <c r="K1540" i="1"/>
  <c r="N1540" i="1"/>
  <c r="AJ1540" i="1"/>
  <c r="K1541" i="1"/>
  <c r="N1541" i="1"/>
  <c r="AJ1541" i="1"/>
  <c r="K1542" i="1"/>
  <c r="N1542" i="1"/>
  <c r="AJ1542" i="1"/>
  <c r="K1543" i="1"/>
  <c r="N1543" i="1"/>
  <c r="AJ1543" i="1"/>
  <c r="K1544" i="1"/>
  <c r="N1544" i="1"/>
  <c r="AJ1544" i="1"/>
  <c r="K1545" i="1"/>
  <c r="N1545" i="1"/>
  <c r="AJ1545" i="1"/>
  <c r="K1546" i="1"/>
  <c r="N1546" i="1"/>
  <c r="AJ1546" i="1"/>
  <c r="K1547" i="1"/>
  <c r="N1547" i="1"/>
  <c r="AJ1547" i="1"/>
  <c r="K1548" i="1"/>
  <c r="N1548" i="1"/>
  <c r="AJ1548" i="1"/>
  <c r="K1549" i="1"/>
  <c r="N1549" i="1"/>
  <c r="AJ1549" i="1"/>
  <c r="K1550" i="1"/>
  <c r="N1550" i="1"/>
  <c r="AJ1550" i="1"/>
  <c r="K1551" i="1"/>
  <c r="N1551" i="1"/>
  <c r="AJ1551" i="1"/>
  <c r="K1552" i="1"/>
  <c r="N1552" i="1"/>
  <c r="AJ1552" i="1"/>
  <c r="K1553" i="1"/>
  <c r="N1553" i="1"/>
  <c r="AJ1553" i="1"/>
  <c r="K1554" i="1"/>
  <c r="N1554" i="1"/>
  <c r="AJ1554" i="1"/>
  <c r="K1555" i="1"/>
  <c r="N1555" i="1"/>
  <c r="AJ1555" i="1"/>
  <c r="K1556" i="1"/>
  <c r="N1556" i="1"/>
  <c r="AJ1556" i="1"/>
  <c r="K1557" i="1"/>
  <c r="N1557" i="1"/>
  <c r="AJ1557" i="1"/>
  <c r="K1558" i="1"/>
  <c r="N1558" i="1"/>
  <c r="AJ1558" i="1"/>
  <c r="K1559" i="1"/>
  <c r="N1559" i="1"/>
  <c r="AJ1559" i="1"/>
  <c r="K1560" i="1"/>
  <c r="N1560" i="1"/>
  <c r="AJ1560" i="1"/>
  <c r="K1561" i="1"/>
  <c r="N1561" i="1"/>
  <c r="AJ1561" i="1"/>
  <c r="K1562" i="1"/>
  <c r="N1562" i="1"/>
  <c r="AJ1562" i="1"/>
  <c r="K1563" i="1"/>
  <c r="N1563" i="1"/>
  <c r="AJ1563" i="1"/>
  <c r="K1564" i="1"/>
  <c r="N1564" i="1"/>
  <c r="AJ1564" i="1"/>
  <c r="K1565" i="1"/>
  <c r="N1565" i="1"/>
  <c r="AJ1565" i="1"/>
  <c r="K1566" i="1"/>
  <c r="N1566" i="1"/>
  <c r="AJ1566" i="1"/>
  <c r="K1567" i="1"/>
  <c r="N1567" i="1"/>
  <c r="AJ1567" i="1"/>
  <c r="K1568" i="1"/>
  <c r="N1568" i="1"/>
  <c r="AJ1568" i="1"/>
  <c r="K1569" i="1"/>
  <c r="N1569" i="1"/>
  <c r="AJ1569" i="1"/>
  <c r="K1570" i="1"/>
  <c r="N1570" i="1"/>
  <c r="AJ1570" i="1"/>
  <c r="K1571" i="1"/>
  <c r="N1571" i="1"/>
  <c r="AJ1571" i="1"/>
  <c r="K1572" i="1"/>
  <c r="N1572" i="1"/>
  <c r="AJ1572" i="1"/>
  <c r="K1573" i="1"/>
  <c r="N1573" i="1"/>
  <c r="AJ1573" i="1"/>
  <c r="K1574" i="1"/>
  <c r="N1574" i="1"/>
  <c r="AJ1574" i="1"/>
  <c r="K1575" i="1"/>
  <c r="N1575" i="1"/>
  <c r="AJ1575" i="1"/>
  <c r="K1576" i="1"/>
  <c r="N1576" i="1"/>
  <c r="AJ1576" i="1"/>
  <c r="K1577" i="1"/>
  <c r="N1577" i="1"/>
  <c r="AJ1577" i="1"/>
  <c r="K1578" i="1"/>
  <c r="N1578" i="1"/>
  <c r="AJ1578" i="1"/>
  <c r="K1579" i="1"/>
  <c r="N1579" i="1"/>
  <c r="AJ1579" i="1"/>
  <c r="K1580" i="1"/>
  <c r="N1580" i="1"/>
  <c r="AJ1580" i="1"/>
  <c r="K1581" i="1"/>
  <c r="N1581" i="1"/>
  <c r="AJ1581" i="1"/>
  <c r="K1582" i="1"/>
  <c r="N1582" i="1"/>
  <c r="AJ1582" i="1"/>
  <c r="K1583" i="1"/>
  <c r="N1583" i="1"/>
  <c r="AJ1583" i="1"/>
  <c r="K1584" i="1"/>
  <c r="N1584" i="1"/>
  <c r="AJ1584" i="1"/>
  <c r="K1585" i="1"/>
  <c r="N1585" i="1"/>
  <c r="AJ1585" i="1"/>
  <c r="K1586" i="1"/>
  <c r="N1586" i="1"/>
  <c r="AJ1586" i="1"/>
  <c r="K1587" i="1"/>
  <c r="N1587" i="1"/>
  <c r="AJ1587" i="1"/>
  <c r="K1588" i="1"/>
  <c r="N1588" i="1"/>
  <c r="AJ1588" i="1"/>
  <c r="K1589" i="1"/>
  <c r="N1589" i="1"/>
  <c r="AJ1589" i="1"/>
  <c r="K1590" i="1"/>
  <c r="N1590" i="1"/>
  <c r="AJ1590" i="1"/>
  <c r="K1591" i="1"/>
  <c r="N1591" i="1"/>
  <c r="AJ1591" i="1"/>
  <c r="K1592" i="1"/>
  <c r="N1592" i="1"/>
  <c r="AJ1592" i="1"/>
  <c r="K1593" i="1"/>
  <c r="N1593" i="1"/>
  <c r="AJ1593" i="1"/>
  <c r="K1594" i="1"/>
  <c r="N1594" i="1"/>
  <c r="AJ1594" i="1"/>
  <c r="K1595" i="1"/>
  <c r="N1595" i="1"/>
  <c r="AJ1595" i="1"/>
  <c r="K1596" i="1"/>
  <c r="N1596" i="1"/>
  <c r="AJ1596" i="1"/>
  <c r="K1597" i="1"/>
  <c r="N1597" i="1"/>
  <c r="AJ1597" i="1"/>
  <c r="K1598" i="1"/>
  <c r="N1598" i="1"/>
  <c r="AJ1598" i="1"/>
  <c r="K1599" i="1"/>
  <c r="N1599" i="1"/>
  <c r="AJ1599" i="1"/>
  <c r="K1600" i="1"/>
  <c r="N1600" i="1"/>
  <c r="AJ1600" i="1"/>
  <c r="K1601" i="1"/>
  <c r="N1601" i="1"/>
  <c r="AJ1601" i="1"/>
  <c r="K1602" i="1"/>
  <c r="N1602" i="1"/>
  <c r="AJ1602" i="1"/>
  <c r="K1603" i="1"/>
  <c r="N1603" i="1"/>
  <c r="AJ1603" i="1"/>
  <c r="K1604" i="1"/>
  <c r="N1604" i="1"/>
  <c r="AJ1604" i="1"/>
  <c r="K1605" i="1"/>
  <c r="N1605" i="1"/>
  <c r="AJ1605" i="1"/>
  <c r="K1606" i="1"/>
  <c r="N1606" i="1"/>
  <c r="AJ1606" i="1"/>
  <c r="K1607" i="1"/>
  <c r="N1607" i="1"/>
  <c r="AJ1607" i="1"/>
  <c r="K1608" i="1"/>
  <c r="N1608" i="1"/>
  <c r="AJ1608" i="1"/>
  <c r="K1609" i="1"/>
  <c r="N1609" i="1"/>
  <c r="AJ1609" i="1"/>
  <c r="K1610" i="1"/>
  <c r="N1610" i="1"/>
  <c r="AJ1610" i="1"/>
  <c r="K1611" i="1"/>
  <c r="N1611" i="1"/>
  <c r="AJ1611" i="1"/>
  <c r="K1612" i="1"/>
  <c r="N1612" i="1"/>
  <c r="AJ1612" i="1"/>
  <c r="K1613" i="1"/>
  <c r="N1613" i="1"/>
  <c r="AJ1613" i="1"/>
  <c r="K1614" i="1"/>
  <c r="N1614" i="1"/>
  <c r="AJ1614" i="1"/>
  <c r="K1615" i="1"/>
  <c r="N1615" i="1"/>
  <c r="AJ1615" i="1"/>
  <c r="K1616" i="1"/>
  <c r="N1616" i="1"/>
  <c r="AJ1616" i="1"/>
  <c r="K1617" i="1"/>
  <c r="N1617" i="1"/>
  <c r="AJ1617" i="1"/>
  <c r="K1618" i="1"/>
  <c r="N1618" i="1"/>
  <c r="AJ1618" i="1"/>
  <c r="K1619" i="1"/>
  <c r="N1619" i="1"/>
  <c r="AJ1619" i="1"/>
  <c r="K1620" i="1"/>
  <c r="N1620" i="1"/>
  <c r="AJ1620" i="1"/>
  <c r="K1621" i="1"/>
  <c r="N1621" i="1"/>
  <c r="AJ1621" i="1"/>
  <c r="K1622" i="1"/>
  <c r="N1622" i="1"/>
  <c r="AJ1622" i="1"/>
  <c r="K1623" i="1"/>
  <c r="N1623" i="1"/>
  <c r="AJ1623" i="1"/>
  <c r="K1624" i="1"/>
  <c r="N1624" i="1"/>
  <c r="AJ1624" i="1"/>
  <c r="K1625" i="1"/>
  <c r="N1625" i="1"/>
  <c r="AJ1625" i="1"/>
  <c r="K1626" i="1"/>
  <c r="N1626" i="1"/>
  <c r="AJ1626" i="1"/>
  <c r="K1627" i="1"/>
  <c r="N1627" i="1"/>
  <c r="AJ1627" i="1"/>
  <c r="K1628" i="1"/>
  <c r="N1628" i="1"/>
  <c r="AJ1628" i="1"/>
  <c r="K1629" i="1"/>
  <c r="N1629" i="1"/>
  <c r="AJ1629" i="1"/>
  <c r="K1630" i="1"/>
  <c r="N1630" i="1"/>
  <c r="AJ1630" i="1"/>
  <c r="K1631" i="1"/>
  <c r="N1631" i="1"/>
  <c r="AJ1631" i="1"/>
  <c r="K1632" i="1"/>
  <c r="N1632" i="1"/>
  <c r="AJ1632" i="1"/>
  <c r="K1633" i="1"/>
  <c r="N1633" i="1"/>
  <c r="AJ1633" i="1"/>
  <c r="K1634" i="1"/>
  <c r="N1634" i="1"/>
  <c r="AJ1634" i="1"/>
  <c r="K1635" i="1"/>
  <c r="N1635" i="1"/>
  <c r="AJ1635" i="1"/>
  <c r="K1636" i="1"/>
  <c r="N1636" i="1"/>
  <c r="AJ1636" i="1"/>
  <c r="K1637" i="1"/>
  <c r="N1637" i="1"/>
  <c r="AJ1637" i="1"/>
  <c r="K1638" i="1"/>
  <c r="N1638" i="1"/>
  <c r="AJ1638" i="1"/>
  <c r="K1639" i="1"/>
  <c r="N1639" i="1"/>
  <c r="AJ1639" i="1"/>
  <c r="K1640" i="1"/>
  <c r="N1640" i="1"/>
  <c r="AJ1640" i="1"/>
  <c r="K1641" i="1"/>
  <c r="N1641" i="1"/>
  <c r="AJ1641" i="1"/>
  <c r="K1642" i="1"/>
  <c r="N1642" i="1"/>
  <c r="AJ1642" i="1"/>
  <c r="K1643" i="1"/>
  <c r="N1643" i="1"/>
  <c r="AJ1643" i="1"/>
  <c r="K1644" i="1"/>
  <c r="N1644" i="1"/>
  <c r="AJ1644" i="1"/>
  <c r="K1645" i="1"/>
  <c r="N1645" i="1"/>
  <c r="AJ1645" i="1"/>
  <c r="K1646" i="1"/>
  <c r="N1646" i="1"/>
  <c r="AJ1646" i="1"/>
  <c r="K1647" i="1"/>
  <c r="N1647" i="1"/>
  <c r="AJ1647" i="1"/>
  <c r="K1648" i="1"/>
  <c r="N1648" i="1"/>
  <c r="AJ1648" i="1"/>
  <c r="K1649" i="1"/>
  <c r="N1649" i="1"/>
  <c r="AJ1649" i="1"/>
  <c r="K1650" i="1"/>
  <c r="N1650" i="1"/>
  <c r="AJ1650" i="1"/>
  <c r="K1651" i="1"/>
  <c r="N1651" i="1"/>
  <c r="AJ1651" i="1"/>
  <c r="K1652" i="1"/>
  <c r="N1652" i="1"/>
  <c r="AJ1652" i="1"/>
  <c r="K1653" i="1"/>
  <c r="N1653" i="1"/>
  <c r="AJ1653" i="1"/>
  <c r="K1654" i="1"/>
  <c r="N1654" i="1"/>
  <c r="AJ1654" i="1"/>
  <c r="K1655" i="1"/>
  <c r="N1655" i="1"/>
  <c r="AJ1655" i="1"/>
  <c r="K1656" i="1"/>
  <c r="N1656" i="1"/>
  <c r="AJ1656" i="1"/>
  <c r="K1657" i="1"/>
  <c r="N1657" i="1"/>
  <c r="AJ1657" i="1"/>
  <c r="K1658" i="1"/>
  <c r="N1658" i="1"/>
  <c r="AJ1658" i="1"/>
  <c r="K1659" i="1"/>
  <c r="N1659" i="1"/>
  <c r="AJ1659" i="1"/>
  <c r="K1660" i="1"/>
  <c r="N1660" i="1"/>
  <c r="AJ1660" i="1"/>
  <c r="K1661" i="1"/>
  <c r="N1661" i="1"/>
  <c r="AJ1661" i="1"/>
  <c r="K1662" i="1"/>
  <c r="N1662" i="1"/>
  <c r="AJ1662" i="1"/>
  <c r="K1663" i="1"/>
  <c r="N1663" i="1"/>
  <c r="AJ1663" i="1"/>
  <c r="K1664" i="1"/>
  <c r="N1664" i="1"/>
  <c r="AJ1664" i="1"/>
  <c r="K1665" i="1"/>
  <c r="N1665" i="1"/>
  <c r="AJ1665" i="1"/>
  <c r="K1666" i="1"/>
  <c r="N1666" i="1"/>
  <c r="AJ1666" i="1"/>
  <c r="K1667" i="1"/>
  <c r="N1667" i="1"/>
  <c r="AJ1667" i="1"/>
  <c r="K1668" i="1"/>
  <c r="N1668" i="1"/>
  <c r="AJ1668" i="1"/>
  <c r="K1669" i="1"/>
  <c r="N1669" i="1"/>
  <c r="AJ1669" i="1"/>
  <c r="K1670" i="1"/>
  <c r="N1670" i="1"/>
  <c r="AJ1670" i="1"/>
  <c r="K1671" i="1"/>
  <c r="N1671" i="1"/>
  <c r="AJ1671" i="1"/>
  <c r="K1672" i="1"/>
  <c r="N1672" i="1"/>
  <c r="AJ1672" i="1"/>
  <c r="K1673" i="1"/>
  <c r="N1673" i="1"/>
  <c r="AJ1673" i="1"/>
  <c r="K1674" i="1"/>
  <c r="N1674" i="1"/>
  <c r="AJ1674" i="1"/>
  <c r="K1675" i="1"/>
  <c r="N1675" i="1"/>
  <c r="AJ1675" i="1"/>
  <c r="K1676" i="1"/>
  <c r="N1676" i="1"/>
  <c r="AJ1676" i="1"/>
  <c r="K1677" i="1"/>
  <c r="N1677" i="1"/>
  <c r="AJ1677" i="1"/>
  <c r="K1678" i="1"/>
  <c r="N1678" i="1"/>
  <c r="AJ1678" i="1"/>
  <c r="K1679" i="1"/>
  <c r="N1679" i="1"/>
  <c r="AJ1679" i="1"/>
  <c r="K1680" i="1"/>
  <c r="N1680" i="1"/>
  <c r="AJ1680" i="1"/>
  <c r="K1681" i="1"/>
  <c r="N1681" i="1"/>
  <c r="AJ1681" i="1"/>
  <c r="K1682" i="1"/>
  <c r="N1682" i="1"/>
  <c r="AJ1682" i="1"/>
  <c r="K1683" i="1"/>
  <c r="N1683" i="1"/>
  <c r="AJ1683" i="1"/>
  <c r="K1684" i="1"/>
  <c r="N1684" i="1"/>
  <c r="AJ1684" i="1"/>
  <c r="K1685" i="1"/>
  <c r="N1685" i="1"/>
  <c r="AJ1685" i="1"/>
  <c r="K1686" i="1"/>
  <c r="N1686" i="1"/>
  <c r="AJ1686" i="1"/>
  <c r="K1687" i="1"/>
  <c r="N1687" i="1"/>
  <c r="AJ1687" i="1"/>
  <c r="K1688" i="1"/>
  <c r="N1688" i="1"/>
  <c r="AJ1688" i="1"/>
  <c r="K1689" i="1"/>
  <c r="N1689" i="1"/>
  <c r="AJ1689" i="1"/>
  <c r="K1690" i="1"/>
  <c r="N1690" i="1"/>
  <c r="AJ1690" i="1"/>
  <c r="K1691" i="1"/>
  <c r="N1691" i="1"/>
  <c r="AJ1691" i="1"/>
  <c r="K1692" i="1"/>
  <c r="N1692" i="1"/>
  <c r="AJ1692" i="1"/>
  <c r="K1693" i="1"/>
  <c r="N1693" i="1"/>
  <c r="AJ1693" i="1"/>
  <c r="K1694" i="1"/>
  <c r="N1694" i="1"/>
  <c r="AJ1694" i="1"/>
  <c r="K1695" i="1"/>
  <c r="N1695" i="1"/>
  <c r="AJ1695" i="1"/>
  <c r="K1696" i="1"/>
  <c r="N1696" i="1"/>
  <c r="AJ1696" i="1"/>
  <c r="K1697" i="1"/>
  <c r="N1697" i="1"/>
  <c r="AJ1697" i="1"/>
  <c r="K1698" i="1"/>
  <c r="N1698" i="1"/>
  <c r="AJ1698" i="1"/>
  <c r="K1699" i="1"/>
  <c r="N1699" i="1"/>
  <c r="AJ1699" i="1"/>
  <c r="K1700" i="1"/>
  <c r="N1700" i="1"/>
  <c r="AJ1700" i="1"/>
  <c r="K1701" i="1"/>
  <c r="N1701" i="1"/>
  <c r="AJ1701" i="1"/>
  <c r="K1702" i="1"/>
  <c r="N1702" i="1"/>
  <c r="AJ1702" i="1"/>
  <c r="K1703" i="1"/>
  <c r="N1703" i="1"/>
  <c r="AJ1703" i="1"/>
  <c r="K1704" i="1"/>
  <c r="N1704" i="1"/>
  <c r="AJ1704" i="1"/>
  <c r="K1705" i="1"/>
  <c r="N1705" i="1"/>
  <c r="AJ1705" i="1"/>
  <c r="K1706" i="1"/>
  <c r="N1706" i="1"/>
  <c r="AJ1706" i="1"/>
  <c r="K1707" i="1"/>
  <c r="N1707" i="1"/>
  <c r="AJ1707" i="1"/>
  <c r="K1708" i="1"/>
  <c r="N1708" i="1"/>
  <c r="AJ1708" i="1"/>
  <c r="K1709" i="1"/>
  <c r="N1709" i="1"/>
  <c r="AJ1709" i="1"/>
  <c r="K1710" i="1"/>
  <c r="N1710" i="1"/>
  <c r="AJ1710" i="1"/>
  <c r="K1711" i="1"/>
  <c r="N1711" i="1"/>
  <c r="AJ1711" i="1"/>
  <c r="K1712" i="1"/>
  <c r="N1712" i="1"/>
  <c r="AJ1712" i="1"/>
  <c r="K1713" i="1"/>
  <c r="N1713" i="1"/>
  <c r="AJ1713" i="1"/>
  <c r="K1714" i="1"/>
  <c r="N1714" i="1"/>
  <c r="AJ1714" i="1"/>
  <c r="K1715" i="1"/>
  <c r="N1715" i="1"/>
  <c r="AJ1715" i="1"/>
  <c r="K1716" i="1"/>
  <c r="N1716" i="1"/>
  <c r="AJ1716" i="1"/>
  <c r="K1717" i="1"/>
  <c r="N1717" i="1"/>
  <c r="AJ1717" i="1"/>
  <c r="K1718" i="1"/>
  <c r="N1718" i="1"/>
  <c r="AJ1718" i="1"/>
  <c r="K1719" i="1"/>
  <c r="N1719" i="1"/>
  <c r="AJ1719" i="1"/>
  <c r="K1720" i="1"/>
  <c r="N1720" i="1"/>
  <c r="AJ1720" i="1"/>
  <c r="K1721" i="1"/>
  <c r="N1721" i="1"/>
  <c r="AJ1721" i="1"/>
  <c r="K1722" i="1"/>
  <c r="N1722" i="1"/>
  <c r="AJ1722" i="1"/>
  <c r="K1723" i="1"/>
  <c r="N1723" i="1"/>
  <c r="AJ1723" i="1"/>
  <c r="K1724" i="1"/>
  <c r="N1724" i="1"/>
  <c r="AJ1724" i="1"/>
  <c r="K1725" i="1"/>
  <c r="N1725" i="1"/>
  <c r="AJ1725" i="1"/>
  <c r="K1726" i="1"/>
  <c r="N1726" i="1"/>
  <c r="AJ1726" i="1"/>
  <c r="K1727" i="1"/>
  <c r="N1727" i="1"/>
  <c r="AJ1727" i="1"/>
  <c r="K1728" i="1"/>
  <c r="N1728" i="1"/>
  <c r="AJ1728" i="1"/>
  <c r="K1729" i="1"/>
  <c r="N1729" i="1"/>
  <c r="AJ1729" i="1"/>
  <c r="K1730" i="1"/>
  <c r="N1730" i="1"/>
  <c r="AJ1730" i="1"/>
  <c r="K1731" i="1"/>
  <c r="N1731" i="1"/>
  <c r="AJ1731" i="1"/>
  <c r="K1732" i="1"/>
  <c r="N1732" i="1"/>
  <c r="AJ1732" i="1"/>
  <c r="K1733" i="1"/>
  <c r="N1733" i="1"/>
  <c r="AJ1733" i="1"/>
  <c r="K1734" i="1"/>
  <c r="N1734" i="1"/>
  <c r="AJ1734" i="1"/>
  <c r="K1735" i="1"/>
  <c r="N1735" i="1"/>
  <c r="AJ1735" i="1"/>
  <c r="K1736" i="1"/>
  <c r="N1736" i="1"/>
  <c r="AJ1736" i="1"/>
  <c r="K1737" i="1"/>
  <c r="N1737" i="1"/>
  <c r="AJ1737" i="1"/>
  <c r="K1738" i="1"/>
  <c r="N1738" i="1"/>
  <c r="AJ1738" i="1"/>
  <c r="K1739" i="1"/>
  <c r="N1739" i="1"/>
  <c r="AJ1739" i="1"/>
  <c r="K1740" i="1"/>
  <c r="N1740" i="1"/>
  <c r="AJ1740" i="1"/>
  <c r="K1741" i="1"/>
  <c r="N1741" i="1"/>
  <c r="AJ1741" i="1"/>
  <c r="K1742" i="1"/>
  <c r="N1742" i="1"/>
  <c r="AJ1742" i="1"/>
  <c r="K1743" i="1"/>
  <c r="N1743" i="1"/>
  <c r="AJ1743" i="1"/>
  <c r="K1744" i="1"/>
  <c r="N1744" i="1"/>
  <c r="AJ1744" i="1"/>
  <c r="K1745" i="1"/>
  <c r="N1745" i="1"/>
  <c r="AJ1745" i="1"/>
  <c r="K1746" i="1"/>
  <c r="N1746" i="1"/>
  <c r="AJ1746" i="1"/>
  <c r="K1747" i="1"/>
  <c r="N1747" i="1"/>
  <c r="AJ1747" i="1"/>
  <c r="K1748" i="1"/>
  <c r="N1748" i="1"/>
  <c r="AJ1748" i="1"/>
  <c r="K1749" i="1"/>
  <c r="N1749" i="1"/>
  <c r="AJ1749" i="1"/>
  <c r="K1750" i="1"/>
  <c r="N1750" i="1"/>
  <c r="AJ1750" i="1"/>
  <c r="K1751" i="1"/>
  <c r="N1751" i="1"/>
  <c r="AJ1751" i="1"/>
  <c r="K1752" i="1"/>
  <c r="N1752" i="1"/>
  <c r="AJ1752" i="1"/>
  <c r="K1753" i="1"/>
  <c r="N1753" i="1"/>
  <c r="AJ1753" i="1"/>
  <c r="K1754" i="1"/>
  <c r="N1754" i="1"/>
  <c r="AJ1754" i="1"/>
  <c r="K1755" i="1"/>
  <c r="N1755" i="1"/>
  <c r="AJ1755" i="1"/>
  <c r="K1756" i="1"/>
  <c r="N1756" i="1"/>
  <c r="AJ1756" i="1"/>
  <c r="K1757" i="1"/>
  <c r="N1757" i="1"/>
  <c r="AJ1757" i="1"/>
  <c r="K1758" i="1"/>
  <c r="N1758" i="1"/>
  <c r="AJ1758" i="1"/>
  <c r="K1759" i="1"/>
  <c r="N1759" i="1"/>
  <c r="AJ1759" i="1"/>
  <c r="K1760" i="1"/>
  <c r="N1760" i="1"/>
  <c r="AJ1760" i="1"/>
  <c r="K1761" i="1"/>
  <c r="N1761" i="1"/>
  <c r="AJ1761" i="1"/>
  <c r="K1762" i="1"/>
  <c r="N1762" i="1"/>
  <c r="AJ1762" i="1"/>
  <c r="K1763" i="1"/>
  <c r="N1763" i="1"/>
  <c r="AJ1763" i="1"/>
  <c r="K1764" i="1"/>
  <c r="N1764" i="1"/>
  <c r="AJ1764" i="1"/>
  <c r="K1765" i="1"/>
  <c r="N1765" i="1"/>
  <c r="AJ1765" i="1"/>
  <c r="K1766" i="1"/>
  <c r="N1766" i="1"/>
  <c r="AJ1766" i="1"/>
  <c r="K1767" i="1"/>
  <c r="N1767" i="1"/>
  <c r="AJ1767" i="1"/>
  <c r="K1768" i="1"/>
  <c r="N1768" i="1"/>
  <c r="AJ1768" i="1"/>
  <c r="K1769" i="1"/>
  <c r="N1769" i="1"/>
  <c r="AJ1769" i="1"/>
  <c r="K1770" i="1"/>
  <c r="N1770" i="1"/>
  <c r="AJ1770" i="1"/>
  <c r="K1771" i="1"/>
  <c r="N1771" i="1"/>
  <c r="AJ1771" i="1"/>
  <c r="K1772" i="1"/>
  <c r="N1772" i="1"/>
  <c r="AJ1772" i="1"/>
  <c r="K1773" i="1"/>
  <c r="N1773" i="1"/>
  <c r="AJ1773" i="1"/>
  <c r="K1774" i="1"/>
  <c r="N1774" i="1"/>
  <c r="AJ1774" i="1"/>
  <c r="K1775" i="1"/>
  <c r="N1775" i="1"/>
  <c r="AJ1775" i="1"/>
  <c r="K1776" i="1"/>
  <c r="N1776" i="1"/>
  <c r="AJ1776" i="1"/>
  <c r="K1777" i="1"/>
  <c r="N1777" i="1"/>
  <c r="AJ1777" i="1"/>
  <c r="K1778" i="1"/>
  <c r="N1778" i="1"/>
  <c r="AJ1778" i="1"/>
  <c r="K1779" i="1"/>
  <c r="N1779" i="1"/>
  <c r="AJ1779" i="1"/>
  <c r="K1780" i="1"/>
  <c r="N1780" i="1"/>
  <c r="AJ1780" i="1"/>
  <c r="K1781" i="1"/>
  <c r="N1781" i="1"/>
  <c r="AJ1781" i="1"/>
  <c r="K1782" i="1"/>
  <c r="N1782" i="1"/>
  <c r="AJ1782" i="1"/>
  <c r="K1783" i="1"/>
  <c r="N1783" i="1"/>
  <c r="AJ1783" i="1"/>
  <c r="K1784" i="1"/>
  <c r="N1784" i="1"/>
  <c r="AJ1784" i="1"/>
  <c r="K1785" i="1"/>
  <c r="N1785" i="1"/>
  <c r="AJ1785" i="1"/>
  <c r="K1786" i="1"/>
  <c r="N1786" i="1"/>
  <c r="AJ1786" i="1"/>
  <c r="K1787" i="1"/>
  <c r="N1787" i="1"/>
  <c r="AJ1787" i="1"/>
  <c r="K1788" i="1"/>
  <c r="N1788" i="1"/>
  <c r="AJ1788" i="1"/>
  <c r="K1789" i="1"/>
  <c r="N1789" i="1"/>
  <c r="AJ1789" i="1"/>
  <c r="K1790" i="1"/>
  <c r="N1790" i="1"/>
  <c r="AJ1790" i="1"/>
  <c r="K1791" i="1"/>
  <c r="N1791" i="1"/>
  <c r="AJ1791" i="1"/>
  <c r="K1792" i="1"/>
  <c r="N1792" i="1"/>
  <c r="AJ1792" i="1"/>
  <c r="K1793" i="1"/>
  <c r="N1793" i="1"/>
  <c r="AJ1793" i="1"/>
  <c r="K1794" i="1"/>
  <c r="N1794" i="1"/>
  <c r="AJ1794" i="1"/>
  <c r="K1795" i="1"/>
  <c r="N1795" i="1"/>
  <c r="AJ1795" i="1"/>
  <c r="K1796" i="1"/>
  <c r="N1796" i="1"/>
  <c r="AJ1796" i="1"/>
  <c r="K1797" i="1"/>
  <c r="N1797" i="1"/>
  <c r="AJ1797" i="1"/>
  <c r="K1798" i="1"/>
  <c r="N1798" i="1"/>
  <c r="AJ1798" i="1"/>
  <c r="K1799" i="1"/>
  <c r="N1799" i="1"/>
  <c r="AJ1799" i="1"/>
  <c r="K1800" i="1"/>
  <c r="N1800" i="1"/>
  <c r="AJ1800" i="1"/>
  <c r="K1801" i="1"/>
  <c r="N1801" i="1"/>
  <c r="AJ1801" i="1"/>
  <c r="K1802" i="1"/>
  <c r="N1802" i="1"/>
  <c r="AJ1802" i="1"/>
  <c r="K1803" i="1"/>
  <c r="N1803" i="1"/>
  <c r="AJ1803" i="1"/>
  <c r="K1804" i="1"/>
  <c r="N1804" i="1"/>
  <c r="AJ1804" i="1"/>
  <c r="K1805" i="1"/>
  <c r="N1805" i="1"/>
  <c r="AJ1805" i="1"/>
  <c r="K1806" i="1"/>
  <c r="N1806" i="1"/>
  <c r="AJ1806" i="1"/>
  <c r="K1807" i="1"/>
  <c r="N1807" i="1"/>
  <c r="AJ1807" i="1"/>
  <c r="K1808" i="1"/>
  <c r="N1808" i="1"/>
  <c r="AJ1808" i="1"/>
  <c r="K1809" i="1"/>
  <c r="N1809" i="1"/>
  <c r="AJ1809" i="1"/>
  <c r="K1810" i="1"/>
  <c r="N1810" i="1"/>
  <c r="AJ1810" i="1"/>
  <c r="K1811" i="1"/>
  <c r="N1811" i="1"/>
  <c r="AJ1811" i="1"/>
  <c r="K1812" i="1"/>
  <c r="N1812" i="1"/>
  <c r="AJ1812" i="1"/>
  <c r="K1813" i="1"/>
  <c r="N1813" i="1"/>
  <c r="AJ1813" i="1"/>
  <c r="K1814" i="1"/>
  <c r="N1814" i="1"/>
  <c r="AJ1814" i="1"/>
  <c r="K1815" i="1"/>
  <c r="N1815" i="1"/>
  <c r="AJ1815" i="1"/>
  <c r="K1816" i="1"/>
  <c r="N1816" i="1"/>
  <c r="AJ1816" i="1"/>
  <c r="K1817" i="1"/>
  <c r="N1817" i="1"/>
  <c r="AJ1817" i="1"/>
  <c r="K1818" i="1"/>
  <c r="N1818" i="1"/>
  <c r="AJ1818" i="1"/>
  <c r="K1819" i="1"/>
  <c r="N1819" i="1"/>
  <c r="AJ1819" i="1"/>
  <c r="K1820" i="1"/>
  <c r="N1820" i="1"/>
  <c r="AJ1820" i="1"/>
  <c r="K1821" i="1"/>
  <c r="N1821" i="1"/>
  <c r="AJ1821" i="1"/>
  <c r="K1822" i="1"/>
  <c r="N1822" i="1"/>
  <c r="AJ1822" i="1"/>
  <c r="K1823" i="1"/>
  <c r="N1823" i="1"/>
  <c r="AJ1823" i="1"/>
  <c r="K1824" i="1"/>
  <c r="N1824" i="1"/>
  <c r="AJ1824" i="1"/>
  <c r="K1825" i="1"/>
  <c r="N1825" i="1"/>
  <c r="AJ1825" i="1"/>
  <c r="K1826" i="1"/>
  <c r="N1826" i="1"/>
  <c r="AJ1826" i="1"/>
  <c r="K1827" i="1"/>
  <c r="N1827" i="1"/>
  <c r="AJ1827" i="1"/>
  <c r="K1828" i="1"/>
  <c r="N1828" i="1"/>
  <c r="AJ1828" i="1"/>
  <c r="K1829" i="1"/>
  <c r="N1829" i="1"/>
  <c r="AJ1829" i="1"/>
  <c r="K1830" i="1"/>
  <c r="N1830" i="1"/>
  <c r="AJ1830" i="1"/>
  <c r="K1831" i="1"/>
  <c r="N1831" i="1"/>
  <c r="AJ1831" i="1"/>
  <c r="K1832" i="1"/>
  <c r="N1832" i="1"/>
  <c r="AJ1832" i="1"/>
  <c r="K1833" i="1"/>
  <c r="N1833" i="1"/>
  <c r="AJ1833" i="1"/>
  <c r="K1834" i="1"/>
  <c r="N1834" i="1"/>
  <c r="AJ1834" i="1"/>
  <c r="K1835" i="1"/>
  <c r="N1835" i="1"/>
  <c r="AJ1835" i="1"/>
  <c r="K1836" i="1"/>
  <c r="N1836" i="1"/>
  <c r="AJ1836" i="1"/>
  <c r="K1837" i="1"/>
  <c r="N1837" i="1"/>
  <c r="AJ1837" i="1"/>
  <c r="K1838" i="1"/>
  <c r="N1838" i="1"/>
  <c r="AJ1838" i="1"/>
  <c r="K1839" i="1"/>
  <c r="N1839" i="1"/>
  <c r="AJ1839" i="1"/>
  <c r="K1840" i="1"/>
  <c r="N1840" i="1"/>
  <c r="AJ1840" i="1"/>
  <c r="K1841" i="1"/>
  <c r="N1841" i="1"/>
  <c r="AJ1841" i="1"/>
  <c r="K1842" i="1"/>
  <c r="N1842" i="1"/>
  <c r="AJ1842" i="1"/>
  <c r="K1843" i="1"/>
  <c r="N1843" i="1"/>
  <c r="AJ1843" i="1"/>
  <c r="K1844" i="1"/>
  <c r="N1844" i="1"/>
  <c r="AJ1844" i="1"/>
  <c r="K1845" i="1"/>
  <c r="N1845" i="1"/>
  <c r="AJ1845" i="1"/>
  <c r="K1846" i="1"/>
  <c r="N1846" i="1"/>
  <c r="AJ1846" i="1"/>
  <c r="K1847" i="1"/>
  <c r="N1847" i="1"/>
  <c r="AJ1847" i="1"/>
  <c r="K1848" i="1"/>
  <c r="N1848" i="1"/>
  <c r="AJ1848" i="1"/>
  <c r="K1849" i="1"/>
  <c r="N1849" i="1"/>
  <c r="AJ1849" i="1"/>
  <c r="K1850" i="1"/>
  <c r="N1850" i="1"/>
  <c r="AJ1850" i="1"/>
  <c r="K1851" i="1"/>
  <c r="N1851" i="1"/>
  <c r="AJ1851" i="1"/>
  <c r="K1852" i="1"/>
  <c r="N1852" i="1"/>
  <c r="AJ1852" i="1"/>
  <c r="K1853" i="1"/>
  <c r="N1853" i="1"/>
  <c r="AJ1853" i="1"/>
  <c r="K1854" i="1"/>
  <c r="N1854" i="1"/>
  <c r="AJ1854" i="1"/>
  <c r="K1855" i="1"/>
  <c r="N1855" i="1"/>
  <c r="AJ1855" i="1"/>
  <c r="K1856" i="1"/>
  <c r="N1856" i="1"/>
  <c r="AJ1856" i="1"/>
  <c r="K1857" i="1"/>
  <c r="N1857" i="1"/>
  <c r="AJ1857" i="1"/>
  <c r="K1858" i="1"/>
  <c r="N1858" i="1"/>
  <c r="AJ1858" i="1"/>
  <c r="K1859" i="1"/>
  <c r="N1859" i="1"/>
  <c r="AJ1859" i="1"/>
  <c r="K1860" i="1"/>
  <c r="N1860" i="1"/>
  <c r="AJ1860" i="1"/>
  <c r="K1861" i="1"/>
  <c r="N1861" i="1"/>
  <c r="AJ1861" i="1"/>
  <c r="K1862" i="1"/>
  <c r="N1862" i="1"/>
  <c r="AJ1862" i="1"/>
  <c r="K1863" i="1"/>
  <c r="N1863" i="1"/>
  <c r="AJ1863" i="1"/>
  <c r="K1864" i="1"/>
  <c r="N1864" i="1"/>
  <c r="AJ1864" i="1"/>
  <c r="K1865" i="1"/>
  <c r="N1865" i="1"/>
  <c r="AJ1865" i="1"/>
  <c r="K1866" i="1"/>
  <c r="N1866" i="1"/>
  <c r="AJ1866" i="1"/>
  <c r="K1867" i="1"/>
  <c r="N1867" i="1"/>
  <c r="AJ1867" i="1"/>
  <c r="K1868" i="1"/>
  <c r="N1868" i="1"/>
  <c r="AJ1868" i="1"/>
  <c r="K1869" i="1"/>
  <c r="N1869" i="1"/>
  <c r="AJ1869" i="1"/>
  <c r="K1870" i="1"/>
  <c r="N1870" i="1"/>
  <c r="AJ1870" i="1"/>
  <c r="K1871" i="1"/>
  <c r="N1871" i="1"/>
  <c r="AJ1871" i="1"/>
  <c r="K1872" i="1"/>
  <c r="N1872" i="1"/>
  <c r="AJ1872" i="1"/>
  <c r="K1873" i="1"/>
  <c r="N1873" i="1"/>
  <c r="AJ1873" i="1"/>
  <c r="K1874" i="1"/>
  <c r="N1874" i="1"/>
  <c r="AJ1874" i="1"/>
  <c r="K1875" i="1"/>
  <c r="N1875" i="1"/>
  <c r="AJ1875" i="1"/>
  <c r="K1876" i="1"/>
  <c r="N1876" i="1"/>
  <c r="AJ1876" i="1"/>
  <c r="K1877" i="1"/>
  <c r="N1877" i="1"/>
  <c r="AJ1877" i="1"/>
  <c r="K1878" i="1"/>
  <c r="N1878" i="1"/>
  <c r="AJ1878" i="1"/>
  <c r="K1879" i="1"/>
  <c r="N1879" i="1"/>
  <c r="AJ1879" i="1"/>
  <c r="K1880" i="1"/>
  <c r="N1880" i="1"/>
  <c r="AJ1880" i="1"/>
  <c r="K1881" i="1"/>
  <c r="N1881" i="1"/>
  <c r="AJ1881" i="1"/>
  <c r="K1882" i="1"/>
  <c r="N1882" i="1"/>
  <c r="AJ1882" i="1"/>
  <c r="K1883" i="1"/>
  <c r="N1883" i="1"/>
  <c r="AJ1883" i="1"/>
  <c r="K1884" i="1"/>
  <c r="N1884" i="1"/>
  <c r="AJ1884" i="1"/>
  <c r="K1885" i="1"/>
  <c r="N1885" i="1"/>
  <c r="AJ1885" i="1"/>
  <c r="K1886" i="1"/>
  <c r="N1886" i="1"/>
  <c r="AJ1886" i="1"/>
  <c r="K1887" i="1"/>
  <c r="N1887" i="1"/>
  <c r="AJ1887" i="1"/>
  <c r="K1888" i="1"/>
  <c r="N1888" i="1"/>
  <c r="AJ1888" i="1"/>
  <c r="K1889" i="1"/>
  <c r="N1889" i="1"/>
  <c r="AJ1889" i="1"/>
  <c r="K1890" i="1"/>
  <c r="N1890" i="1"/>
  <c r="AJ1890" i="1"/>
  <c r="K1891" i="1"/>
  <c r="N1891" i="1"/>
  <c r="AJ1891" i="1"/>
  <c r="K1892" i="1"/>
  <c r="N1892" i="1"/>
  <c r="AJ1892" i="1"/>
  <c r="K1893" i="1"/>
  <c r="N1893" i="1"/>
  <c r="AJ1893" i="1"/>
  <c r="K1894" i="1"/>
  <c r="N1894" i="1"/>
  <c r="AJ1894" i="1"/>
  <c r="K1895" i="1"/>
  <c r="N1895" i="1"/>
  <c r="AJ1895" i="1"/>
  <c r="K1896" i="1"/>
  <c r="N1896" i="1"/>
  <c r="AJ1896" i="1"/>
  <c r="K1897" i="1"/>
  <c r="N1897" i="1"/>
  <c r="AJ1897" i="1"/>
  <c r="K1898" i="1"/>
  <c r="N1898" i="1"/>
  <c r="AJ1898" i="1"/>
  <c r="K1899" i="1"/>
  <c r="N1899" i="1"/>
  <c r="AJ1899" i="1"/>
  <c r="K1900" i="1"/>
  <c r="N1900" i="1"/>
  <c r="AJ1900" i="1"/>
  <c r="K1901" i="1"/>
  <c r="N1901" i="1"/>
  <c r="AJ1901" i="1"/>
  <c r="K1902" i="1"/>
  <c r="N1902" i="1"/>
  <c r="AJ1902" i="1"/>
  <c r="K1903" i="1"/>
  <c r="N1903" i="1"/>
  <c r="AJ1903" i="1"/>
  <c r="K1904" i="1"/>
  <c r="N1904" i="1"/>
  <c r="AJ1904" i="1"/>
  <c r="K1905" i="1"/>
  <c r="N1905" i="1"/>
  <c r="AJ1905" i="1"/>
  <c r="K1906" i="1"/>
  <c r="N1906" i="1"/>
  <c r="AJ1906" i="1"/>
  <c r="K1907" i="1"/>
  <c r="N1907" i="1"/>
  <c r="AJ1907" i="1"/>
  <c r="K1908" i="1"/>
  <c r="N1908" i="1"/>
  <c r="AJ1908" i="1"/>
  <c r="K1909" i="1"/>
  <c r="N1909" i="1"/>
  <c r="AJ1909" i="1"/>
  <c r="K1910" i="1"/>
  <c r="N1910" i="1"/>
  <c r="AJ1910" i="1"/>
  <c r="K1911" i="1"/>
  <c r="N1911" i="1"/>
  <c r="AJ1911" i="1"/>
  <c r="K1912" i="1"/>
  <c r="N1912" i="1"/>
  <c r="AJ1912" i="1"/>
  <c r="K1913" i="1"/>
  <c r="N1913" i="1"/>
  <c r="AJ1913" i="1"/>
  <c r="K1914" i="1"/>
  <c r="N1914" i="1"/>
  <c r="AJ1914" i="1"/>
  <c r="K1915" i="1"/>
  <c r="N1915" i="1"/>
  <c r="AJ1915" i="1"/>
  <c r="K1916" i="1"/>
  <c r="N1916" i="1"/>
  <c r="AJ1916" i="1"/>
  <c r="K1917" i="1"/>
  <c r="N1917" i="1"/>
  <c r="AJ1917" i="1"/>
  <c r="K1918" i="1"/>
  <c r="N1918" i="1"/>
  <c r="AJ1918" i="1"/>
  <c r="K1919" i="1"/>
  <c r="N1919" i="1"/>
  <c r="AJ1919" i="1"/>
  <c r="K1920" i="1"/>
  <c r="N1920" i="1"/>
  <c r="AJ1920" i="1"/>
  <c r="K1921" i="1"/>
  <c r="N1921" i="1"/>
  <c r="AJ1921" i="1"/>
  <c r="K1922" i="1"/>
  <c r="N1922" i="1"/>
  <c r="AJ1922" i="1"/>
  <c r="K1923" i="1"/>
  <c r="N1923" i="1"/>
  <c r="AJ1923" i="1"/>
  <c r="K1924" i="1"/>
  <c r="N1924" i="1"/>
  <c r="AJ1924" i="1"/>
  <c r="K1925" i="1"/>
  <c r="N1925" i="1"/>
  <c r="AJ1925" i="1"/>
  <c r="K1926" i="1"/>
  <c r="N1926" i="1"/>
  <c r="AJ1926" i="1"/>
  <c r="K1927" i="1"/>
  <c r="N1927" i="1"/>
  <c r="AJ1927" i="1"/>
  <c r="K1928" i="1"/>
  <c r="N1928" i="1"/>
  <c r="AJ1928" i="1"/>
  <c r="K1929" i="1"/>
  <c r="N1929" i="1"/>
  <c r="AJ1929" i="1"/>
  <c r="K1930" i="1"/>
  <c r="N1930" i="1"/>
  <c r="AJ1930" i="1"/>
  <c r="K1931" i="1"/>
  <c r="N1931" i="1"/>
  <c r="AJ1931" i="1"/>
  <c r="K1932" i="1"/>
  <c r="N1932" i="1"/>
  <c r="AJ1932" i="1"/>
  <c r="K1933" i="1"/>
  <c r="N1933" i="1"/>
  <c r="AJ1933" i="1"/>
  <c r="K1934" i="1"/>
  <c r="N1934" i="1"/>
  <c r="AJ1934" i="1"/>
  <c r="K1935" i="1"/>
  <c r="N1935" i="1"/>
  <c r="AJ1935" i="1"/>
  <c r="K1936" i="1"/>
  <c r="N1936" i="1"/>
  <c r="AJ1936" i="1"/>
  <c r="K1937" i="1"/>
  <c r="N1937" i="1"/>
  <c r="AJ1937" i="1"/>
  <c r="K1938" i="1"/>
  <c r="N1938" i="1"/>
  <c r="AJ1938" i="1"/>
  <c r="K1939" i="1"/>
  <c r="N1939" i="1"/>
  <c r="AJ1939" i="1"/>
  <c r="K1940" i="1"/>
  <c r="N1940" i="1"/>
  <c r="AJ1940" i="1"/>
  <c r="K1941" i="1"/>
  <c r="N1941" i="1"/>
  <c r="AJ1941" i="1"/>
  <c r="K1942" i="1"/>
  <c r="N1942" i="1"/>
  <c r="AJ1942" i="1"/>
  <c r="K1943" i="1"/>
  <c r="N1943" i="1"/>
  <c r="AJ1943" i="1"/>
  <c r="K1944" i="1"/>
  <c r="N1944" i="1"/>
  <c r="AJ1944" i="1"/>
  <c r="K1945" i="1"/>
  <c r="N1945" i="1"/>
  <c r="AJ1945" i="1"/>
  <c r="K1946" i="1"/>
  <c r="N1946" i="1"/>
  <c r="AJ1946" i="1"/>
  <c r="K1947" i="1"/>
  <c r="N1947" i="1"/>
  <c r="AJ1947" i="1"/>
  <c r="K1948" i="1"/>
  <c r="N1948" i="1"/>
  <c r="AJ1948" i="1"/>
  <c r="K1949" i="1"/>
  <c r="N1949" i="1"/>
  <c r="AJ1949" i="1"/>
  <c r="K1950" i="1"/>
  <c r="N1950" i="1"/>
  <c r="AJ1950" i="1"/>
  <c r="K1951" i="1"/>
  <c r="N1951" i="1"/>
  <c r="AJ1951" i="1"/>
  <c r="K1952" i="1"/>
  <c r="N1952" i="1"/>
  <c r="AJ1952" i="1"/>
  <c r="K1953" i="1"/>
  <c r="N1953" i="1"/>
  <c r="AJ1953" i="1"/>
  <c r="K1954" i="1"/>
  <c r="N1954" i="1"/>
  <c r="AJ1954" i="1"/>
  <c r="K1955" i="1"/>
  <c r="N1955" i="1"/>
  <c r="AJ1955" i="1"/>
  <c r="K1956" i="1"/>
  <c r="N1956" i="1"/>
  <c r="AJ1956" i="1"/>
  <c r="K1957" i="1"/>
  <c r="N1957" i="1"/>
  <c r="AJ1957" i="1"/>
  <c r="K1958" i="1"/>
  <c r="N1958" i="1"/>
  <c r="AJ1958" i="1"/>
  <c r="K1959" i="1"/>
  <c r="N1959" i="1"/>
  <c r="AJ1959" i="1"/>
  <c r="K1960" i="1"/>
  <c r="N1960" i="1"/>
  <c r="AJ1960" i="1"/>
  <c r="K1961" i="1"/>
  <c r="N1961" i="1"/>
  <c r="AJ1961" i="1"/>
  <c r="K1962" i="1"/>
  <c r="N1962" i="1"/>
  <c r="AJ1962" i="1"/>
  <c r="K1963" i="1"/>
  <c r="N1963" i="1"/>
  <c r="AJ1963" i="1"/>
  <c r="K1964" i="1"/>
  <c r="N1964" i="1"/>
  <c r="AJ1964" i="1"/>
  <c r="K1965" i="1"/>
  <c r="N1965" i="1"/>
  <c r="AJ1965" i="1"/>
  <c r="K1966" i="1"/>
  <c r="N1966" i="1"/>
  <c r="AJ1966" i="1"/>
  <c r="K1967" i="1"/>
  <c r="N1967" i="1"/>
  <c r="AJ1967" i="1"/>
  <c r="K1968" i="1"/>
  <c r="N1968" i="1"/>
  <c r="AJ1968" i="1"/>
  <c r="K1969" i="1"/>
  <c r="N1969" i="1"/>
  <c r="AJ1969" i="1"/>
  <c r="K1970" i="1"/>
  <c r="N1970" i="1"/>
  <c r="AJ1970" i="1"/>
  <c r="K1971" i="1"/>
  <c r="N1971" i="1"/>
  <c r="AJ1971" i="1"/>
  <c r="K1972" i="1"/>
  <c r="N1972" i="1"/>
  <c r="AJ1972" i="1"/>
  <c r="K1973" i="1"/>
  <c r="N1973" i="1"/>
  <c r="AJ1973" i="1"/>
  <c r="K1974" i="1"/>
  <c r="N1974" i="1"/>
  <c r="AJ1974" i="1"/>
  <c r="K1975" i="1"/>
  <c r="N1975" i="1"/>
  <c r="AJ1975" i="1"/>
  <c r="K1976" i="1"/>
  <c r="N1976" i="1"/>
  <c r="AJ1976" i="1"/>
  <c r="K1977" i="1"/>
  <c r="N1977" i="1"/>
  <c r="AJ1977" i="1"/>
  <c r="K1978" i="1"/>
  <c r="N1978" i="1"/>
  <c r="AJ1978" i="1"/>
  <c r="K1979" i="1"/>
  <c r="N1979" i="1"/>
  <c r="AJ1979" i="1"/>
  <c r="K1980" i="1"/>
  <c r="N1980" i="1"/>
  <c r="AJ1980" i="1"/>
  <c r="K1981" i="1"/>
  <c r="N1981" i="1"/>
  <c r="AJ1981" i="1"/>
  <c r="K1982" i="1"/>
  <c r="N1982" i="1"/>
  <c r="AJ1982" i="1"/>
  <c r="K1983" i="1"/>
  <c r="N1983" i="1"/>
  <c r="AJ1983" i="1"/>
  <c r="K1984" i="1"/>
  <c r="N1984" i="1"/>
  <c r="AJ1984" i="1"/>
  <c r="K1985" i="1"/>
  <c r="N1985" i="1"/>
  <c r="AJ1985" i="1"/>
  <c r="K1986" i="1"/>
  <c r="N1986" i="1"/>
  <c r="AJ1986" i="1"/>
  <c r="K1987" i="1"/>
  <c r="N1987" i="1"/>
  <c r="AJ1987" i="1"/>
  <c r="K1988" i="1"/>
  <c r="N1988" i="1"/>
  <c r="AJ1988" i="1"/>
  <c r="K1989" i="1"/>
  <c r="N1989" i="1"/>
  <c r="AJ1989" i="1"/>
  <c r="K1990" i="1"/>
  <c r="N1990" i="1"/>
  <c r="AJ1990" i="1"/>
  <c r="K1991" i="1"/>
  <c r="N1991" i="1"/>
  <c r="AJ1991" i="1"/>
  <c r="K1992" i="1"/>
  <c r="N1992" i="1"/>
  <c r="AJ1992" i="1"/>
  <c r="K1993" i="1"/>
  <c r="N1993" i="1"/>
  <c r="AJ1993" i="1"/>
  <c r="K1994" i="1"/>
  <c r="N1994" i="1"/>
  <c r="AJ1994" i="1"/>
  <c r="K1995" i="1"/>
  <c r="N1995" i="1"/>
  <c r="AJ1995" i="1"/>
  <c r="K1996" i="1"/>
  <c r="N1996" i="1"/>
  <c r="AJ1996" i="1"/>
  <c r="K1997" i="1"/>
  <c r="N1997" i="1"/>
  <c r="AJ1997" i="1"/>
  <c r="K1998" i="1"/>
  <c r="N1998" i="1"/>
  <c r="AJ1998" i="1"/>
  <c r="K1999" i="1"/>
  <c r="N1999" i="1"/>
  <c r="AJ1999" i="1"/>
  <c r="K2000" i="1"/>
  <c r="N2000" i="1"/>
  <c r="AJ2000" i="1"/>
  <c r="K2001" i="1"/>
  <c r="N2001" i="1"/>
  <c r="AJ2001" i="1"/>
  <c r="K2002" i="1"/>
  <c r="N2002" i="1"/>
  <c r="AJ2002" i="1"/>
  <c r="K2003" i="1"/>
  <c r="N2003" i="1"/>
  <c r="AJ2003" i="1"/>
  <c r="K2004" i="1"/>
  <c r="N2004" i="1"/>
  <c r="AJ2004" i="1"/>
  <c r="K2005" i="1"/>
  <c r="N2005" i="1"/>
  <c r="AJ2005" i="1"/>
  <c r="K2006" i="1"/>
  <c r="N2006" i="1"/>
  <c r="AJ2006" i="1"/>
  <c r="K2007" i="1"/>
  <c r="N2007" i="1"/>
  <c r="AJ2007" i="1"/>
  <c r="K2008" i="1"/>
  <c r="N2008" i="1"/>
  <c r="AJ2008" i="1"/>
  <c r="K2009" i="1"/>
  <c r="N2009" i="1"/>
  <c r="AJ2009" i="1"/>
  <c r="K2010" i="1"/>
  <c r="N2010" i="1"/>
  <c r="AJ2010" i="1"/>
  <c r="K2011" i="1"/>
  <c r="N2011" i="1"/>
  <c r="AJ2011" i="1"/>
  <c r="K2012" i="1"/>
  <c r="N2012" i="1"/>
  <c r="AJ2012" i="1"/>
  <c r="K2013" i="1"/>
  <c r="N2013" i="1"/>
  <c r="AJ2013" i="1"/>
  <c r="K2014" i="1"/>
  <c r="N2014" i="1"/>
  <c r="AJ2014" i="1"/>
  <c r="K2015" i="1"/>
  <c r="N2015" i="1"/>
  <c r="AJ2015" i="1"/>
  <c r="K2016" i="1"/>
  <c r="N2016" i="1"/>
  <c r="AJ2016" i="1"/>
  <c r="K2017" i="1"/>
  <c r="N2017" i="1"/>
  <c r="AJ2017" i="1"/>
  <c r="K2018" i="1"/>
  <c r="N2018" i="1"/>
  <c r="AJ2018" i="1"/>
  <c r="K2019" i="1"/>
  <c r="N2019" i="1"/>
  <c r="AJ2019" i="1"/>
  <c r="K2020" i="1"/>
  <c r="N2020" i="1"/>
  <c r="AJ2020" i="1"/>
  <c r="K2021" i="1"/>
  <c r="N2021" i="1"/>
  <c r="AJ2021" i="1"/>
  <c r="K2022" i="1"/>
  <c r="N2022" i="1"/>
  <c r="AJ2022" i="1"/>
  <c r="K2023" i="1"/>
  <c r="N2023" i="1"/>
  <c r="AJ2023" i="1"/>
  <c r="K2024" i="1"/>
  <c r="N2024" i="1"/>
  <c r="AJ2024" i="1"/>
  <c r="K2025" i="1"/>
  <c r="N2025" i="1"/>
  <c r="AJ2025" i="1"/>
  <c r="K2026" i="1"/>
  <c r="N2026" i="1"/>
  <c r="AJ2026" i="1"/>
  <c r="K2027" i="1"/>
  <c r="N2027" i="1"/>
  <c r="AJ2027" i="1"/>
  <c r="K2028" i="1"/>
  <c r="N2028" i="1"/>
  <c r="AJ2028" i="1"/>
  <c r="K2029" i="1"/>
  <c r="N2029" i="1"/>
  <c r="AJ2029" i="1"/>
  <c r="K2030" i="1"/>
  <c r="N2030" i="1"/>
  <c r="AJ2030" i="1"/>
  <c r="K2031" i="1"/>
  <c r="N2031" i="1"/>
  <c r="AJ2031" i="1"/>
  <c r="K2032" i="1"/>
  <c r="N2032" i="1"/>
  <c r="AJ2032" i="1"/>
  <c r="K2033" i="1"/>
  <c r="N2033" i="1"/>
  <c r="AJ2033" i="1"/>
  <c r="K2034" i="1"/>
  <c r="N2034" i="1"/>
  <c r="AJ2034" i="1"/>
  <c r="K2035" i="1"/>
  <c r="N2035" i="1"/>
  <c r="AJ2035" i="1"/>
  <c r="K2036" i="1"/>
  <c r="N2036" i="1"/>
  <c r="AJ2036" i="1"/>
  <c r="K2037" i="1"/>
  <c r="N2037" i="1"/>
  <c r="AJ2037" i="1"/>
  <c r="K2038" i="1"/>
  <c r="N2038" i="1"/>
  <c r="AJ2038" i="1"/>
  <c r="K2039" i="1"/>
  <c r="N2039" i="1"/>
  <c r="AJ2039" i="1"/>
  <c r="K2040" i="1"/>
  <c r="N2040" i="1"/>
  <c r="AJ2040" i="1"/>
  <c r="K2041" i="1"/>
  <c r="N2041" i="1"/>
  <c r="AJ2041" i="1"/>
  <c r="K2042" i="1"/>
  <c r="N2042" i="1"/>
  <c r="AJ2042" i="1"/>
  <c r="K2043" i="1"/>
  <c r="N2043" i="1"/>
  <c r="AJ2043" i="1"/>
  <c r="K2044" i="1"/>
  <c r="N2044" i="1"/>
  <c r="AJ2044" i="1"/>
  <c r="K2045" i="1"/>
  <c r="N2045" i="1"/>
  <c r="AJ2045" i="1"/>
  <c r="K2046" i="1"/>
  <c r="N2046" i="1"/>
  <c r="AJ2046" i="1"/>
  <c r="K2047" i="1"/>
  <c r="N2047" i="1"/>
  <c r="AJ2047" i="1"/>
  <c r="K2048" i="1"/>
  <c r="N2048" i="1"/>
  <c r="AJ2048" i="1"/>
  <c r="K2049" i="1"/>
  <c r="N2049" i="1"/>
  <c r="AJ2049" i="1"/>
  <c r="K2050" i="1"/>
  <c r="N2050" i="1"/>
  <c r="AJ2050" i="1"/>
  <c r="K2051" i="1"/>
  <c r="N2051" i="1"/>
  <c r="AJ2051" i="1"/>
  <c r="K2052" i="1"/>
  <c r="N2052" i="1"/>
  <c r="AJ2052" i="1"/>
  <c r="K2053" i="1"/>
  <c r="N2053" i="1"/>
  <c r="AJ2053" i="1"/>
  <c r="K2054" i="1"/>
  <c r="N2054" i="1"/>
  <c r="AJ2054" i="1"/>
  <c r="K2055" i="1"/>
  <c r="N2055" i="1"/>
  <c r="AJ2055" i="1"/>
  <c r="K2056" i="1"/>
  <c r="N2056" i="1"/>
  <c r="AJ2056" i="1"/>
  <c r="K2057" i="1"/>
  <c r="N2057" i="1"/>
  <c r="AJ2057" i="1"/>
  <c r="K2058" i="1"/>
  <c r="N2058" i="1"/>
  <c r="AJ2058" i="1"/>
  <c r="K2059" i="1"/>
  <c r="N2059" i="1"/>
  <c r="AJ2059" i="1"/>
  <c r="K2060" i="1"/>
  <c r="N2060" i="1"/>
  <c r="AJ2060" i="1"/>
  <c r="K2061" i="1"/>
  <c r="N2061" i="1"/>
  <c r="AJ2061" i="1"/>
  <c r="K2062" i="1"/>
  <c r="N2062" i="1"/>
  <c r="AJ2062" i="1"/>
  <c r="K2063" i="1"/>
  <c r="N2063" i="1"/>
  <c r="AJ2063" i="1"/>
  <c r="K2064" i="1"/>
  <c r="N2064" i="1"/>
  <c r="AJ2064" i="1"/>
  <c r="K2065" i="1"/>
  <c r="N2065" i="1"/>
  <c r="AJ2065" i="1"/>
  <c r="K2066" i="1"/>
  <c r="N2066" i="1"/>
  <c r="AJ2066" i="1"/>
  <c r="K2067" i="1"/>
  <c r="N2067" i="1"/>
  <c r="AJ2067" i="1"/>
  <c r="K2068" i="1"/>
  <c r="N2068" i="1"/>
  <c r="AJ2068" i="1"/>
  <c r="K2069" i="1"/>
  <c r="N2069" i="1"/>
  <c r="AJ2069" i="1"/>
  <c r="K2070" i="1"/>
  <c r="N2070" i="1"/>
  <c r="AJ2070" i="1"/>
  <c r="K2071" i="1"/>
  <c r="N2071" i="1"/>
  <c r="AJ2071" i="1"/>
  <c r="K2072" i="1"/>
  <c r="N2072" i="1"/>
  <c r="AJ2072" i="1"/>
  <c r="K2073" i="1"/>
  <c r="N2073" i="1"/>
  <c r="AJ2073" i="1"/>
  <c r="K2074" i="1"/>
  <c r="N2074" i="1"/>
  <c r="AJ2074" i="1"/>
  <c r="K2075" i="1"/>
  <c r="N2075" i="1"/>
  <c r="AJ2075" i="1"/>
  <c r="K2076" i="1"/>
  <c r="N2076" i="1"/>
  <c r="AJ2076" i="1"/>
  <c r="K2077" i="1"/>
  <c r="N2077" i="1"/>
  <c r="AJ2077" i="1"/>
  <c r="K2078" i="1"/>
  <c r="N2078" i="1"/>
  <c r="AJ2078" i="1"/>
  <c r="K2079" i="1"/>
  <c r="N2079" i="1"/>
  <c r="AJ2079" i="1"/>
  <c r="K2080" i="1"/>
  <c r="N2080" i="1"/>
  <c r="AJ2080" i="1"/>
  <c r="K2081" i="1"/>
  <c r="N2081" i="1"/>
  <c r="AJ2081" i="1"/>
  <c r="K2082" i="1"/>
  <c r="N2082" i="1"/>
  <c r="AJ2082" i="1"/>
  <c r="K2083" i="1"/>
  <c r="N2083" i="1"/>
  <c r="AJ2083" i="1"/>
  <c r="K2084" i="1"/>
  <c r="N2084" i="1"/>
  <c r="AJ2084" i="1"/>
  <c r="K2085" i="1"/>
  <c r="N2085" i="1"/>
  <c r="AJ2085" i="1"/>
  <c r="K2086" i="1"/>
  <c r="N2086" i="1"/>
  <c r="AJ2086" i="1"/>
  <c r="K2087" i="1"/>
  <c r="N2087" i="1"/>
  <c r="AJ2087" i="1"/>
  <c r="K2088" i="1"/>
  <c r="N2088" i="1"/>
  <c r="AJ2088" i="1"/>
  <c r="K2089" i="1"/>
  <c r="N2089" i="1"/>
  <c r="AJ2089" i="1"/>
  <c r="K2090" i="1"/>
  <c r="N2090" i="1"/>
  <c r="AJ2090" i="1"/>
  <c r="K2091" i="1"/>
  <c r="N2091" i="1"/>
  <c r="AJ2091" i="1"/>
  <c r="K2092" i="1"/>
  <c r="N2092" i="1"/>
  <c r="AJ2092" i="1"/>
  <c r="K2093" i="1"/>
  <c r="N2093" i="1"/>
  <c r="AJ2093" i="1"/>
  <c r="K2094" i="1"/>
  <c r="N2094" i="1"/>
  <c r="AJ2094" i="1"/>
  <c r="K2095" i="1"/>
  <c r="N2095" i="1"/>
  <c r="AJ2095" i="1"/>
  <c r="K2096" i="1"/>
  <c r="N2096" i="1"/>
  <c r="AJ2096" i="1"/>
  <c r="K2097" i="1"/>
  <c r="N2097" i="1"/>
  <c r="AJ2097" i="1"/>
  <c r="K2098" i="1"/>
  <c r="N2098" i="1"/>
  <c r="AJ2098" i="1"/>
  <c r="K2099" i="1"/>
  <c r="N2099" i="1"/>
  <c r="AJ2099" i="1"/>
  <c r="K2100" i="1"/>
  <c r="N2100" i="1"/>
  <c r="AJ2100" i="1"/>
  <c r="K2101" i="1"/>
  <c r="N2101" i="1"/>
  <c r="AJ2101" i="1"/>
  <c r="K2102" i="1"/>
  <c r="N2102" i="1"/>
  <c r="AJ2102" i="1"/>
  <c r="K2103" i="1"/>
  <c r="N2103" i="1"/>
  <c r="AJ2103" i="1"/>
  <c r="K2104" i="1"/>
  <c r="N2104" i="1"/>
  <c r="AJ2104" i="1"/>
  <c r="K2105" i="1"/>
  <c r="N2105" i="1"/>
  <c r="AJ2105" i="1"/>
  <c r="K2106" i="1"/>
  <c r="N2106" i="1"/>
  <c r="AJ2106" i="1"/>
  <c r="K2107" i="1"/>
  <c r="N2107" i="1"/>
  <c r="AJ2107" i="1"/>
  <c r="K2108" i="1"/>
  <c r="N2108" i="1"/>
  <c r="AJ2108" i="1"/>
  <c r="K2109" i="1"/>
  <c r="N2109" i="1"/>
  <c r="AJ2109" i="1"/>
  <c r="K2110" i="1"/>
  <c r="N2110" i="1"/>
  <c r="AJ2110" i="1"/>
  <c r="K2111" i="1"/>
  <c r="N2111" i="1"/>
  <c r="AJ2111" i="1"/>
  <c r="K2112" i="1"/>
  <c r="N2112" i="1"/>
  <c r="AJ2112" i="1"/>
  <c r="K2113" i="1"/>
  <c r="N2113" i="1"/>
  <c r="AJ2113" i="1"/>
  <c r="K2114" i="1"/>
  <c r="N2114" i="1"/>
  <c r="AJ2114" i="1"/>
  <c r="K2115" i="1"/>
  <c r="N2115" i="1"/>
  <c r="AJ2115" i="1"/>
  <c r="K2116" i="1"/>
  <c r="N2116" i="1"/>
  <c r="AJ2116" i="1"/>
  <c r="K2117" i="1"/>
  <c r="N2117" i="1"/>
  <c r="AJ2117" i="1"/>
  <c r="K2118" i="1"/>
  <c r="N2118" i="1"/>
  <c r="AJ2118" i="1"/>
  <c r="K2119" i="1"/>
  <c r="N2119" i="1"/>
  <c r="AJ2119" i="1"/>
  <c r="K2120" i="1"/>
  <c r="N2120" i="1"/>
  <c r="AJ2120" i="1"/>
  <c r="K2121" i="1"/>
  <c r="N2121" i="1"/>
  <c r="AJ2121" i="1"/>
  <c r="K2122" i="1"/>
  <c r="N2122" i="1"/>
  <c r="AJ2122" i="1"/>
  <c r="K2123" i="1"/>
  <c r="N2123" i="1"/>
  <c r="AJ2123" i="1"/>
  <c r="K2124" i="1"/>
  <c r="N2124" i="1"/>
  <c r="AJ2124" i="1"/>
  <c r="K2125" i="1"/>
  <c r="N2125" i="1"/>
  <c r="AJ2125" i="1"/>
  <c r="K2126" i="1"/>
  <c r="N2126" i="1"/>
  <c r="AJ2126" i="1"/>
  <c r="K2127" i="1"/>
  <c r="N2127" i="1"/>
  <c r="AJ2127" i="1"/>
  <c r="K2128" i="1"/>
  <c r="N2128" i="1"/>
  <c r="AJ2128" i="1"/>
  <c r="K2129" i="1"/>
  <c r="N2129" i="1"/>
  <c r="AJ2129" i="1"/>
  <c r="K2130" i="1"/>
  <c r="N2130" i="1"/>
  <c r="AJ2130" i="1"/>
  <c r="K2131" i="1"/>
  <c r="N2131" i="1"/>
  <c r="AJ2131" i="1"/>
  <c r="K2132" i="1"/>
  <c r="N2132" i="1"/>
  <c r="AJ2132" i="1"/>
  <c r="K2133" i="1"/>
  <c r="N2133" i="1"/>
  <c r="AJ2133" i="1"/>
  <c r="K2134" i="1"/>
  <c r="N2134" i="1"/>
  <c r="AJ2134" i="1"/>
  <c r="K2135" i="1"/>
  <c r="N2135" i="1"/>
  <c r="AJ2135" i="1"/>
  <c r="K2136" i="1"/>
  <c r="N2136" i="1"/>
  <c r="AJ2136" i="1"/>
  <c r="K2137" i="1"/>
  <c r="N2137" i="1"/>
  <c r="AJ2137" i="1"/>
  <c r="K2138" i="1"/>
  <c r="N2138" i="1"/>
  <c r="AJ2138" i="1"/>
  <c r="K2139" i="1"/>
  <c r="N2139" i="1"/>
  <c r="AJ2139" i="1"/>
  <c r="K2140" i="1"/>
  <c r="N2140" i="1"/>
  <c r="AJ2140" i="1"/>
  <c r="K2141" i="1"/>
  <c r="N2141" i="1"/>
  <c r="AJ2141" i="1"/>
  <c r="K2142" i="1"/>
  <c r="N2142" i="1"/>
  <c r="AJ2142" i="1"/>
  <c r="K2143" i="1"/>
  <c r="N2143" i="1"/>
  <c r="AJ2143" i="1"/>
  <c r="K2144" i="1"/>
  <c r="N2144" i="1"/>
  <c r="AJ2144" i="1"/>
  <c r="K2145" i="1"/>
  <c r="N2145" i="1"/>
  <c r="AJ2145" i="1"/>
  <c r="K2146" i="1"/>
  <c r="N2146" i="1"/>
  <c r="AJ2146" i="1"/>
  <c r="K2147" i="1"/>
  <c r="N2147" i="1"/>
  <c r="AJ2147" i="1"/>
  <c r="K2148" i="1"/>
  <c r="N2148" i="1"/>
  <c r="AJ2148" i="1"/>
  <c r="K2149" i="1"/>
  <c r="N2149" i="1"/>
  <c r="AJ2149" i="1"/>
  <c r="K2150" i="1"/>
  <c r="N2150" i="1"/>
  <c r="AJ2150" i="1"/>
  <c r="K2151" i="1"/>
  <c r="N2151" i="1"/>
  <c r="AJ2151" i="1"/>
  <c r="K2152" i="1"/>
  <c r="N2152" i="1"/>
  <c r="AJ2152" i="1"/>
  <c r="K2153" i="1"/>
  <c r="N2153" i="1"/>
  <c r="AJ2153" i="1"/>
  <c r="K2154" i="1"/>
  <c r="N2154" i="1"/>
  <c r="AJ2154" i="1"/>
  <c r="K2155" i="1"/>
  <c r="N2155" i="1"/>
  <c r="AJ2155" i="1"/>
  <c r="K2156" i="1"/>
  <c r="N2156" i="1"/>
  <c r="AJ2156" i="1"/>
  <c r="K2157" i="1"/>
  <c r="N2157" i="1"/>
  <c r="AJ2157" i="1"/>
  <c r="K2158" i="1"/>
  <c r="N2158" i="1"/>
  <c r="AJ2158" i="1"/>
  <c r="K2159" i="1"/>
  <c r="N2159" i="1"/>
  <c r="AJ2159" i="1"/>
  <c r="K2160" i="1"/>
  <c r="N2160" i="1"/>
  <c r="AJ2160" i="1"/>
  <c r="K2161" i="1"/>
  <c r="N2161" i="1"/>
  <c r="AJ2161" i="1"/>
  <c r="K2162" i="1"/>
  <c r="N2162" i="1"/>
  <c r="AJ2162" i="1"/>
  <c r="K2163" i="1"/>
  <c r="N2163" i="1"/>
  <c r="AJ2163" i="1"/>
  <c r="K2164" i="1"/>
  <c r="N2164" i="1"/>
  <c r="AJ2164" i="1"/>
  <c r="K2165" i="1"/>
  <c r="N2165" i="1"/>
  <c r="AJ2165" i="1"/>
  <c r="K2166" i="1"/>
  <c r="N2166" i="1"/>
  <c r="AJ2166" i="1"/>
  <c r="K2167" i="1"/>
  <c r="N2167" i="1"/>
  <c r="AJ2167" i="1"/>
  <c r="K2168" i="1"/>
  <c r="N2168" i="1"/>
  <c r="AJ2168" i="1"/>
  <c r="K2169" i="1"/>
  <c r="N2169" i="1"/>
  <c r="AJ2169" i="1"/>
  <c r="K2170" i="1"/>
  <c r="N2170" i="1"/>
  <c r="AJ2170" i="1"/>
  <c r="K2171" i="1"/>
  <c r="N2171" i="1"/>
  <c r="AJ2171" i="1"/>
  <c r="K2172" i="1"/>
  <c r="N2172" i="1"/>
  <c r="AJ2172" i="1"/>
  <c r="K2173" i="1"/>
  <c r="N2173" i="1"/>
  <c r="AJ2173" i="1"/>
  <c r="K2174" i="1"/>
  <c r="N2174" i="1"/>
  <c r="AJ2174" i="1"/>
  <c r="K2175" i="1"/>
  <c r="N2175" i="1"/>
  <c r="AJ2175" i="1"/>
  <c r="K2176" i="1"/>
  <c r="N2176" i="1"/>
  <c r="AJ2176" i="1"/>
  <c r="K2177" i="1"/>
  <c r="N2177" i="1"/>
  <c r="AJ2177" i="1"/>
  <c r="K2178" i="1"/>
  <c r="N2178" i="1"/>
  <c r="AJ2178" i="1"/>
  <c r="K2179" i="1"/>
  <c r="N2179" i="1"/>
  <c r="AJ2179" i="1"/>
  <c r="K2180" i="1"/>
  <c r="N2180" i="1"/>
  <c r="AJ2180" i="1"/>
  <c r="K2181" i="1"/>
  <c r="N2181" i="1"/>
  <c r="AJ2181" i="1"/>
  <c r="K2182" i="1"/>
  <c r="N2182" i="1"/>
  <c r="AJ2182" i="1"/>
  <c r="K2183" i="1"/>
  <c r="N2183" i="1"/>
  <c r="AJ2183" i="1"/>
  <c r="K2184" i="1"/>
  <c r="N2184" i="1"/>
  <c r="AJ2184" i="1"/>
  <c r="K2185" i="1"/>
  <c r="N2185" i="1"/>
  <c r="AJ2185" i="1"/>
  <c r="K2186" i="1"/>
  <c r="N2186" i="1"/>
  <c r="AJ2186" i="1"/>
  <c r="K2187" i="1"/>
  <c r="N2187" i="1"/>
  <c r="AJ2187" i="1"/>
  <c r="K2188" i="1"/>
  <c r="N2188" i="1"/>
  <c r="AJ2188" i="1"/>
  <c r="K2189" i="1"/>
  <c r="N2189" i="1"/>
  <c r="AJ2189" i="1"/>
  <c r="K2190" i="1"/>
  <c r="N2190" i="1"/>
  <c r="AJ2190" i="1"/>
  <c r="K2191" i="1"/>
  <c r="N2191" i="1"/>
  <c r="AJ2191" i="1"/>
  <c r="K2192" i="1"/>
  <c r="N2192" i="1"/>
  <c r="AJ2192" i="1"/>
  <c r="K2193" i="1"/>
  <c r="N2193" i="1"/>
  <c r="AJ2193" i="1"/>
  <c r="K2194" i="1"/>
  <c r="N2194" i="1"/>
  <c r="AJ2194" i="1"/>
  <c r="K2195" i="1"/>
  <c r="N2195" i="1"/>
  <c r="AJ2195" i="1"/>
  <c r="K2196" i="1"/>
  <c r="N2196" i="1"/>
  <c r="AJ2196" i="1"/>
  <c r="K2197" i="1"/>
  <c r="N2197" i="1"/>
  <c r="AJ2197" i="1"/>
  <c r="K2198" i="1"/>
  <c r="N2198" i="1"/>
  <c r="AJ2198" i="1"/>
  <c r="K2199" i="1"/>
  <c r="N2199" i="1"/>
  <c r="AJ2199" i="1"/>
  <c r="K2200" i="1"/>
  <c r="N2200" i="1"/>
  <c r="AJ2200" i="1"/>
  <c r="K2201" i="1"/>
  <c r="N2201" i="1"/>
  <c r="AJ2201" i="1"/>
  <c r="K2202" i="1"/>
  <c r="N2202" i="1"/>
  <c r="AJ2202" i="1"/>
  <c r="K2203" i="1"/>
  <c r="N2203" i="1"/>
  <c r="AJ2203" i="1"/>
  <c r="K2204" i="1"/>
  <c r="N2204" i="1"/>
  <c r="AJ2204" i="1"/>
  <c r="K2205" i="1"/>
  <c r="N2205" i="1"/>
  <c r="AJ2205" i="1"/>
  <c r="K2206" i="1"/>
  <c r="N2206" i="1"/>
  <c r="AJ2206" i="1"/>
  <c r="K2207" i="1"/>
  <c r="N2207" i="1"/>
  <c r="AJ2207" i="1"/>
  <c r="K2208" i="1"/>
  <c r="N2208" i="1"/>
  <c r="AJ2208" i="1"/>
  <c r="K2209" i="1"/>
  <c r="N2209" i="1"/>
  <c r="AJ2209" i="1"/>
  <c r="K2210" i="1"/>
  <c r="N2210" i="1"/>
  <c r="AJ2210" i="1"/>
  <c r="K2211" i="1"/>
  <c r="N2211" i="1"/>
  <c r="AJ2211" i="1"/>
  <c r="K2212" i="1"/>
  <c r="N2212" i="1"/>
  <c r="AJ2212" i="1"/>
  <c r="K2213" i="1"/>
  <c r="N2213" i="1"/>
  <c r="AJ2213" i="1"/>
  <c r="K2214" i="1"/>
  <c r="N2214" i="1"/>
  <c r="AJ2214" i="1"/>
  <c r="K2215" i="1"/>
  <c r="N2215" i="1"/>
  <c r="AJ2215" i="1"/>
  <c r="K2216" i="1"/>
  <c r="N2216" i="1"/>
  <c r="AJ2216" i="1"/>
  <c r="K2217" i="1"/>
  <c r="N2217" i="1"/>
  <c r="AJ2217" i="1"/>
  <c r="K2218" i="1"/>
  <c r="N2218" i="1"/>
  <c r="AJ2218" i="1"/>
  <c r="K2219" i="1"/>
  <c r="N2219" i="1"/>
  <c r="AJ2219" i="1"/>
  <c r="K2220" i="1"/>
  <c r="N2220" i="1"/>
  <c r="AJ2220" i="1"/>
  <c r="K2221" i="1"/>
  <c r="N2221" i="1"/>
  <c r="AJ2221" i="1"/>
  <c r="K2222" i="1"/>
  <c r="N2222" i="1"/>
  <c r="AJ2222" i="1"/>
  <c r="K2223" i="1"/>
  <c r="N2223" i="1"/>
  <c r="AJ2223" i="1"/>
  <c r="K2224" i="1"/>
  <c r="N2224" i="1"/>
  <c r="AJ2224" i="1"/>
  <c r="K2225" i="1"/>
  <c r="N2225" i="1"/>
  <c r="AJ2225" i="1"/>
  <c r="K2226" i="1"/>
  <c r="N2226" i="1"/>
  <c r="AJ2226" i="1"/>
  <c r="K2227" i="1"/>
  <c r="N2227" i="1"/>
  <c r="AJ2227" i="1"/>
  <c r="K2228" i="1"/>
  <c r="N2228" i="1"/>
  <c r="AJ2228" i="1"/>
  <c r="K2229" i="1"/>
  <c r="N2229" i="1"/>
  <c r="AJ2229" i="1"/>
  <c r="K2230" i="1"/>
  <c r="N2230" i="1"/>
  <c r="AJ2230" i="1"/>
  <c r="K2231" i="1"/>
  <c r="N2231" i="1"/>
  <c r="AJ2231" i="1"/>
  <c r="K2232" i="1"/>
  <c r="N2232" i="1"/>
  <c r="AJ2232" i="1"/>
  <c r="K2233" i="1"/>
  <c r="N2233" i="1"/>
  <c r="AJ2233" i="1"/>
  <c r="K2234" i="1"/>
  <c r="N2234" i="1"/>
  <c r="AJ2234" i="1"/>
  <c r="K2235" i="1"/>
  <c r="N2235" i="1"/>
  <c r="AJ2235" i="1"/>
  <c r="K2236" i="1"/>
  <c r="N2236" i="1"/>
  <c r="AJ2236" i="1"/>
  <c r="K2237" i="1"/>
  <c r="N2237" i="1"/>
  <c r="AJ2237" i="1"/>
  <c r="K2238" i="1"/>
  <c r="N2238" i="1"/>
  <c r="AJ2238" i="1"/>
  <c r="K2239" i="1"/>
  <c r="N2239" i="1"/>
  <c r="AJ2239" i="1"/>
  <c r="K2240" i="1"/>
  <c r="N2240" i="1"/>
  <c r="AJ2240" i="1"/>
  <c r="K2241" i="1"/>
  <c r="N2241" i="1"/>
  <c r="AJ2241" i="1"/>
  <c r="K2242" i="1"/>
  <c r="N2242" i="1"/>
  <c r="AJ2242" i="1"/>
  <c r="K2243" i="1"/>
  <c r="N2243" i="1"/>
  <c r="AJ2243" i="1"/>
  <c r="K2244" i="1"/>
  <c r="N2244" i="1"/>
  <c r="AJ2244" i="1"/>
  <c r="K2245" i="1"/>
  <c r="N2245" i="1"/>
  <c r="AJ2245" i="1"/>
  <c r="K2246" i="1"/>
  <c r="N2246" i="1"/>
  <c r="AJ2246" i="1"/>
  <c r="K2247" i="1"/>
  <c r="N2247" i="1"/>
  <c r="AJ2247" i="1"/>
  <c r="K2248" i="1"/>
  <c r="N2248" i="1"/>
  <c r="AJ2248" i="1"/>
  <c r="K2249" i="1"/>
  <c r="N2249" i="1"/>
  <c r="AJ2249" i="1"/>
  <c r="K2250" i="1"/>
  <c r="N2250" i="1"/>
  <c r="AJ2250" i="1"/>
  <c r="K2251" i="1"/>
  <c r="N2251" i="1"/>
  <c r="AJ2251" i="1"/>
  <c r="K2252" i="1"/>
  <c r="N2252" i="1"/>
  <c r="AJ2252" i="1"/>
  <c r="K2253" i="1"/>
  <c r="N2253" i="1"/>
  <c r="AJ2253" i="1"/>
  <c r="K2254" i="1"/>
  <c r="N2254" i="1"/>
  <c r="AJ2254" i="1"/>
  <c r="K2255" i="1"/>
  <c r="N2255" i="1"/>
  <c r="AJ2255" i="1"/>
  <c r="K2256" i="1"/>
  <c r="N2256" i="1"/>
  <c r="AJ2256" i="1"/>
  <c r="K2257" i="1"/>
  <c r="N2257" i="1"/>
  <c r="AJ2257" i="1"/>
  <c r="K2258" i="1"/>
  <c r="N2258" i="1"/>
  <c r="AJ2258" i="1"/>
  <c r="K2259" i="1"/>
  <c r="N2259" i="1"/>
  <c r="AJ2259" i="1"/>
  <c r="K2260" i="1"/>
  <c r="N2260" i="1"/>
  <c r="AJ2260" i="1"/>
  <c r="K2261" i="1"/>
  <c r="N2261" i="1"/>
  <c r="AJ2261" i="1"/>
  <c r="K2262" i="1"/>
  <c r="N2262" i="1"/>
  <c r="AJ2262" i="1"/>
  <c r="K2263" i="1"/>
  <c r="N2263" i="1"/>
  <c r="AJ2263" i="1"/>
  <c r="K2264" i="1"/>
  <c r="N2264" i="1"/>
  <c r="AJ2264" i="1"/>
  <c r="K2265" i="1"/>
  <c r="N2265" i="1"/>
  <c r="AJ2265" i="1"/>
  <c r="K2266" i="1"/>
  <c r="N2266" i="1"/>
  <c r="AJ2266" i="1"/>
  <c r="K2267" i="1"/>
  <c r="N2267" i="1"/>
  <c r="AJ2267" i="1"/>
  <c r="K2268" i="1"/>
  <c r="N2268" i="1"/>
  <c r="AJ2268" i="1"/>
  <c r="K2269" i="1"/>
  <c r="N2269" i="1"/>
  <c r="AJ2269" i="1"/>
  <c r="K2270" i="1"/>
  <c r="N2270" i="1"/>
  <c r="AJ2270" i="1"/>
  <c r="K2271" i="1"/>
  <c r="N2271" i="1"/>
  <c r="AJ2271" i="1"/>
  <c r="K2272" i="1"/>
  <c r="N2272" i="1"/>
  <c r="AJ2272" i="1"/>
  <c r="K2273" i="1"/>
  <c r="N2273" i="1"/>
  <c r="AJ2273" i="1"/>
  <c r="K2274" i="1"/>
  <c r="N2274" i="1"/>
  <c r="AJ2274" i="1"/>
  <c r="K2275" i="1"/>
  <c r="N2275" i="1"/>
  <c r="AJ2275" i="1"/>
  <c r="K2276" i="1"/>
  <c r="N2276" i="1"/>
  <c r="AJ2276" i="1"/>
  <c r="K2277" i="1"/>
  <c r="N2277" i="1"/>
  <c r="AJ2277" i="1"/>
  <c r="K2278" i="1"/>
  <c r="N2278" i="1"/>
  <c r="AJ2278" i="1"/>
  <c r="K2279" i="1"/>
  <c r="N2279" i="1"/>
  <c r="AJ2279" i="1"/>
  <c r="K2280" i="1"/>
  <c r="N2280" i="1"/>
  <c r="AJ2280" i="1"/>
  <c r="K2281" i="1"/>
  <c r="N2281" i="1"/>
  <c r="AJ2281" i="1"/>
  <c r="K2282" i="1"/>
  <c r="N2282" i="1"/>
  <c r="AJ2282" i="1"/>
  <c r="K2283" i="1"/>
  <c r="N2283" i="1"/>
  <c r="AJ2283" i="1"/>
  <c r="K2284" i="1"/>
  <c r="N2284" i="1"/>
  <c r="AJ2284" i="1"/>
  <c r="K2285" i="1"/>
  <c r="N2285" i="1"/>
  <c r="AJ2285" i="1"/>
  <c r="K2286" i="1"/>
  <c r="N2286" i="1"/>
  <c r="AJ2286" i="1"/>
  <c r="K2287" i="1"/>
  <c r="N2287" i="1"/>
  <c r="AJ2287" i="1"/>
  <c r="K2288" i="1"/>
  <c r="N2288" i="1"/>
  <c r="AJ2288" i="1"/>
  <c r="K2289" i="1"/>
  <c r="N2289" i="1"/>
  <c r="AJ2289" i="1"/>
  <c r="K2290" i="1"/>
  <c r="N2290" i="1"/>
  <c r="AJ2290" i="1"/>
  <c r="K2291" i="1"/>
  <c r="N2291" i="1"/>
  <c r="AJ2291" i="1"/>
  <c r="K2292" i="1"/>
  <c r="N2292" i="1"/>
  <c r="AJ2292" i="1"/>
  <c r="K2293" i="1"/>
  <c r="N2293" i="1"/>
  <c r="AJ2293" i="1"/>
  <c r="K2294" i="1"/>
  <c r="N2294" i="1"/>
  <c r="AJ2294" i="1"/>
  <c r="K2295" i="1"/>
  <c r="N2295" i="1"/>
  <c r="AJ2295" i="1"/>
  <c r="K2296" i="1"/>
  <c r="N2296" i="1"/>
  <c r="AJ2296" i="1"/>
  <c r="K2297" i="1"/>
  <c r="N2297" i="1"/>
  <c r="AJ2297" i="1"/>
  <c r="K2298" i="1"/>
  <c r="N2298" i="1"/>
  <c r="AJ2298" i="1"/>
  <c r="K2299" i="1"/>
  <c r="N2299" i="1"/>
  <c r="AJ2299" i="1"/>
  <c r="K2300" i="1"/>
  <c r="N2300" i="1"/>
  <c r="AJ2300" i="1"/>
  <c r="K2301" i="1"/>
  <c r="N2301" i="1"/>
  <c r="AJ2301" i="1"/>
  <c r="K2302" i="1"/>
  <c r="N2302" i="1"/>
  <c r="AJ2302" i="1"/>
  <c r="K2303" i="1"/>
  <c r="N2303" i="1"/>
  <c r="AJ2303" i="1"/>
  <c r="K2304" i="1"/>
  <c r="N2304" i="1"/>
  <c r="AJ2304" i="1"/>
  <c r="K2305" i="1"/>
  <c r="N2305" i="1"/>
  <c r="AJ2305" i="1"/>
  <c r="AJ1" i="1"/>
  <c r="S1" i="1"/>
  <c r="S3" i="1"/>
  <c r="Y1" i="1"/>
  <c r="Y3" i="1"/>
  <c r="AH3" i="1"/>
  <c r="S4" i="1"/>
  <c r="Y4" i="1"/>
  <c r="AH4" i="1"/>
  <c r="S5" i="1"/>
  <c r="Y5" i="1"/>
  <c r="AH5" i="1"/>
  <c r="S6" i="1"/>
  <c r="Y6" i="1"/>
  <c r="AH6" i="1"/>
  <c r="S7" i="1"/>
  <c r="Y7" i="1"/>
  <c r="AH7" i="1"/>
  <c r="S8" i="1"/>
  <c r="Y8" i="1"/>
  <c r="AH8" i="1"/>
  <c r="S9" i="1"/>
  <c r="Y9" i="1"/>
  <c r="AH9" i="1"/>
  <c r="S10" i="1"/>
  <c r="Y10" i="1"/>
  <c r="AH10" i="1"/>
  <c r="S11" i="1"/>
  <c r="Y11" i="1"/>
  <c r="AH11" i="1"/>
  <c r="S12" i="1"/>
  <c r="Y12" i="1"/>
  <c r="AH12" i="1"/>
  <c r="S13" i="1"/>
  <c r="Y13" i="1"/>
  <c r="AH13" i="1"/>
  <c r="S14" i="1"/>
  <c r="Y14" i="1"/>
  <c r="AH14" i="1"/>
  <c r="S15" i="1"/>
  <c r="Y15" i="1"/>
  <c r="AH15" i="1"/>
  <c r="S16" i="1"/>
  <c r="Y16" i="1"/>
  <c r="AH16" i="1"/>
  <c r="S17" i="1"/>
  <c r="Y17" i="1"/>
  <c r="AH17" i="1"/>
  <c r="S18" i="1"/>
  <c r="Y18" i="1"/>
  <c r="AH18" i="1"/>
  <c r="S19" i="1"/>
  <c r="Y19" i="1"/>
  <c r="AH19" i="1"/>
  <c r="S20" i="1"/>
  <c r="Y20" i="1"/>
  <c r="AH20" i="1"/>
  <c r="S21" i="1"/>
  <c r="Y21" i="1"/>
  <c r="AH21" i="1"/>
  <c r="S22" i="1"/>
  <c r="Y22" i="1"/>
  <c r="AH22" i="1"/>
  <c r="S23" i="1"/>
  <c r="Y23" i="1"/>
  <c r="AH23" i="1"/>
  <c r="S24" i="1"/>
  <c r="Y24" i="1"/>
  <c r="AH24" i="1"/>
  <c r="S25" i="1"/>
  <c r="Y25" i="1"/>
  <c r="AH25" i="1"/>
  <c r="S26" i="1"/>
  <c r="Y26" i="1"/>
  <c r="AH26" i="1"/>
  <c r="S27" i="1"/>
  <c r="Y27" i="1"/>
  <c r="AH27" i="1"/>
  <c r="S28" i="1"/>
  <c r="Y28" i="1"/>
  <c r="AH28" i="1"/>
  <c r="S29" i="1"/>
  <c r="Y29" i="1"/>
  <c r="AH29" i="1"/>
  <c r="S30" i="1"/>
  <c r="Y30" i="1"/>
  <c r="AH30" i="1"/>
  <c r="S31" i="1"/>
  <c r="Y31" i="1"/>
  <c r="AH31" i="1"/>
  <c r="S32" i="1"/>
  <c r="Y32" i="1"/>
  <c r="AH32" i="1"/>
  <c r="S33" i="1"/>
  <c r="Y33" i="1"/>
  <c r="AH33" i="1"/>
  <c r="S34" i="1"/>
  <c r="Y34" i="1"/>
  <c r="AH34" i="1"/>
  <c r="S35" i="1"/>
  <c r="Y35" i="1"/>
  <c r="AH35" i="1"/>
  <c r="S36" i="1"/>
  <c r="Y36" i="1"/>
  <c r="AH36" i="1"/>
  <c r="S37" i="1"/>
  <c r="Y37" i="1"/>
  <c r="AH37" i="1"/>
  <c r="S38" i="1"/>
  <c r="Y38" i="1"/>
  <c r="AH38" i="1"/>
  <c r="S39" i="1"/>
  <c r="Y39" i="1"/>
  <c r="AH39" i="1"/>
  <c r="S40" i="1"/>
  <c r="Y40" i="1"/>
  <c r="AH40" i="1"/>
  <c r="S41" i="1"/>
  <c r="Y41" i="1"/>
  <c r="AH41" i="1"/>
  <c r="S42" i="1"/>
  <c r="Y42" i="1"/>
  <c r="AH42" i="1"/>
  <c r="S43" i="1"/>
  <c r="Y43" i="1"/>
  <c r="AH43" i="1"/>
  <c r="S44" i="1"/>
  <c r="Y44" i="1"/>
  <c r="AH44" i="1"/>
  <c r="S45" i="1"/>
  <c r="Y45" i="1"/>
  <c r="AH45" i="1"/>
  <c r="S46" i="1"/>
  <c r="Y46" i="1"/>
  <c r="AH46" i="1"/>
  <c r="S47" i="1"/>
  <c r="Y47" i="1"/>
  <c r="AH47" i="1"/>
  <c r="S48" i="1"/>
  <c r="Y48" i="1"/>
  <c r="AH48" i="1"/>
  <c r="S49" i="1"/>
  <c r="Y49" i="1"/>
  <c r="AH49" i="1"/>
  <c r="S50" i="1"/>
  <c r="Y50" i="1"/>
  <c r="AH50" i="1"/>
  <c r="S51" i="1"/>
  <c r="Y51" i="1"/>
  <c r="AH51" i="1"/>
  <c r="S52" i="1"/>
  <c r="Y52" i="1"/>
  <c r="AH52" i="1"/>
  <c r="S53" i="1"/>
  <c r="Y53" i="1"/>
  <c r="AH53" i="1"/>
  <c r="S54" i="1"/>
  <c r="Y54" i="1"/>
  <c r="AH54" i="1"/>
  <c r="S55" i="1"/>
  <c r="Y55" i="1"/>
  <c r="AH55" i="1"/>
  <c r="S56" i="1"/>
  <c r="Y56" i="1"/>
  <c r="AH56" i="1"/>
  <c r="S57" i="1"/>
  <c r="Y57" i="1"/>
  <c r="AH57" i="1"/>
  <c r="S58" i="1"/>
  <c r="Y58" i="1"/>
  <c r="AH58" i="1"/>
  <c r="S59" i="1"/>
  <c r="Y59" i="1"/>
  <c r="AH59" i="1"/>
  <c r="S60" i="1"/>
  <c r="Y60" i="1"/>
  <c r="AH60" i="1"/>
  <c r="S61" i="1"/>
  <c r="Y61" i="1"/>
  <c r="AH61" i="1"/>
  <c r="S62" i="1"/>
  <c r="Y62" i="1"/>
  <c r="AH62" i="1"/>
  <c r="S63" i="1"/>
  <c r="Y63" i="1"/>
  <c r="AH63" i="1"/>
  <c r="S64" i="1"/>
  <c r="Y64" i="1"/>
  <c r="AH64" i="1"/>
  <c r="S65" i="1"/>
  <c r="Y65" i="1"/>
  <c r="AH65" i="1"/>
  <c r="S66" i="1"/>
  <c r="Y66" i="1"/>
  <c r="AH66" i="1"/>
  <c r="S67" i="1"/>
  <c r="Y67" i="1"/>
  <c r="AH67" i="1"/>
  <c r="S68" i="1"/>
  <c r="Y68" i="1"/>
  <c r="AH68" i="1"/>
  <c r="S69" i="1"/>
  <c r="Y69" i="1"/>
  <c r="AH69" i="1"/>
  <c r="S70" i="1"/>
  <c r="Y70" i="1"/>
  <c r="AH70" i="1"/>
  <c r="S71" i="1"/>
  <c r="Y71" i="1"/>
  <c r="AH71" i="1"/>
  <c r="S72" i="1"/>
  <c r="Y72" i="1"/>
  <c r="AH72" i="1"/>
  <c r="S73" i="1"/>
  <c r="Y73" i="1"/>
  <c r="AH73" i="1"/>
  <c r="S74" i="1"/>
  <c r="Y74" i="1"/>
  <c r="AH74" i="1"/>
  <c r="S75" i="1"/>
  <c r="Y75" i="1"/>
  <c r="AH75" i="1"/>
  <c r="S76" i="1"/>
  <c r="Y76" i="1"/>
  <c r="AH76" i="1"/>
  <c r="S77" i="1"/>
  <c r="Y77" i="1"/>
  <c r="AH77" i="1"/>
  <c r="S78" i="1"/>
  <c r="Y78" i="1"/>
  <c r="AH78" i="1"/>
  <c r="S79" i="1"/>
  <c r="Y79" i="1"/>
  <c r="AH79" i="1"/>
  <c r="S80" i="1"/>
  <c r="Y80" i="1"/>
  <c r="AH80" i="1"/>
  <c r="S81" i="1"/>
  <c r="Y81" i="1"/>
  <c r="AH81" i="1"/>
  <c r="S82" i="1"/>
  <c r="Y82" i="1"/>
  <c r="AH82" i="1"/>
  <c r="S83" i="1"/>
  <c r="Y83" i="1"/>
  <c r="AH83" i="1"/>
  <c r="S84" i="1"/>
  <c r="Y84" i="1"/>
  <c r="AH84" i="1"/>
  <c r="S85" i="1"/>
  <c r="Y85" i="1"/>
  <c r="AH85" i="1"/>
  <c r="S86" i="1"/>
  <c r="Y86" i="1"/>
  <c r="AH86" i="1"/>
  <c r="S87" i="1"/>
  <c r="Y87" i="1"/>
  <c r="AH87" i="1"/>
  <c r="S88" i="1"/>
  <c r="Y88" i="1"/>
  <c r="AH88" i="1"/>
  <c r="S89" i="1"/>
  <c r="Y89" i="1"/>
  <c r="AH89" i="1"/>
  <c r="S90" i="1"/>
  <c r="Y90" i="1"/>
  <c r="AH90" i="1"/>
  <c r="S91" i="1"/>
  <c r="Y91" i="1"/>
  <c r="AH91" i="1"/>
  <c r="S92" i="1"/>
  <c r="Y92" i="1"/>
  <c r="AH92" i="1"/>
  <c r="S93" i="1"/>
  <c r="Y93" i="1"/>
  <c r="AH93" i="1"/>
  <c r="S94" i="1"/>
  <c r="Y94" i="1"/>
  <c r="AH94" i="1"/>
  <c r="S95" i="1"/>
  <c r="Y95" i="1"/>
  <c r="AH95" i="1"/>
  <c r="S96" i="1"/>
  <c r="Y96" i="1"/>
  <c r="AH96" i="1"/>
  <c r="S97" i="1"/>
  <c r="Y97" i="1"/>
  <c r="AH97" i="1"/>
  <c r="S98" i="1"/>
  <c r="Y98" i="1"/>
  <c r="AH98" i="1"/>
  <c r="S99" i="1"/>
  <c r="Y99" i="1"/>
  <c r="AH99" i="1"/>
  <c r="S100" i="1"/>
  <c r="Y100" i="1"/>
  <c r="AH100" i="1"/>
  <c r="S101" i="1"/>
  <c r="Y101" i="1"/>
  <c r="AH101" i="1"/>
  <c r="S102" i="1"/>
  <c r="Y102" i="1"/>
  <c r="AH102" i="1"/>
  <c r="S103" i="1"/>
  <c r="Y103" i="1"/>
  <c r="AH103" i="1"/>
  <c r="S104" i="1"/>
  <c r="Y104" i="1"/>
  <c r="AH104" i="1"/>
  <c r="S105" i="1"/>
  <c r="Y105" i="1"/>
  <c r="AH105" i="1"/>
  <c r="S106" i="1"/>
  <c r="Y106" i="1"/>
  <c r="AH106" i="1"/>
  <c r="S107" i="1"/>
  <c r="Y107" i="1"/>
  <c r="AH107" i="1"/>
  <c r="S108" i="1"/>
  <c r="Y108" i="1"/>
  <c r="AH108" i="1"/>
  <c r="S109" i="1"/>
  <c r="Y109" i="1"/>
  <c r="AH109" i="1"/>
  <c r="S110" i="1"/>
  <c r="Y110" i="1"/>
  <c r="AH110" i="1"/>
  <c r="S111" i="1"/>
  <c r="Y111" i="1"/>
  <c r="AH111" i="1"/>
  <c r="S112" i="1"/>
  <c r="Y112" i="1"/>
  <c r="AH112" i="1"/>
  <c r="S113" i="1"/>
  <c r="Y113" i="1"/>
  <c r="AH113" i="1"/>
  <c r="S114" i="1"/>
  <c r="Y114" i="1"/>
  <c r="AH114" i="1"/>
  <c r="S115" i="1"/>
  <c r="Y115" i="1"/>
  <c r="AH115" i="1"/>
  <c r="S116" i="1"/>
  <c r="Y116" i="1"/>
  <c r="AH116" i="1"/>
  <c r="S117" i="1"/>
  <c r="Y117" i="1"/>
  <c r="AH117" i="1"/>
  <c r="S118" i="1"/>
  <c r="Y118" i="1"/>
  <c r="AH118" i="1"/>
  <c r="S119" i="1"/>
  <c r="Y119" i="1"/>
  <c r="AH119" i="1"/>
  <c r="S120" i="1"/>
  <c r="Y120" i="1"/>
  <c r="AH120" i="1"/>
  <c r="S121" i="1"/>
  <c r="Y121" i="1"/>
  <c r="AH121" i="1"/>
  <c r="S122" i="1"/>
  <c r="Y122" i="1"/>
  <c r="AH122" i="1"/>
  <c r="S123" i="1"/>
  <c r="Y123" i="1"/>
  <c r="AH123" i="1"/>
  <c r="S124" i="1"/>
  <c r="Y124" i="1"/>
  <c r="AH124" i="1"/>
  <c r="S125" i="1"/>
  <c r="Y125" i="1"/>
  <c r="AH125" i="1"/>
  <c r="S126" i="1"/>
  <c r="Y126" i="1"/>
  <c r="AH126" i="1"/>
  <c r="S127" i="1"/>
  <c r="Y127" i="1"/>
  <c r="AH127" i="1"/>
  <c r="S128" i="1"/>
  <c r="Y128" i="1"/>
  <c r="AH128" i="1"/>
  <c r="S129" i="1"/>
  <c r="Y129" i="1"/>
  <c r="AH129" i="1"/>
  <c r="S130" i="1"/>
  <c r="Y130" i="1"/>
  <c r="AH130" i="1"/>
  <c r="S131" i="1"/>
  <c r="Y131" i="1"/>
  <c r="AH131" i="1"/>
  <c r="S132" i="1"/>
  <c r="Y132" i="1"/>
  <c r="AH132" i="1"/>
  <c r="S133" i="1"/>
  <c r="Y133" i="1"/>
  <c r="AH133" i="1"/>
  <c r="S134" i="1"/>
  <c r="Y134" i="1"/>
  <c r="AH134" i="1"/>
  <c r="S135" i="1"/>
  <c r="Y135" i="1"/>
  <c r="AH135" i="1"/>
  <c r="S136" i="1"/>
  <c r="Y136" i="1"/>
  <c r="AH136" i="1"/>
  <c r="S137" i="1"/>
  <c r="Y137" i="1"/>
  <c r="AH137" i="1"/>
  <c r="S138" i="1"/>
  <c r="Y138" i="1"/>
  <c r="AH138" i="1"/>
  <c r="S139" i="1"/>
  <c r="Y139" i="1"/>
  <c r="AH139" i="1"/>
  <c r="S140" i="1"/>
  <c r="Y140" i="1"/>
  <c r="AH140" i="1"/>
  <c r="S141" i="1"/>
  <c r="Y141" i="1"/>
  <c r="AH141" i="1"/>
  <c r="S142" i="1"/>
  <c r="Y142" i="1"/>
  <c r="AH142" i="1"/>
  <c r="S143" i="1"/>
  <c r="Y143" i="1"/>
  <c r="AH143" i="1"/>
  <c r="S144" i="1"/>
  <c r="Y144" i="1"/>
  <c r="AH144" i="1"/>
  <c r="S145" i="1"/>
  <c r="Y145" i="1"/>
  <c r="AH145" i="1"/>
  <c r="S146" i="1"/>
  <c r="Y146" i="1"/>
  <c r="AH146" i="1"/>
  <c r="S147" i="1"/>
  <c r="Y147" i="1"/>
  <c r="AH147" i="1"/>
  <c r="S148" i="1"/>
  <c r="Y148" i="1"/>
  <c r="AH148" i="1"/>
  <c r="S149" i="1"/>
  <c r="Y149" i="1"/>
  <c r="AH149" i="1"/>
  <c r="S150" i="1"/>
  <c r="Y150" i="1"/>
  <c r="AH150" i="1"/>
  <c r="S151" i="1"/>
  <c r="Y151" i="1"/>
  <c r="AH151" i="1"/>
  <c r="S152" i="1"/>
  <c r="Y152" i="1"/>
  <c r="AH152" i="1"/>
  <c r="S153" i="1"/>
  <c r="Y153" i="1"/>
  <c r="AH153" i="1"/>
  <c r="S154" i="1"/>
  <c r="Y154" i="1"/>
  <c r="AH154" i="1"/>
  <c r="S155" i="1"/>
  <c r="Y155" i="1"/>
  <c r="AH155" i="1"/>
  <c r="S156" i="1"/>
  <c r="Y156" i="1"/>
  <c r="AH156" i="1"/>
  <c r="S157" i="1"/>
  <c r="Y157" i="1"/>
  <c r="AH157" i="1"/>
  <c r="S158" i="1"/>
  <c r="Y158" i="1"/>
  <c r="AH158" i="1"/>
  <c r="S159" i="1"/>
  <c r="Y159" i="1"/>
  <c r="AH159" i="1"/>
  <c r="S160" i="1"/>
  <c r="Y160" i="1"/>
  <c r="AH160" i="1"/>
  <c r="S161" i="1"/>
  <c r="Y161" i="1"/>
  <c r="AH161" i="1"/>
  <c r="S162" i="1"/>
  <c r="Y162" i="1"/>
  <c r="AH162" i="1"/>
  <c r="S163" i="1"/>
  <c r="Y163" i="1"/>
  <c r="AH163" i="1"/>
  <c r="S164" i="1"/>
  <c r="Y164" i="1"/>
  <c r="AH164" i="1"/>
  <c r="S165" i="1"/>
  <c r="Y165" i="1"/>
  <c r="AH165" i="1"/>
  <c r="S166" i="1"/>
  <c r="Y166" i="1"/>
  <c r="AH166" i="1"/>
  <c r="S167" i="1"/>
  <c r="Y167" i="1"/>
  <c r="AH167" i="1"/>
  <c r="S168" i="1"/>
  <c r="Y168" i="1"/>
  <c r="AH168" i="1"/>
  <c r="S169" i="1"/>
  <c r="Y169" i="1"/>
  <c r="AH169" i="1"/>
  <c r="S170" i="1"/>
  <c r="Y170" i="1"/>
  <c r="AH170" i="1"/>
  <c r="S171" i="1"/>
  <c r="Y171" i="1"/>
  <c r="AH171" i="1"/>
  <c r="S172" i="1"/>
  <c r="Y172" i="1"/>
  <c r="AH172" i="1"/>
  <c r="S173" i="1"/>
  <c r="Y173" i="1"/>
  <c r="AH173" i="1"/>
  <c r="S174" i="1"/>
  <c r="Y174" i="1"/>
  <c r="AH174" i="1"/>
  <c r="S175" i="1"/>
  <c r="Y175" i="1"/>
  <c r="AH175" i="1"/>
  <c r="S176" i="1"/>
  <c r="Y176" i="1"/>
  <c r="AH176" i="1"/>
  <c r="S177" i="1"/>
  <c r="Y177" i="1"/>
  <c r="AH177" i="1"/>
  <c r="S178" i="1"/>
  <c r="Y178" i="1"/>
  <c r="AH178" i="1"/>
  <c r="S179" i="1"/>
  <c r="Y179" i="1"/>
  <c r="AH179" i="1"/>
  <c r="S180" i="1"/>
  <c r="Y180" i="1"/>
  <c r="AH180" i="1"/>
  <c r="S181" i="1"/>
  <c r="Y181" i="1"/>
  <c r="AH181" i="1"/>
  <c r="S182" i="1"/>
  <c r="Y182" i="1"/>
  <c r="AH182" i="1"/>
  <c r="S183" i="1"/>
  <c r="Y183" i="1"/>
  <c r="AH183" i="1"/>
  <c r="S184" i="1"/>
  <c r="Y184" i="1"/>
  <c r="AH184" i="1"/>
  <c r="S185" i="1"/>
  <c r="Y185" i="1"/>
  <c r="AH185" i="1"/>
  <c r="S186" i="1"/>
  <c r="Y186" i="1"/>
  <c r="AH186" i="1"/>
  <c r="S187" i="1"/>
  <c r="Y187" i="1"/>
  <c r="AH187" i="1"/>
  <c r="S188" i="1"/>
  <c r="Y188" i="1"/>
  <c r="AH188" i="1"/>
  <c r="S189" i="1"/>
  <c r="Y189" i="1"/>
  <c r="AH189" i="1"/>
  <c r="S190" i="1"/>
  <c r="Y190" i="1"/>
  <c r="AH190" i="1"/>
  <c r="S191" i="1"/>
  <c r="Y191" i="1"/>
  <c r="AH191" i="1"/>
  <c r="S192" i="1"/>
  <c r="Y192" i="1"/>
  <c r="AH192" i="1"/>
  <c r="S193" i="1"/>
  <c r="Y193" i="1"/>
  <c r="AH193" i="1"/>
  <c r="S194" i="1"/>
  <c r="Y194" i="1"/>
  <c r="AH194" i="1"/>
  <c r="S195" i="1"/>
  <c r="Y195" i="1"/>
  <c r="AH195" i="1"/>
  <c r="S196" i="1"/>
  <c r="Y196" i="1"/>
  <c r="AH196" i="1"/>
  <c r="S197" i="1"/>
  <c r="Y197" i="1"/>
  <c r="AH197" i="1"/>
  <c r="S198" i="1"/>
  <c r="Y198" i="1"/>
  <c r="AH198" i="1"/>
  <c r="S199" i="1"/>
  <c r="Y199" i="1"/>
  <c r="AH199" i="1"/>
  <c r="S200" i="1"/>
  <c r="Y200" i="1"/>
  <c r="AH200" i="1"/>
  <c r="S201" i="1"/>
  <c r="Y201" i="1"/>
  <c r="AH201" i="1"/>
  <c r="S202" i="1"/>
  <c r="Y202" i="1"/>
  <c r="AH202" i="1"/>
  <c r="S203" i="1"/>
  <c r="Y203" i="1"/>
  <c r="AH203" i="1"/>
  <c r="S204" i="1"/>
  <c r="Y204" i="1"/>
  <c r="AH204" i="1"/>
  <c r="S205" i="1"/>
  <c r="Y205" i="1"/>
  <c r="AH205" i="1"/>
  <c r="S206" i="1"/>
  <c r="Y206" i="1"/>
  <c r="AH206" i="1"/>
  <c r="S207" i="1"/>
  <c r="Y207" i="1"/>
  <c r="AH207" i="1"/>
  <c r="S208" i="1"/>
  <c r="Y208" i="1"/>
  <c r="AH208" i="1"/>
  <c r="S209" i="1"/>
  <c r="Y209" i="1"/>
  <c r="AH209" i="1"/>
  <c r="S210" i="1"/>
  <c r="Y210" i="1"/>
  <c r="AH210" i="1"/>
  <c r="S211" i="1"/>
  <c r="Y211" i="1"/>
  <c r="AH211" i="1"/>
  <c r="S212" i="1"/>
  <c r="Y212" i="1"/>
  <c r="AH212" i="1"/>
  <c r="S213" i="1"/>
  <c r="Y213" i="1"/>
  <c r="AH213" i="1"/>
  <c r="S214" i="1"/>
  <c r="Y214" i="1"/>
  <c r="AH214" i="1"/>
  <c r="S215" i="1"/>
  <c r="Y215" i="1"/>
  <c r="AH215" i="1"/>
  <c r="S216" i="1"/>
  <c r="Y216" i="1"/>
  <c r="AH216" i="1"/>
  <c r="S217" i="1"/>
  <c r="Y217" i="1"/>
  <c r="AH217" i="1"/>
  <c r="S218" i="1"/>
  <c r="Y218" i="1"/>
  <c r="AH218" i="1"/>
  <c r="S219" i="1"/>
  <c r="Y219" i="1"/>
  <c r="AH219" i="1"/>
  <c r="S220" i="1"/>
  <c r="Y220" i="1"/>
  <c r="AH220" i="1"/>
  <c r="S221" i="1"/>
  <c r="Y221" i="1"/>
  <c r="AH221" i="1"/>
  <c r="S222" i="1"/>
  <c r="Y222" i="1"/>
  <c r="AH222" i="1"/>
  <c r="S223" i="1"/>
  <c r="Y223" i="1"/>
  <c r="AH223" i="1"/>
  <c r="S224" i="1"/>
  <c r="Y224" i="1"/>
  <c r="AH224" i="1"/>
  <c r="S225" i="1"/>
  <c r="Y225" i="1"/>
  <c r="AH225" i="1"/>
  <c r="S226" i="1"/>
  <c r="Y226" i="1"/>
  <c r="AH226" i="1"/>
  <c r="S227" i="1"/>
  <c r="Y227" i="1"/>
  <c r="AH227" i="1"/>
  <c r="S228" i="1"/>
  <c r="Y228" i="1"/>
  <c r="AH228" i="1"/>
  <c r="S229" i="1"/>
  <c r="Y229" i="1"/>
  <c r="AH229" i="1"/>
  <c r="S230" i="1"/>
  <c r="Y230" i="1"/>
  <c r="AH230" i="1"/>
  <c r="S231" i="1"/>
  <c r="Y231" i="1"/>
  <c r="AH231" i="1"/>
  <c r="S232" i="1"/>
  <c r="Y232" i="1"/>
  <c r="AH232" i="1"/>
  <c r="S233" i="1"/>
  <c r="Y233" i="1"/>
  <c r="AH233" i="1"/>
  <c r="S234" i="1"/>
  <c r="Y234" i="1"/>
  <c r="AH234" i="1"/>
  <c r="S235" i="1"/>
  <c r="Y235" i="1"/>
  <c r="AH235" i="1"/>
  <c r="S236" i="1"/>
  <c r="Y236" i="1"/>
  <c r="AH236" i="1"/>
  <c r="S237" i="1"/>
  <c r="Y237" i="1"/>
  <c r="AH237" i="1"/>
  <c r="S238" i="1"/>
  <c r="Y238" i="1"/>
  <c r="AH238" i="1"/>
  <c r="S239" i="1"/>
  <c r="Y239" i="1"/>
  <c r="AH239" i="1"/>
  <c r="S240" i="1"/>
  <c r="Y240" i="1"/>
  <c r="AH240" i="1"/>
  <c r="S241" i="1"/>
  <c r="Y241" i="1"/>
  <c r="AH241" i="1"/>
  <c r="S242" i="1"/>
  <c r="Y242" i="1"/>
  <c r="AH242" i="1"/>
  <c r="S243" i="1"/>
  <c r="Y243" i="1"/>
  <c r="AH243" i="1"/>
  <c r="S244" i="1"/>
  <c r="Y244" i="1"/>
  <c r="AH244" i="1"/>
  <c r="S245" i="1"/>
  <c r="Y245" i="1"/>
  <c r="AH245" i="1"/>
  <c r="S246" i="1"/>
  <c r="Y246" i="1"/>
  <c r="AH246" i="1"/>
  <c r="S247" i="1"/>
  <c r="Y247" i="1"/>
  <c r="AH247" i="1"/>
  <c r="S248" i="1"/>
  <c r="Y248" i="1"/>
  <c r="AH248" i="1"/>
  <c r="S249" i="1"/>
  <c r="Y249" i="1"/>
  <c r="AH249" i="1"/>
  <c r="S250" i="1"/>
  <c r="Y250" i="1"/>
  <c r="AH250" i="1"/>
  <c r="S251" i="1"/>
  <c r="Y251" i="1"/>
  <c r="AH251" i="1"/>
  <c r="S252" i="1"/>
  <c r="Y252" i="1"/>
  <c r="AH252" i="1"/>
  <c r="S253" i="1"/>
  <c r="Y253" i="1"/>
  <c r="AH253" i="1"/>
  <c r="S254" i="1"/>
  <c r="Y254" i="1"/>
  <c r="AH254" i="1"/>
  <c r="S255" i="1"/>
  <c r="Y255" i="1"/>
  <c r="AH255" i="1"/>
  <c r="S256" i="1"/>
  <c r="Y256" i="1"/>
  <c r="AH256" i="1"/>
  <c r="S257" i="1"/>
  <c r="Y257" i="1"/>
  <c r="AH257" i="1"/>
  <c r="S258" i="1"/>
  <c r="Y258" i="1"/>
  <c r="AH258" i="1"/>
  <c r="S259" i="1"/>
  <c r="Y259" i="1"/>
  <c r="AH259" i="1"/>
  <c r="S260" i="1"/>
  <c r="Y260" i="1"/>
  <c r="AH260" i="1"/>
  <c r="S261" i="1"/>
  <c r="Y261" i="1"/>
  <c r="AH261" i="1"/>
  <c r="S262" i="1"/>
  <c r="Y262" i="1"/>
  <c r="AH262" i="1"/>
  <c r="S263" i="1"/>
  <c r="Y263" i="1"/>
  <c r="AH263" i="1"/>
  <c r="S264" i="1"/>
  <c r="Y264" i="1"/>
  <c r="AH264" i="1"/>
  <c r="S265" i="1"/>
  <c r="Y265" i="1"/>
  <c r="AH265" i="1"/>
  <c r="S266" i="1"/>
  <c r="Y266" i="1"/>
  <c r="AH266" i="1"/>
  <c r="S267" i="1"/>
  <c r="Y267" i="1"/>
  <c r="AH267" i="1"/>
  <c r="S268" i="1"/>
  <c r="Y268" i="1"/>
  <c r="AH268" i="1"/>
  <c r="S269" i="1"/>
  <c r="Y269" i="1"/>
  <c r="AH269" i="1"/>
  <c r="S270" i="1"/>
  <c r="Y270" i="1"/>
  <c r="AH270" i="1"/>
  <c r="S271" i="1"/>
  <c r="Y271" i="1"/>
  <c r="AH271" i="1"/>
  <c r="S272" i="1"/>
  <c r="Y272" i="1"/>
  <c r="AH272" i="1"/>
  <c r="S273" i="1"/>
  <c r="Y273" i="1"/>
  <c r="AH273" i="1"/>
  <c r="S274" i="1"/>
  <c r="Y274" i="1"/>
  <c r="AH274" i="1"/>
  <c r="S275" i="1"/>
  <c r="Y275" i="1"/>
  <c r="AH275" i="1"/>
  <c r="S276" i="1"/>
  <c r="Y276" i="1"/>
  <c r="AH276" i="1"/>
  <c r="S277" i="1"/>
  <c r="Y277" i="1"/>
  <c r="AH277" i="1"/>
  <c r="S278" i="1"/>
  <c r="Y278" i="1"/>
  <c r="AH278" i="1"/>
  <c r="S279" i="1"/>
  <c r="Y279" i="1"/>
  <c r="AH279" i="1"/>
  <c r="S280" i="1"/>
  <c r="Y280" i="1"/>
  <c r="AH280" i="1"/>
  <c r="S281" i="1"/>
  <c r="Y281" i="1"/>
  <c r="AH281" i="1"/>
  <c r="S282" i="1"/>
  <c r="Y282" i="1"/>
  <c r="AH282" i="1"/>
  <c r="S283" i="1"/>
  <c r="Y283" i="1"/>
  <c r="AH283" i="1"/>
  <c r="S284" i="1"/>
  <c r="Y284" i="1"/>
  <c r="AH284" i="1"/>
  <c r="S285" i="1"/>
  <c r="Y285" i="1"/>
  <c r="AH285" i="1"/>
  <c r="S286" i="1"/>
  <c r="Y286" i="1"/>
  <c r="AH286" i="1"/>
  <c r="S287" i="1"/>
  <c r="Y287" i="1"/>
  <c r="AH287" i="1"/>
  <c r="S288" i="1"/>
  <c r="Y288" i="1"/>
  <c r="AH288" i="1"/>
  <c r="S289" i="1"/>
  <c r="Y289" i="1"/>
  <c r="AH289" i="1"/>
  <c r="S290" i="1"/>
  <c r="Y290" i="1"/>
  <c r="AH290" i="1"/>
  <c r="S291" i="1"/>
  <c r="Y291" i="1"/>
  <c r="AH291" i="1"/>
  <c r="S292" i="1"/>
  <c r="Y292" i="1"/>
  <c r="AH292" i="1"/>
  <c r="S293" i="1"/>
  <c r="Y293" i="1"/>
  <c r="AH293" i="1"/>
  <c r="S294" i="1"/>
  <c r="Y294" i="1"/>
  <c r="AH294" i="1"/>
  <c r="S295" i="1"/>
  <c r="Y295" i="1"/>
  <c r="AH295" i="1"/>
  <c r="S296" i="1"/>
  <c r="Y296" i="1"/>
  <c r="AH296" i="1"/>
  <c r="S297" i="1"/>
  <c r="Y297" i="1"/>
  <c r="AH297" i="1"/>
  <c r="S298" i="1"/>
  <c r="Y298" i="1"/>
  <c r="AH298" i="1"/>
  <c r="S299" i="1"/>
  <c r="Y299" i="1"/>
  <c r="AH299" i="1"/>
  <c r="S300" i="1"/>
  <c r="Y300" i="1"/>
  <c r="AH300" i="1"/>
  <c r="S301" i="1"/>
  <c r="Y301" i="1"/>
  <c r="AH301" i="1"/>
  <c r="S302" i="1"/>
  <c r="Y302" i="1"/>
  <c r="AH302" i="1"/>
  <c r="S303" i="1"/>
  <c r="Y303" i="1"/>
  <c r="AH303" i="1"/>
  <c r="S304" i="1"/>
  <c r="Y304" i="1"/>
  <c r="AH304" i="1"/>
  <c r="S305" i="1"/>
  <c r="Y305" i="1"/>
  <c r="AH305" i="1"/>
  <c r="S306" i="1"/>
  <c r="Y306" i="1"/>
  <c r="AH306" i="1"/>
  <c r="S307" i="1"/>
  <c r="Y307" i="1"/>
  <c r="AH307" i="1"/>
  <c r="S308" i="1"/>
  <c r="Y308" i="1"/>
  <c r="AH308" i="1"/>
  <c r="S309" i="1"/>
  <c r="Y309" i="1"/>
  <c r="AH309" i="1"/>
  <c r="S310" i="1"/>
  <c r="Y310" i="1"/>
  <c r="AH310" i="1"/>
  <c r="S311" i="1"/>
  <c r="Y311" i="1"/>
  <c r="AH311" i="1"/>
  <c r="S312" i="1"/>
  <c r="Y312" i="1"/>
  <c r="AH312" i="1"/>
  <c r="S313" i="1"/>
  <c r="Y313" i="1"/>
  <c r="AH313" i="1"/>
  <c r="S314" i="1"/>
  <c r="Y314" i="1"/>
  <c r="AH314" i="1"/>
  <c r="S315" i="1"/>
  <c r="Y315" i="1"/>
  <c r="AH315" i="1"/>
  <c r="S316" i="1"/>
  <c r="Y316" i="1"/>
  <c r="AH316" i="1"/>
  <c r="S317" i="1"/>
  <c r="Y317" i="1"/>
  <c r="AH317" i="1"/>
  <c r="S318" i="1"/>
  <c r="Y318" i="1"/>
  <c r="AH318" i="1"/>
  <c r="S319" i="1"/>
  <c r="Y319" i="1"/>
  <c r="AH319" i="1"/>
  <c r="S320" i="1"/>
  <c r="Y320" i="1"/>
  <c r="AH320" i="1"/>
  <c r="S321" i="1"/>
  <c r="Y321" i="1"/>
  <c r="AH321" i="1"/>
  <c r="S322" i="1"/>
  <c r="Y322" i="1"/>
  <c r="AH322" i="1"/>
  <c r="S323" i="1"/>
  <c r="Y323" i="1"/>
  <c r="AH323" i="1"/>
  <c r="S324" i="1"/>
  <c r="Y324" i="1"/>
  <c r="AH324" i="1"/>
  <c r="S325" i="1"/>
  <c r="Y325" i="1"/>
  <c r="AH325" i="1"/>
  <c r="S326" i="1"/>
  <c r="Y326" i="1"/>
  <c r="AH326" i="1"/>
  <c r="S327" i="1"/>
  <c r="Y327" i="1"/>
  <c r="AH327" i="1"/>
  <c r="S328" i="1"/>
  <c r="Y328" i="1"/>
  <c r="AH328" i="1"/>
  <c r="S329" i="1"/>
  <c r="Y329" i="1"/>
  <c r="AH329" i="1"/>
  <c r="S330" i="1"/>
  <c r="Y330" i="1"/>
  <c r="AH330" i="1"/>
  <c r="S331" i="1"/>
  <c r="Y331" i="1"/>
  <c r="AH331" i="1"/>
  <c r="S332" i="1"/>
  <c r="Y332" i="1"/>
  <c r="AH332" i="1"/>
  <c r="S333" i="1"/>
  <c r="Y333" i="1"/>
  <c r="AH333" i="1"/>
  <c r="S334" i="1"/>
  <c r="Y334" i="1"/>
  <c r="AH334" i="1"/>
  <c r="S335" i="1"/>
  <c r="Y335" i="1"/>
  <c r="AH335" i="1"/>
  <c r="S336" i="1"/>
  <c r="Y336" i="1"/>
  <c r="AH336" i="1"/>
  <c r="S337" i="1"/>
  <c r="Y337" i="1"/>
  <c r="AH337" i="1"/>
  <c r="S338" i="1"/>
  <c r="Y338" i="1"/>
  <c r="AH338" i="1"/>
  <c r="S339" i="1"/>
  <c r="Y339" i="1"/>
  <c r="AH339" i="1"/>
  <c r="S340" i="1"/>
  <c r="Y340" i="1"/>
  <c r="AH340" i="1"/>
  <c r="S341" i="1"/>
  <c r="Y341" i="1"/>
  <c r="AH341" i="1"/>
  <c r="S342" i="1"/>
  <c r="Y342" i="1"/>
  <c r="AH342" i="1"/>
  <c r="S343" i="1"/>
  <c r="Y343" i="1"/>
  <c r="AH343" i="1"/>
  <c r="S344" i="1"/>
  <c r="Y344" i="1"/>
  <c r="AH344" i="1"/>
  <c r="S345" i="1"/>
  <c r="Y345" i="1"/>
  <c r="AH345" i="1"/>
  <c r="S346" i="1"/>
  <c r="Y346" i="1"/>
  <c r="AH346" i="1"/>
  <c r="S347" i="1"/>
  <c r="Y347" i="1"/>
  <c r="AH347" i="1"/>
  <c r="S348" i="1"/>
  <c r="Y348" i="1"/>
  <c r="AH348" i="1"/>
  <c r="S349" i="1"/>
  <c r="Y349" i="1"/>
  <c r="AH349" i="1"/>
  <c r="S350" i="1"/>
  <c r="Y350" i="1"/>
  <c r="AH350" i="1"/>
  <c r="S351" i="1"/>
  <c r="Y351" i="1"/>
  <c r="AH351" i="1"/>
  <c r="S352" i="1"/>
  <c r="Y352" i="1"/>
  <c r="AH352" i="1"/>
  <c r="S353" i="1"/>
  <c r="Y353" i="1"/>
  <c r="AH353" i="1"/>
  <c r="S354" i="1"/>
  <c r="Y354" i="1"/>
  <c r="AH354" i="1"/>
  <c r="S355" i="1"/>
  <c r="Y355" i="1"/>
  <c r="AH355" i="1"/>
  <c r="S356" i="1"/>
  <c r="Y356" i="1"/>
  <c r="AH356" i="1"/>
  <c r="S357" i="1"/>
  <c r="Y357" i="1"/>
  <c r="AH357" i="1"/>
  <c r="S358" i="1"/>
  <c r="Y358" i="1"/>
  <c r="AH358" i="1"/>
  <c r="S359" i="1"/>
  <c r="Y359" i="1"/>
  <c r="AH359" i="1"/>
  <c r="S360" i="1"/>
  <c r="Y360" i="1"/>
  <c r="AH360" i="1"/>
  <c r="S361" i="1"/>
  <c r="Y361" i="1"/>
  <c r="AH361" i="1"/>
  <c r="S362" i="1"/>
  <c r="Y362" i="1"/>
  <c r="AH362" i="1"/>
  <c r="S363" i="1"/>
  <c r="Y363" i="1"/>
  <c r="AH363" i="1"/>
  <c r="S364" i="1"/>
  <c r="Y364" i="1"/>
  <c r="AH364" i="1"/>
  <c r="S365" i="1"/>
  <c r="Y365" i="1"/>
  <c r="AH365" i="1"/>
  <c r="S366" i="1"/>
  <c r="Y366" i="1"/>
  <c r="AH366" i="1"/>
  <c r="S367" i="1"/>
  <c r="Y367" i="1"/>
  <c r="AH367" i="1"/>
  <c r="S368" i="1"/>
  <c r="Y368" i="1"/>
  <c r="AH368" i="1"/>
  <c r="S369" i="1"/>
  <c r="Y369" i="1"/>
  <c r="AH369" i="1"/>
  <c r="S370" i="1"/>
  <c r="Y370" i="1"/>
  <c r="AH370" i="1"/>
  <c r="S371" i="1"/>
  <c r="Y371" i="1"/>
  <c r="AH371" i="1"/>
  <c r="S372" i="1"/>
  <c r="Y372" i="1"/>
  <c r="AH372" i="1"/>
  <c r="S373" i="1"/>
  <c r="Y373" i="1"/>
  <c r="AH373" i="1"/>
  <c r="S374" i="1"/>
  <c r="Y374" i="1"/>
  <c r="AH374" i="1"/>
  <c r="S375" i="1"/>
  <c r="Y375" i="1"/>
  <c r="AH375" i="1"/>
  <c r="S376" i="1"/>
  <c r="Y376" i="1"/>
  <c r="AH376" i="1"/>
  <c r="S377" i="1"/>
  <c r="Y377" i="1"/>
  <c r="AH377" i="1"/>
  <c r="S378" i="1"/>
  <c r="Y378" i="1"/>
  <c r="AH378" i="1"/>
  <c r="S379" i="1"/>
  <c r="Y379" i="1"/>
  <c r="AH379" i="1"/>
  <c r="S380" i="1"/>
  <c r="Y380" i="1"/>
  <c r="AH380" i="1"/>
  <c r="S381" i="1"/>
  <c r="Y381" i="1"/>
  <c r="AH381" i="1"/>
  <c r="S382" i="1"/>
  <c r="Y382" i="1"/>
  <c r="AH382" i="1"/>
  <c r="S383" i="1"/>
  <c r="Y383" i="1"/>
  <c r="AH383" i="1"/>
  <c r="S384" i="1"/>
  <c r="Y384" i="1"/>
  <c r="AH384" i="1"/>
  <c r="S385" i="1"/>
  <c r="Y385" i="1"/>
  <c r="AH385" i="1"/>
  <c r="S386" i="1"/>
  <c r="Y386" i="1"/>
  <c r="AH386" i="1"/>
  <c r="S387" i="1"/>
  <c r="Y387" i="1"/>
  <c r="AH387" i="1"/>
  <c r="S388" i="1"/>
  <c r="Y388" i="1"/>
  <c r="AH388" i="1"/>
  <c r="S389" i="1"/>
  <c r="Y389" i="1"/>
  <c r="AH389" i="1"/>
  <c r="S390" i="1"/>
  <c r="Y390" i="1"/>
  <c r="AH390" i="1"/>
  <c r="S391" i="1"/>
  <c r="Y391" i="1"/>
  <c r="AH391" i="1"/>
  <c r="S392" i="1"/>
  <c r="Y392" i="1"/>
  <c r="AH392" i="1"/>
  <c r="S393" i="1"/>
  <c r="Y393" i="1"/>
  <c r="AH393" i="1"/>
  <c r="S394" i="1"/>
  <c r="Y394" i="1"/>
  <c r="AH394" i="1"/>
  <c r="S395" i="1"/>
  <c r="Y395" i="1"/>
  <c r="AH395" i="1"/>
  <c r="S396" i="1"/>
  <c r="Y396" i="1"/>
  <c r="AH396" i="1"/>
  <c r="S397" i="1"/>
  <c r="Y397" i="1"/>
  <c r="AH397" i="1"/>
  <c r="S398" i="1"/>
  <c r="Y398" i="1"/>
  <c r="AH398" i="1"/>
  <c r="S399" i="1"/>
  <c r="Y399" i="1"/>
  <c r="AH399" i="1"/>
  <c r="S400" i="1"/>
  <c r="Y400" i="1"/>
  <c r="AH400" i="1"/>
  <c r="S401" i="1"/>
  <c r="Y401" i="1"/>
  <c r="AH401" i="1"/>
  <c r="S402" i="1"/>
  <c r="Y402" i="1"/>
  <c r="AH402" i="1"/>
  <c r="S403" i="1"/>
  <c r="Y403" i="1"/>
  <c r="AH403" i="1"/>
  <c r="S404" i="1"/>
  <c r="Y404" i="1"/>
  <c r="AH404" i="1"/>
  <c r="S405" i="1"/>
  <c r="Y405" i="1"/>
  <c r="AH405" i="1"/>
  <c r="S406" i="1"/>
  <c r="Y406" i="1"/>
  <c r="AH406" i="1"/>
  <c r="S407" i="1"/>
  <c r="Y407" i="1"/>
  <c r="AH407" i="1"/>
  <c r="S408" i="1"/>
  <c r="Y408" i="1"/>
  <c r="AH408" i="1"/>
  <c r="S409" i="1"/>
  <c r="Y409" i="1"/>
  <c r="AH409" i="1"/>
  <c r="S410" i="1"/>
  <c r="Y410" i="1"/>
  <c r="AH410" i="1"/>
  <c r="S411" i="1"/>
  <c r="Y411" i="1"/>
  <c r="AH411" i="1"/>
  <c r="S412" i="1"/>
  <c r="Y412" i="1"/>
  <c r="AH412" i="1"/>
  <c r="S413" i="1"/>
  <c r="Y413" i="1"/>
  <c r="AH413" i="1"/>
  <c r="S414" i="1"/>
  <c r="Y414" i="1"/>
  <c r="AH414" i="1"/>
  <c r="S415" i="1"/>
  <c r="Y415" i="1"/>
  <c r="AH415" i="1"/>
  <c r="S416" i="1"/>
  <c r="Y416" i="1"/>
  <c r="AH416" i="1"/>
  <c r="S417" i="1"/>
  <c r="Y417" i="1"/>
  <c r="AH417" i="1"/>
  <c r="S418" i="1"/>
  <c r="Y418" i="1"/>
  <c r="AH418" i="1"/>
  <c r="S419" i="1"/>
  <c r="Y419" i="1"/>
  <c r="AH419" i="1"/>
  <c r="S420" i="1"/>
  <c r="Y420" i="1"/>
  <c r="AH420" i="1"/>
  <c r="S421" i="1"/>
  <c r="Y421" i="1"/>
  <c r="AH421" i="1"/>
  <c r="S422" i="1"/>
  <c r="Y422" i="1"/>
  <c r="AH422" i="1"/>
  <c r="S423" i="1"/>
  <c r="Y423" i="1"/>
  <c r="AH423" i="1"/>
  <c r="S424" i="1"/>
  <c r="Y424" i="1"/>
  <c r="AH424" i="1"/>
  <c r="S425" i="1"/>
  <c r="Y425" i="1"/>
  <c r="AH425" i="1"/>
  <c r="S426" i="1"/>
  <c r="Y426" i="1"/>
  <c r="AH426" i="1"/>
  <c r="S427" i="1"/>
  <c r="Y427" i="1"/>
  <c r="AH427" i="1"/>
  <c r="S428" i="1"/>
  <c r="Y428" i="1"/>
  <c r="AH428" i="1"/>
  <c r="S429" i="1"/>
  <c r="Y429" i="1"/>
  <c r="AH429" i="1"/>
  <c r="S430" i="1"/>
  <c r="Y430" i="1"/>
  <c r="AH430" i="1"/>
  <c r="S431" i="1"/>
  <c r="Y431" i="1"/>
  <c r="AH431" i="1"/>
  <c r="S432" i="1"/>
  <c r="Y432" i="1"/>
  <c r="AH432" i="1"/>
  <c r="S433" i="1"/>
  <c r="Y433" i="1"/>
  <c r="AH433" i="1"/>
  <c r="S434" i="1"/>
  <c r="Y434" i="1"/>
  <c r="AH434" i="1"/>
  <c r="S519" i="1"/>
  <c r="Y519" i="1"/>
  <c r="AH519" i="1"/>
  <c r="S520" i="1"/>
  <c r="Y520" i="1"/>
  <c r="AH520" i="1"/>
  <c r="S521" i="1"/>
  <c r="Y521" i="1"/>
  <c r="AH521" i="1"/>
  <c r="S522" i="1"/>
  <c r="Y522" i="1"/>
  <c r="AH522" i="1"/>
  <c r="S523" i="1"/>
  <c r="Y523" i="1"/>
  <c r="AH523" i="1"/>
  <c r="S524" i="1"/>
  <c r="Y524" i="1"/>
  <c r="AH524" i="1"/>
  <c r="S525" i="1"/>
  <c r="Y525" i="1"/>
  <c r="AH525" i="1"/>
  <c r="S526" i="1"/>
  <c r="Y526" i="1"/>
  <c r="AH526" i="1"/>
  <c r="S527" i="1"/>
  <c r="Y527" i="1"/>
  <c r="AH527" i="1"/>
  <c r="S528" i="1"/>
  <c r="Y528" i="1"/>
  <c r="AH528" i="1"/>
  <c r="S529" i="1"/>
  <c r="Y529" i="1"/>
  <c r="AH529" i="1"/>
  <c r="S530" i="1"/>
  <c r="Y530" i="1"/>
  <c r="AH530" i="1"/>
  <c r="S543" i="1"/>
  <c r="Y543" i="1"/>
  <c r="AH543" i="1"/>
  <c r="S544" i="1"/>
  <c r="Y544" i="1"/>
  <c r="AH544" i="1"/>
  <c r="S545" i="1"/>
  <c r="Y545" i="1"/>
  <c r="AH545" i="1"/>
  <c r="S546" i="1"/>
  <c r="Y546" i="1"/>
  <c r="AH546" i="1"/>
  <c r="S547" i="1"/>
  <c r="Y547" i="1"/>
  <c r="AH547" i="1"/>
  <c r="S548" i="1"/>
  <c r="Y548" i="1"/>
  <c r="AH548" i="1"/>
  <c r="S549" i="1"/>
  <c r="Y549" i="1"/>
  <c r="AH549" i="1"/>
  <c r="S550" i="1"/>
  <c r="Y550" i="1"/>
  <c r="AH550" i="1"/>
  <c r="S551" i="1"/>
  <c r="Y551" i="1"/>
  <c r="AH551" i="1"/>
  <c r="S552" i="1"/>
  <c r="Y552" i="1"/>
  <c r="AH552" i="1"/>
  <c r="S553" i="1"/>
  <c r="Y553" i="1"/>
  <c r="AH553" i="1"/>
  <c r="S554" i="1"/>
  <c r="Y554" i="1"/>
  <c r="AH554" i="1"/>
  <c r="S555" i="1"/>
  <c r="Y555" i="1"/>
  <c r="AH555" i="1"/>
  <c r="S556" i="1"/>
  <c r="Y556" i="1"/>
  <c r="AH556" i="1"/>
  <c r="S557" i="1"/>
  <c r="Y557" i="1"/>
  <c r="AH557" i="1"/>
  <c r="S558" i="1"/>
  <c r="Y558" i="1"/>
  <c r="AH558" i="1"/>
  <c r="S559" i="1"/>
  <c r="Y559" i="1"/>
  <c r="AH559" i="1"/>
  <c r="S560" i="1"/>
  <c r="Y560" i="1"/>
  <c r="AH560" i="1"/>
  <c r="S561" i="1"/>
  <c r="Y561" i="1"/>
  <c r="AH561" i="1"/>
  <c r="S562" i="1"/>
  <c r="Y562" i="1"/>
  <c r="AH562" i="1"/>
  <c r="S563" i="1"/>
  <c r="Y563" i="1"/>
  <c r="AH563" i="1"/>
  <c r="S564" i="1"/>
  <c r="Y564" i="1"/>
  <c r="AH564" i="1"/>
  <c r="S565" i="1"/>
  <c r="Y565" i="1"/>
  <c r="AH565" i="1"/>
  <c r="S566" i="1"/>
  <c r="Y566" i="1"/>
  <c r="AH566" i="1"/>
  <c r="S435" i="1"/>
  <c r="Y435" i="1"/>
  <c r="AH435" i="1"/>
  <c r="S436" i="1"/>
  <c r="Y436" i="1"/>
  <c r="AH436" i="1"/>
  <c r="S437" i="1"/>
  <c r="Y437" i="1"/>
  <c r="AH437" i="1"/>
  <c r="S438" i="1"/>
  <c r="Y438" i="1"/>
  <c r="AH438" i="1"/>
  <c r="S439" i="1"/>
  <c r="Y439" i="1"/>
  <c r="AH439" i="1"/>
  <c r="S440" i="1"/>
  <c r="Y440" i="1"/>
  <c r="AH440" i="1"/>
  <c r="S441" i="1"/>
  <c r="Y441" i="1"/>
  <c r="AH441" i="1"/>
  <c r="S442" i="1"/>
  <c r="Y442" i="1"/>
  <c r="AH442" i="1"/>
  <c r="S443" i="1"/>
  <c r="Y443" i="1"/>
  <c r="AH443" i="1"/>
  <c r="S444" i="1"/>
  <c r="Y444" i="1"/>
  <c r="AH444" i="1"/>
  <c r="S445" i="1"/>
  <c r="Y445" i="1"/>
  <c r="AH445" i="1"/>
  <c r="S446" i="1"/>
  <c r="Y446" i="1"/>
  <c r="AH446" i="1"/>
  <c r="S447" i="1"/>
  <c r="Y447" i="1"/>
  <c r="AH447" i="1"/>
  <c r="S448" i="1"/>
  <c r="Y448" i="1"/>
  <c r="AH448" i="1"/>
  <c r="S449" i="1"/>
  <c r="Y449" i="1"/>
  <c r="AH449" i="1"/>
  <c r="S450" i="1"/>
  <c r="Y450" i="1"/>
  <c r="AH450" i="1"/>
  <c r="S451" i="1"/>
  <c r="Y451" i="1"/>
  <c r="AH451" i="1"/>
  <c r="S452" i="1"/>
  <c r="Y452" i="1"/>
  <c r="AH452" i="1"/>
  <c r="S453" i="1"/>
  <c r="Y453" i="1"/>
  <c r="AH453" i="1"/>
  <c r="S454" i="1"/>
  <c r="Y454" i="1"/>
  <c r="AH454" i="1"/>
  <c r="S455" i="1"/>
  <c r="Y455" i="1"/>
  <c r="AH455" i="1"/>
  <c r="S456" i="1"/>
  <c r="Y456" i="1"/>
  <c r="AH456" i="1"/>
  <c r="S457" i="1"/>
  <c r="Y457" i="1"/>
  <c r="AH457" i="1"/>
  <c r="S458" i="1"/>
  <c r="Y458" i="1"/>
  <c r="AH458" i="1"/>
  <c r="S459" i="1"/>
  <c r="Y459" i="1"/>
  <c r="AH459" i="1"/>
  <c r="S460" i="1"/>
  <c r="Y460" i="1"/>
  <c r="AH460" i="1"/>
  <c r="S461" i="1"/>
  <c r="Y461" i="1"/>
  <c r="AH461" i="1"/>
  <c r="S462" i="1"/>
  <c r="Y462" i="1"/>
  <c r="AH462" i="1"/>
  <c r="S463" i="1"/>
  <c r="Y463" i="1"/>
  <c r="AH463" i="1"/>
  <c r="S464" i="1"/>
  <c r="Y464" i="1"/>
  <c r="AH464" i="1"/>
  <c r="S465" i="1"/>
  <c r="Y465" i="1"/>
  <c r="AH465" i="1"/>
  <c r="S466" i="1"/>
  <c r="Y466" i="1"/>
  <c r="AH466" i="1"/>
  <c r="S467" i="1"/>
  <c r="Y467" i="1"/>
  <c r="AH467" i="1"/>
  <c r="S468" i="1"/>
  <c r="Y468" i="1"/>
  <c r="AH468" i="1"/>
  <c r="S469" i="1"/>
  <c r="Y469" i="1"/>
  <c r="AH469" i="1"/>
  <c r="S470" i="1"/>
  <c r="Y470" i="1"/>
  <c r="AH470" i="1"/>
  <c r="S483" i="1"/>
  <c r="Y483" i="1"/>
  <c r="AH483" i="1"/>
  <c r="S484" i="1"/>
  <c r="Y484" i="1"/>
  <c r="AH484" i="1"/>
  <c r="S485" i="1"/>
  <c r="Y485" i="1"/>
  <c r="AH485" i="1"/>
  <c r="S486" i="1"/>
  <c r="Y486" i="1"/>
  <c r="AH486" i="1"/>
  <c r="S487" i="1"/>
  <c r="Y487" i="1"/>
  <c r="AH487" i="1"/>
  <c r="S488" i="1"/>
  <c r="Y488" i="1"/>
  <c r="AH488" i="1"/>
  <c r="S489" i="1"/>
  <c r="Y489" i="1"/>
  <c r="AH489" i="1"/>
  <c r="S490" i="1"/>
  <c r="Y490" i="1"/>
  <c r="AH490" i="1"/>
  <c r="S491" i="1"/>
  <c r="Y491" i="1"/>
  <c r="AH491" i="1"/>
  <c r="S492" i="1"/>
  <c r="Y492" i="1"/>
  <c r="AH492" i="1"/>
  <c r="S493" i="1"/>
  <c r="Y493" i="1"/>
  <c r="AH493" i="1"/>
  <c r="S494" i="1"/>
  <c r="Y494" i="1"/>
  <c r="AH494" i="1"/>
  <c r="S471" i="1"/>
  <c r="Y471" i="1"/>
  <c r="AH471" i="1"/>
  <c r="S472" i="1"/>
  <c r="Y472" i="1"/>
  <c r="AH472" i="1"/>
  <c r="S473" i="1"/>
  <c r="Y473" i="1"/>
  <c r="AH473" i="1"/>
  <c r="S474" i="1"/>
  <c r="Y474" i="1"/>
  <c r="AH474" i="1"/>
  <c r="S475" i="1"/>
  <c r="Y475" i="1"/>
  <c r="AH475" i="1"/>
  <c r="S476" i="1"/>
  <c r="Y476" i="1"/>
  <c r="AH476" i="1"/>
  <c r="S477" i="1"/>
  <c r="Y477" i="1"/>
  <c r="AH477" i="1"/>
  <c r="S478" i="1"/>
  <c r="Y478" i="1"/>
  <c r="AH478" i="1"/>
  <c r="S479" i="1"/>
  <c r="Y479" i="1"/>
  <c r="AH479" i="1"/>
  <c r="S480" i="1"/>
  <c r="Y480" i="1"/>
  <c r="AH480" i="1"/>
  <c r="S481" i="1"/>
  <c r="Y481" i="1"/>
  <c r="AH481" i="1"/>
  <c r="S482" i="1"/>
  <c r="Y482" i="1"/>
  <c r="AH482" i="1"/>
  <c r="S495" i="1"/>
  <c r="Y495" i="1"/>
  <c r="AH495" i="1"/>
  <c r="S496" i="1"/>
  <c r="Y496" i="1"/>
  <c r="AH496" i="1"/>
  <c r="S497" i="1"/>
  <c r="Y497" i="1"/>
  <c r="AH497" i="1"/>
  <c r="S498" i="1"/>
  <c r="Y498" i="1"/>
  <c r="AH498" i="1"/>
  <c r="S499" i="1"/>
  <c r="Y499" i="1"/>
  <c r="AH499" i="1"/>
  <c r="S500" i="1"/>
  <c r="Y500" i="1"/>
  <c r="AH500" i="1"/>
  <c r="S501" i="1"/>
  <c r="Y501" i="1"/>
  <c r="AH501" i="1"/>
  <c r="S502" i="1"/>
  <c r="Y502" i="1"/>
  <c r="AH502" i="1"/>
  <c r="S503" i="1"/>
  <c r="Y503" i="1"/>
  <c r="AH503" i="1"/>
  <c r="S504" i="1"/>
  <c r="Y504" i="1"/>
  <c r="AH504" i="1"/>
  <c r="S505" i="1"/>
  <c r="Y505" i="1"/>
  <c r="AH505" i="1"/>
  <c r="S506" i="1"/>
  <c r="Y506" i="1"/>
  <c r="AH506" i="1"/>
  <c r="S507" i="1"/>
  <c r="Y507" i="1"/>
  <c r="AH507" i="1"/>
  <c r="S508" i="1"/>
  <c r="Y508" i="1"/>
  <c r="AH508" i="1"/>
  <c r="S509" i="1"/>
  <c r="Y509" i="1"/>
  <c r="AH509" i="1"/>
  <c r="S510" i="1"/>
  <c r="Y510" i="1"/>
  <c r="AH510" i="1"/>
  <c r="S511" i="1"/>
  <c r="Y511" i="1"/>
  <c r="AH511" i="1"/>
  <c r="S512" i="1"/>
  <c r="Y512" i="1"/>
  <c r="AH512" i="1"/>
  <c r="S513" i="1"/>
  <c r="Y513" i="1"/>
  <c r="AH513" i="1"/>
  <c r="S514" i="1"/>
  <c r="Y514" i="1"/>
  <c r="AH514" i="1"/>
  <c r="S515" i="1"/>
  <c r="Y515" i="1"/>
  <c r="AH515" i="1"/>
  <c r="S516" i="1"/>
  <c r="Y516" i="1"/>
  <c r="AH516" i="1"/>
  <c r="S517" i="1"/>
  <c r="Y517" i="1"/>
  <c r="AH517" i="1"/>
  <c r="S518" i="1"/>
  <c r="Y518" i="1"/>
  <c r="AH518" i="1"/>
  <c r="S531" i="1"/>
  <c r="Y531" i="1"/>
  <c r="AH531" i="1"/>
  <c r="S532" i="1"/>
  <c r="Y532" i="1"/>
  <c r="AH532" i="1"/>
  <c r="S533" i="1"/>
  <c r="Y533" i="1"/>
  <c r="AH533" i="1"/>
  <c r="S534" i="1"/>
  <c r="Y534" i="1"/>
  <c r="AH534" i="1"/>
  <c r="S535" i="1"/>
  <c r="Y535" i="1"/>
  <c r="AH535" i="1"/>
  <c r="S536" i="1"/>
  <c r="Y536" i="1"/>
  <c r="AH536" i="1"/>
  <c r="S537" i="1"/>
  <c r="Y537" i="1"/>
  <c r="AH537" i="1"/>
  <c r="S538" i="1"/>
  <c r="Y538" i="1"/>
  <c r="AH538" i="1"/>
  <c r="S539" i="1"/>
  <c r="Y539" i="1"/>
  <c r="AH539" i="1"/>
  <c r="S540" i="1"/>
  <c r="Y540" i="1"/>
  <c r="AH540" i="1"/>
  <c r="S541" i="1"/>
  <c r="Y541" i="1"/>
  <c r="AH541" i="1"/>
  <c r="S542" i="1"/>
  <c r="Y542" i="1"/>
  <c r="AH542" i="1"/>
  <c r="S567" i="1"/>
  <c r="Y567" i="1"/>
  <c r="AH567" i="1"/>
  <c r="S568" i="1"/>
  <c r="Y568" i="1"/>
  <c r="AH568" i="1"/>
  <c r="S569" i="1"/>
  <c r="Y569" i="1"/>
  <c r="AH569" i="1"/>
  <c r="S570" i="1"/>
  <c r="Y570" i="1"/>
  <c r="AH570" i="1"/>
  <c r="S571" i="1"/>
  <c r="Y571" i="1"/>
  <c r="AH571" i="1"/>
  <c r="S572" i="1"/>
  <c r="Y572" i="1"/>
  <c r="AH572" i="1"/>
  <c r="S573" i="1"/>
  <c r="Y573" i="1"/>
  <c r="AH573" i="1"/>
  <c r="S574" i="1"/>
  <c r="Y574" i="1"/>
  <c r="AH574" i="1"/>
  <c r="S575" i="1"/>
  <c r="Y575" i="1"/>
  <c r="AH575" i="1"/>
  <c r="S576" i="1"/>
  <c r="Y576" i="1"/>
  <c r="AH576" i="1"/>
  <c r="S577" i="1"/>
  <c r="Y577" i="1"/>
  <c r="AH577" i="1"/>
  <c r="S578" i="1"/>
  <c r="Y578" i="1"/>
  <c r="AH578" i="1"/>
  <c r="S579" i="1"/>
  <c r="Y579" i="1"/>
  <c r="AH579" i="1"/>
  <c r="S580" i="1"/>
  <c r="Y580" i="1"/>
  <c r="AH580" i="1"/>
  <c r="S581" i="1"/>
  <c r="Y581" i="1"/>
  <c r="AH581" i="1"/>
  <c r="S582" i="1"/>
  <c r="Y582" i="1"/>
  <c r="AH582" i="1"/>
  <c r="S583" i="1"/>
  <c r="Y583" i="1"/>
  <c r="AH583" i="1"/>
  <c r="S584" i="1"/>
  <c r="Y584" i="1"/>
  <c r="AH584" i="1"/>
  <c r="S585" i="1"/>
  <c r="Y585" i="1"/>
  <c r="AH585" i="1"/>
  <c r="S586" i="1"/>
  <c r="Y586" i="1"/>
  <c r="AH586" i="1"/>
  <c r="S587" i="1"/>
  <c r="Y587" i="1"/>
  <c r="AH587" i="1"/>
  <c r="S588" i="1"/>
  <c r="Y588" i="1"/>
  <c r="AH588" i="1"/>
  <c r="S589" i="1"/>
  <c r="Y589" i="1"/>
  <c r="AH589" i="1"/>
  <c r="S590" i="1"/>
  <c r="Y590" i="1"/>
  <c r="AH590" i="1"/>
  <c r="S591" i="1"/>
  <c r="Y591" i="1"/>
  <c r="AH591" i="1"/>
  <c r="S592" i="1"/>
  <c r="Y592" i="1"/>
  <c r="AH592" i="1"/>
  <c r="S593" i="1"/>
  <c r="Y593" i="1"/>
  <c r="AH593" i="1"/>
  <c r="S594" i="1"/>
  <c r="Y594" i="1"/>
  <c r="AH594" i="1"/>
  <c r="S595" i="1"/>
  <c r="Y595" i="1"/>
  <c r="AH595" i="1"/>
  <c r="S596" i="1"/>
  <c r="Y596" i="1"/>
  <c r="AH596" i="1"/>
  <c r="S597" i="1"/>
  <c r="Y597" i="1"/>
  <c r="AH597" i="1"/>
  <c r="S598" i="1"/>
  <c r="Y598" i="1"/>
  <c r="AH598" i="1"/>
  <c r="S599" i="1"/>
  <c r="Y599" i="1"/>
  <c r="AH599" i="1"/>
  <c r="S600" i="1"/>
  <c r="Y600" i="1"/>
  <c r="AH600" i="1"/>
  <c r="S601" i="1"/>
  <c r="Y601" i="1"/>
  <c r="AH601" i="1"/>
  <c r="S602" i="1"/>
  <c r="Y602" i="1"/>
  <c r="AH602" i="1"/>
  <c r="S603" i="1"/>
  <c r="Y603" i="1"/>
  <c r="AH603" i="1"/>
  <c r="S604" i="1"/>
  <c r="Y604" i="1"/>
  <c r="AH604" i="1"/>
  <c r="S605" i="1"/>
  <c r="Y605" i="1"/>
  <c r="AH605" i="1"/>
  <c r="S606" i="1"/>
  <c r="Y606" i="1"/>
  <c r="AH606" i="1"/>
  <c r="S607" i="1"/>
  <c r="Y607" i="1"/>
  <c r="AH607" i="1"/>
  <c r="S608" i="1"/>
  <c r="Y608" i="1"/>
  <c r="AH608" i="1"/>
  <c r="S609" i="1"/>
  <c r="Y609" i="1"/>
  <c r="AH609" i="1"/>
  <c r="S610" i="1"/>
  <c r="Y610" i="1"/>
  <c r="AH610" i="1"/>
  <c r="S611" i="1"/>
  <c r="Y611" i="1"/>
  <c r="AH611" i="1"/>
  <c r="S612" i="1"/>
  <c r="Y612" i="1"/>
  <c r="AH612" i="1"/>
  <c r="S613" i="1"/>
  <c r="Y613" i="1"/>
  <c r="AH613" i="1"/>
  <c r="S614" i="1"/>
  <c r="Y614" i="1"/>
  <c r="AH614" i="1"/>
  <c r="S615" i="1"/>
  <c r="Y615" i="1"/>
  <c r="AH615" i="1"/>
  <c r="S616" i="1"/>
  <c r="Y616" i="1"/>
  <c r="AH616" i="1"/>
  <c r="S617" i="1"/>
  <c r="Y617" i="1"/>
  <c r="AH617" i="1"/>
  <c r="S618" i="1"/>
  <c r="Y618" i="1"/>
  <c r="AH618" i="1"/>
  <c r="S619" i="1"/>
  <c r="Y619" i="1"/>
  <c r="AH619" i="1"/>
  <c r="S620" i="1"/>
  <c r="Y620" i="1"/>
  <c r="AH620" i="1"/>
  <c r="S621" i="1"/>
  <c r="Y621" i="1"/>
  <c r="AH621" i="1"/>
  <c r="S622" i="1"/>
  <c r="Y622" i="1"/>
  <c r="AH622" i="1"/>
  <c r="S623" i="1"/>
  <c r="Y623" i="1"/>
  <c r="AH623" i="1"/>
  <c r="S624" i="1"/>
  <c r="Y624" i="1"/>
  <c r="AH624" i="1"/>
  <c r="S625" i="1"/>
  <c r="Y625" i="1"/>
  <c r="AH625" i="1"/>
  <c r="S626" i="1"/>
  <c r="Y626" i="1"/>
  <c r="AH626" i="1"/>
  <c r="S627" i="1"/>
  <c r="Y627" i="1"/>
  <c r="AH627" i="1"/>
  <c r="S628" i="1"/>
  <c r="Y628" i="1"/>
  <c r="AH628" i="1"/>
  <c r="S629" i="1"/>
  <c r="Y629" i="1"/>
  <c r="AH629" i="1"/>
  <c r="S630" i="1"/>
  <c r="Y630" i="1"/>
  <c r="AH630" i="1"/>
  <c r="S631" i="1"/>
  <c r="Y631" i="1"/>
  <c r="AH631" i="1"/>
  <c r="S632" i="1"/>
  <c r="Y632" i="1"/>
  <c r="AH632" i="1"/>
  <c r="S633" i="1"/>
  <c r="Y633" i="1"/>
  <c r="AH633" i="1"/>
  <c r="S634" i="1"/>
  <c r="Y634" i="1"/>
  <c r="AH634" i="1"/>
  <c r="S635" i="1"/>
  <c r="Y635" i="1"/>
  <c r="AH635" i="1"/>
  <c r="S636" i="1"/>
  <c r="Y636" i="1"/>
  <c r="AH636" i="1"/>
  <c r="S637" i="1"/>
  <c r="Y637" i="1"/>
  <c r="AH637" i="1"/>
  <c r="S638" i="1"/>
  <c r="Y638" i="1"/>
  <c r="AH638" i="1"/>
  <c r="S639" i="1"/>
  <c r="Y639" i="1"/>
  <c r="AH639" i="1"/>
  <c r="S640" i="1"/>
  <c r="Y640" i="1"/>
  <c r="AH640" i="1"/>
  <c r="S641" i="1"/>
  <c r="Y641" i="1"/>
  <c r="AH641" i="1"/>
  <c r="S642" i="1"/>
  <c r="Y642" i="1"/>
  <c r="AH642" i="1"/>
  <c r="S643" i="1"/>
  <c r="Y643" i="1"/>
  <c r="AH643" i="1"/>
  <c r="S644" i="1"/>
  <c r="Y644" i="1"/>
  <c r="AH644" i="1"/>
  <c r="S645" i="1"/>
  <c r="Y645" i="1"/>
  <c r="AH645" i="1"/>
  <c r="S646" i="1"/>
  <c r="Y646" i="1"/>
  <c r="AH646" i="1"/>
  <c r="S647" i="1"/>
  <c r="Y647" i="1"/>
  <c r="AH647" i="1"/>
  <c r="S648" i="1"/>
  <c r="Y648" i="1"/>
  <c r="AH648" i="1"/>
  <c r="S649" i="1"/>
  <c r="Y649" i="1"/>
  <c r="AH649" i="1"/>
  <c r="S650" i="1"/>
  <c r="Y650" i="1"/>
  <c r="AH650" i="1"/>
  <c r="S651" i="1"/>
  <c r="Y651" i="1"/>
  <c r="AH651" i="1"/>
  <c r="S652" i="1"/>
  <c r="Y652" i="1"/>
  <c r="AH652" i="1"/>
  <c r="S653" i="1"/>
  <c r="Y653" i="1"/>
  <c r="AH653" i="1"/>
  <c r="S654" i="1"/>
  <c r="Y654" i="1"/>
  <c r="AH654" i="1"/>
  <c r="S655" i="1"/>
  <c r="Y655" i="1"/>
  <c r="AH655" i="1"/>
  <c r="S656" i="1"/>
  <c r="Y656" i="1"/>
  <c r="AH656" i="1"/>
  <c r="S657" i="1"/>
  <c r="Y657" i="1"/>
  <c r="AH657" i="1"/>
  <c r="S658" i="1"/>
  <c r="Y658" i="1"/>
  <c r="AH658" i="1"/>
  <c r="S659" i="1"/>
  <c r="Y659" i="1"/>
  <c r="AH659" i="1"/>
  <c r="S660" i="1"/>
  <c r="Y660" i="1"/>
  <c r="AH660" i="1"/>
  <c r="S661" i="1"/>
  <c r="Y661" i="1"/>
  <c r="AH661" i="1"/>
  <c r="S662" i="1"/>
  <c r="Y662" i="1"/>
  <c r="AH662" i="1"/>
  <c r="S663" i="1"/>
  <c r="Y663" i="1"/>
  <c r="AH663" i="1"/>
  <c r="S664" i="1"/>
  <c r="Y664" i="1"/>
  <c r="AH664" i="1"/>
  <c r="S665" i="1"/>
  <c r="Y665" i="1"/>
  <c r="AH665" i="1"/>
  <c r="S666" i="1"/>
  <c r="Y666" i="1"/>
  <c r="AH666" i="1"/>
  <c r="S667" i="1"/>
  <c r="Y667" i="1"/>
  <c r="AH667" i="1"/>
  <c r="S668" i="1"/>
  <c r="Y668" i="1"/>
  <c r="AH668" i="1"/>
  <c r="S669" i="1"/>
  <c r="Y669" i="1"/>
  <c r="AH669" i="1"/>
  <c r="S670" i="1"/>
  <c r="Y670" i="1"/>
  <c r="AH670" i="1"/>
  <c r="S671" i="1"/>
  <c r="Y671" i="1"/>
  <c r="AH671" i="1"/>
  <c r="S672" i="1"/>
  <c r="Y672" i="1"/>
  <c r="AH672" i="1"/>
  <c r="S673" i="1"/>
  <c r="Y673" i="1"/>
  <c r="AH673" i="1"/>
  <c r="S674" i="1"/>
  <c r="Y674" i="1"/>
  <c r="AH674" i="1"/>
  <c r="S675" i="1"/>
  <c r="Y675" i="1"/>
  <c r="AH675" i="1"/>
  <c r="S676" i="1"/>
  <c r="Y676" i="1"/>
  <c r="AH676" i="1"/>
  <c r="S677" i="1"/>
  <c r="Y677" i="1"/>
  <c r="AH677" i="1"/>
  <c r="S678" i="1"/>
  <c r="Y678" i="1"/>
  <c r="AH678" i="1"/>
  <c r="S679" i="1"/>
  <c r="Y679" i="1"/>
  <c r="AH679" i="1"/>
  <c r="S680" i="1"/>
  <c r="Y680" i="1"/>
  <c r="AH680" i="1"/>
  <c r="S681" i="1"/>
  <c r="Y681" i="1"/>
  <c r="AH681" i="1"/>
  <c r="S682" i="1"/>
  <c r="Y682" i="1"/>
  <c r="AH682" i="1"/>
  <c r="S683" i="1"/>
  <c r="Y683" i="1"/>
  <c r="AH683" i="1"/>
  <c r="S684" i="1"/>
  <c r="Y684" i="1"/>
  <c r="AH684" i="1"/>
  <c r="S685" i="1"/>
  <c r="Y685" i="1"/>
  <c r="AH685" i="1"/>
  <c r="S686" i="1"/>
  <c r="Y686" i="1"/>
  <c r="AH686" i="1"/>
  <c r="S687" i="1"/>
  <c r="Y687" i="1"/>
  <c r="AH687" i="1"/>
  <c r="S688" i="1"/>
  <c r="Y688" i="1"/>
  <c r="AH688" i="1"/>
  <c r="S689" i="1"/>
  <c r="Y689" i="1"/>
  <c r="AH689" i="1"/>
  <c r="S690" i="1"/>
  <c r="Y690" i="1"/>
  <c r="AH690" i="1"/>
  <c r="S691" i="1"/>
  <c r="Y691" i="1"/>
  <c r="AH691" i="1"/>
  <c r="S692" i="1"/>
  <c r="Y692" i="1"/>
  <c r="AH692" i="1"/>
  <c r="S693" i="1"/>
  <c r="Y693" i="1"/>
  <c r="AH693" i="1"/>
  <c r="S694" i="1"/>
  <c r="Y694" i="1"/>
  <c r="AH694" i="1"/>
  <c r="S695" i="1"/>
  <c r="Y695" i="1"/>
  <c r="AH695" i="1"/>
  <c r="S696" i="1"/>
  <c r="Y696" i="1"/>
  <c r="AH696" i="1"/>
  <c r="S697" i="1"/>
  <c r="Y697" i="1"/>
  <c r="AH697" i="1"/>
  <c r="S698" i="1"/>
  <c r="Y698" i="1"/>
  <c r="AH698" i="1"/>
  <c r="S699" i="1"/>
  <c r="Y699" i="1"/>
  <c r="AH699" i="1"/>
  <c r="S700" i="1"/>
  <c r="Y700" i="1"/>
  <c r="AH700" i="1"/>
  <c r="S701" i="1"/>
  <c r="Y701" i="1"/>
  <c r="AH701" i="1"/>
  <c r="S702" i="1"/>
  <c r="Y702" i="1"/>
  <c r="AH702" i="1"/>
  <c r="S703" i="1"/>
  <c r="Y703" i="1"/>
  <c r="AH703" i="1"/>
  <c r="S704" i="1"/>
  <c r="Y704" i="1"/>
  <c r="AH704" i="1"/>
  <c r="S705" i="1"/>
  <c r="Y705" i="1"/>
  <c r="AH705" i="1"/>
  <c r="S706" i="1"/>
  <c r="Y706" i="1"/>
  <c r="AH706" i="1"/>
  <c r="S707" i="1"/>
  <c r="Y707" i="1"/>
  <c r="AH707" i="1"/>
  <c r="S708" i="1"/>
  <c r="Y708" i="1"/>
  <c r="AH708" i="1"/>
  <c r="S709" i="1"/>
  <c r="Y709" i="1"/>
  <c r="AH709" i="1"/>
  <c r="S710" i="1"/>
  <c r="Y710" i="1"/>
  <c r="AH710" i="1"/>
  <c r="S711" i="1"/>
  <c r="Y711" i="1"/>
  <c r="AH711" i="1"/>
  <c r="S712" i="1"/>
  <c r="Y712" i="1"/>
  <c r="AH712" i="1"/>
  <c r="S713" i="1"/>
  <c r="Y713" i="1"/>
  <c r="AH713" i="1"/>
  <c r="S714" i="1"/>
  <c r="Y714" i="1"/>
  <c r="AH714" i="1"/>
  <c r="S715" i="1"/>
  <c r="Y715" i="1"/>
  <c r="AH715" i="1"/>
  <c r="S716" i="1"/>
  <c r="Y716" i="1"/>
  <c r="AH716" i="1"/>
  <c r="S717" i="1"/>
  <c r="Y717" i="1"/>
  <c r="AH717" i="1"/>
  <c r="S718" i="1"/>
  <c r="Y718" i="1"/>
  <c r="AH718" i="1"/>
  <c r="S719" i="1"/>
  <c r="Y719" i="1"/>
  <c r="AH719" i="1"/>
  <c r="S720" i="1"/>
  <c r="Y720" i="1"/>
  <c r="AH720" i="1"/>
  <c r="S721" i="1"/>
  <c r="Y721" i="1"/>
  <c r="AH721" i="1"/>
  <c r="S722" i="1"/>
  <c r="Y722" i="1"/>
  <c r="AH722" i="1"/>
  <c r="S723" i="1"/>
  <c r="Y723" i="1"/>
  <c r="AH723" i="1"/>
  <c r="S724" i="1"/>
  <c r="Y724" i="1"/>
  <c r="AH724" i="1"/>
  <c r="S725" i="1"/>
  <c r="Y725" i="1"/>
  <c r="AH725" i="1"/>
  <c r="S726" i="1"/>
  <c r="Y726" i="1"/>
  <c r="AH726" i="1"/>
  <c r="S727" i="1"/>
  <c r="Y727" i="1"/>
  <c r="AH727" i="1"/>
  <c r="S728" i="1"/>
  <c r="Y728" i="1"/>
  <c r="AH728" i="1"/>
  <c r="S729" i="1"/>
  <c r="Y729" i="1"/>
  <c r="AH729" i="1"/>
  <c r="S730" i="1"/>
  <c r="Y730" i="1"/>
  <c r="AH730" i="1"/>
  <c r="S731" i="1"/>
  <c r="Y731" i="1"/>
  <c r="AH731" i="1"/>
  <c r="S732" i="1"/>
  <c r="Y732" i="1"/>
  <c r="AH732" i="1"/>
  <c r="S733" i="1"/>
  <c r="Y733" i="1"/>
  <c r="AH733" i="1"/>
  <c r="S734" i="1"/>
  <c r="Y734" i="1"/>
  <c r="AH734" i="1"/>
  <c r="S735" i="1"/>
  <c r="Y735" i="1"/>
  <c r="AH735" i="1"/>
  <c r="S736" i="1"/>
  <c r="Y736" i="1"/>
  <c r="AH736" i="1"/>
  <c r="S737" i="1"/>
  <c r="Y737" i="1"/>
  <c r="AH737" i="1"/>
  <c r="S738" i="1"/>
  <c r="Y738" i="1"/>
  <c r="AH738" i="1"/>
  <c r="S739" i="1"/>
  <c r="Y739" i="1"/>
  <c r="AH739" i="1"/>
  <c r="S740" i="1"/>
  <c r="Y740" i="1"/>
  <c r="AH740" i="1"/>
  <c r="S741" i="1"/>
  <c r="Y741" i="1"/>
  <c r="AH741" i="1"/>
  <c r="S742" i="1"/>
  <c r="Y742" i="1"/>
  <c r="AH742" i="1"/>
  <c r="S743" i="1"/>
  <c r="Y743" i="1"/>
  <c r="AH743" i="1"/>
  <c r="S744" i="1"/>
  <c r="Y744" i="1"/>
  <c r="AH744" i="1"/>
  <c r="S745" i="1"/>
  <c r="Y745" i="1"/>
  <c r="AH745" i="1"/>
  <c r="S746" i="1"/>
  <c r="Y746" i="1"/>
  <c r="AH746" i="1"/>
  <c r="S747" i="1"/>
  <c r="Y747" i="1"/>
  <c r="AH747" i="1"/>
  <c r="S748" i="1"/>
  <c r="Y748" i="1"/>
  <c r="AH748" i="1"/>
  <c r="S749" i="1"/>
  <c r="Y749" i="1"/>
  <c r="AH749" i="1"/>
  <c r="S750" i="1"/>
  <c r="Y750" i="1"/>
  <c r="AH750" i="1"/>
  <c r="S751" i="1"/>
  <c r="Y751" i="1"/>
  <c r="AH751" i="1"/>
  <c r="S752" i="1"/>
  <c r="Y752" i="1"/>
  <c r="AH752" i="1"/>
  <c r="S753" i="1"/>
  <c r="Y753" i="1"/>
  <c r="AH753" i="1"/>
  <c r="S754" i="1"/>
  <c r="Y754" i="1"/>
  <c r="AH754" i="1"/>
  <c r="S755" i="1"/>
  <c r="Y755" i="1"/>
  <c r="AH755" i="1"/>
  <c r="S756" i="1"/>
  <c r="Y756" i="1"/>
  <c r="AH756" i="1"/>
  <c r="S757" i="1"/>
  <c r="Y757" i="1"/>
  <c r="AH757" i="1"/>
  <c r="S758" i="1"/>
  <c r="Y758" i="1"/>
  <c r="AH758" i="1"/>
  <c r="S759" i="1"/>
  <c r="Y759" i="1"/>
  <c r="AH759" i="1"/>
  <c r="S760" i="1"/>
  <c r="Y760" i="1"/>
  <c r="AH760" i="1"/>
  <c r="S761" i="1"/>
  <c r="Y761" i="1"/>
  <c r="AH761" i="1"/>
  <c r="S762" i="1"/>
  <c r="Y762" i="1"/>
  <c r="AH762" i="1"/>
  <c r="S763" i="1"/>
  <c r="Y763" i="1"/>
  <c r="AH763" i="1"/>
  <c r="S764" i="1"/>
  <c r="Y764" i="1"/>
  <c r="AH764" i="1"/>
  <c r="S765" i="1"/>
  <c r="Y765" i="1"/>
  <c r="AH765" i="1"/>
  <c r="S766" i="1"/>
  <c r="Y766" i="1"/>
  <c r="AH766" i="1"/>
  <c r="S767" i="1"/>
  <c r="Y767" i="1"/>
  <c r="AH767" i="1"/>
  <c r="S768" i="1"/>
  <c r="Y768" i="1"/>
  <c r="AH768" i="1"/>
  <c r="S769" i="1"/>
  <c r="Y769" i="1"/>
  <c r="AH769" i="1"/>
  <c r="S770" i="1"/>
  <c r="Y770" i="1"/>
  <c r="AH770" i="1"/>
  <c r="S771" i="1"/>
  <c r="Y771" i="1"/>
  <c r="AH771" i="1"/>
  <c r="S772" i="1"/>
  <c r="Y772" i="1"/>
  <c r="AH772" i="1"/>
  <c r="S773" i="1"/>
  <c r="Y773" i="1"/>
  <c r="AH773" i="1"/>
  <c r="S774" i="1"/>
  <c r="Y774" i="1"/>
  <c r="AH774" i="1"/>
  <c r="S775" i="1"/>
  <c r="Y775" i="1"/>
  <c r="AH775" i="1"/>
  <c r="S776" i="1"/>
  <c r="Y776" i="1"/>
  <c r="AH776" i="1"/>
  <c r="S777" i="1"/>
  <c r="Y777" i="1"/>
  <c r="AH777" i="1"/>
  <c r="S778" i="1"/>
  <c r="Y778" i="1"/>
  <c r="AH778" i="1"/>
  <c r="S779" i="1"/>
  <c r="Y779" i="1"/>
  <c r="AH779" i="1"/>
  <c r="S780" i="1"/>
  <c r="Y780" i="1"/>
  <c r="AH780" i="1"/>
  <c r="S781" i="1"/>
  <c r="Y781" i="1"/>
  <c r="AH781" i="1"/>
  <c r="S782" i="1"/>
  <c r="Y782" i="1"/>
  <c r="AH782" i="1"/>
  <c r="S783" i="1"/>
  <c r="Y783" i="1"/>
  <c r="AH783" i="1"/>
  <c r="S784" i="1"/>
  <c r="Y784" i="1"/>
  <c r="AH784" i="1"/>
  <c r="S785" i="1"/>
  <c r="Y785" i="1"/>
  <c r="AH785" i="1"/>
  <c r="S786" i="1"/>
  <c r="Y786" i="1"/>
  <c r="AH786" i="1"/>
  <c r="S787" i="1"/>
  <c r="Y787" i="1"/>
  <c r="AH787" i="1"/>
  <c r="S788" i="1"/>
  <c r="Y788" i="1"/>
  <c r="AH788" i="1"/>
  <c r="S789" i="1"/>
  <c r="Y789" i="1"/>
  <c r="AH789" i="1"/>
  <c r="S790" i="1"/>
  <c r="Y790" i="1"/>
  <c r="AH790" i="1"/>
  <c r="S791" i="1"/>
  <c r="Y791" i="1"/>
  <c r="AH791" i="1"/>
  <c r="S792" i="1"/>
  <c r="Y792" i="1"/>
  <c r="AH792" i="1"/>
  <c r="S793" i="1"/>
  <c r="Y793" i="1"/>
  <c r="AH793" i="1"/>
  <c r="S794" i="1"/>
  <c r="Y794" i="1"/>
  <c r="AH794" i="1"/>
  <c r="S795" i="1"/>
  <c r="Y795" i="1"/>
  <c r="AH795" i="1"/>
  <c r="S796" i="1"/>
  <c r="Y796" i="1"/>
  <c r="AH796" i="1"/>
  <c r="S797" i="1"/>
  <c r="Y797" i="1"/>
  <c r="AH797" i="1"/>
  <c r="S798" i="1"/>
  <c r="Y798" i="1"/>
  <c r="AH798" i="1"/>
  <c r="S799" i="1"/>
  <c r="Y799" i="1"/>
  <c r="AH799" i="1"/>
  <c r="S800" i="1"/>
  <c r="Y800" i="1"/>
  <c r="AH800" i="1"/>
  <c r="S801" i="1"/>
  <c r="Y801" i="1"/>
  <c r="AH801" i="1"/>
  <c r="S802" i="1"/>
  <c r="Y802" i="1"/>
  <c r="AH802" i="1"/>
  <c r="S803" i="1"/>
  <c r="Y803" i="1"/>
  <c r="AH803" i="1"/>
  <c r="S804" i="1"/>
  <c r="Y804" i="1"/>
  <c r="AH804" i="1"/>
  <c r="S805" i="1"/>
  <c r="Y805" i="1"/>
  <c r="AH805" i="1"/>
  <c r="S806" i="1"/>
  <c r="Y806" i="1"/>
  <c r="AH806" i="1"/>
  <c r="S807" i="1"/>
  <c r="Y807" i="1"/>
  <c r="AH807" i="1"/>
  <c r="S808" i="1"/>
  <c r="Y808" i="1"/>
  <c r="AH808" i="1"/>
  <c r="S809" i="1"/>
  <c r="Y809" i="1"/>
  <c r="AH809" i="1"/>
  <c r="S810" i="1"/>
  <c r="Y810" i="1"/>
  <c r="AH810" i="1"/>
  <c r="S811" i="1"/>
  <c r="Y811" i="1"/>
  <c r="AH811" i="1"/>
  <c r="S812" i="1"/>
  <c r="Y812" i="1"/>
  <c r="AH812" i="1"/>
  <c r="S813" i="1"/>
  <c r="Y813" i="1"/>
  <c r="AH813" i="1"/>
  <c r="S814" i="1"/>
  <c r="Y814" i="1"/>
  <c r="AH814" i="1"/>
  <c r="S815" i="1"/>
  <c r="Y815" i="1"/>
  <c r="AH815" i="1"/>
  <c r="S816" i="1"/>
  <c r="Y816" i="1"/>
  <c r="AH816" i="1"/>
  <c r="S817" i="1"/>
  <c r="Y817" i="1"/>
  <c r="AH817" i="1"/>
  <c r="S818" i="1"/>
  <c r="Y818" i="1"/>
  <c r="AH818" i="1"/>
  <c r="S819" i="1"/>
  <c r="Y819" i="1"/>
  <c r="AH819" i="1"/>
  <c r="S820" i="1"/>
  <c r="Y820" i="1"/>
  <c r="AH820" i="1"/>
  <c r="S821" i="1"/>
  <c r="Y821" i="1"/>
  <c r="AH821" i="1"/>
  <c r="S822" i="1"/>
  <c r="Y822" i="1"/>
  <c r="AH822" i="1"/>
  <c r="S823" i="1"/>
  <c r="Y823" i="1"/>
  <c r="AH823" i="1"/>
  <c r="S824" i="1"/>
  <c r="Y824" i="1"/>
  <c r="AH824" i="1"/>
  <c r="S825" i="1"/>
  <c r="Y825" i="1"/>
  <c r="AH825" i="1"/>
  <c r="S826" i="1"/>
  <c r="Y826" i="1"/>
  <c r="AH826" i="1"/>
  <c r="S827" i="1"/>
  <c r="Y827" i="1"/>
  <c r="AH827" i="1"/>
  <c r="S828" i="1"/>
  <c r="Y828" i="1"/>
  <c r="AH828" i="1"/>
  <c r="S829" i="1"/>
  <c r="Y829" i="1"/>
  <c r="AH829" i="1"/>
  <c r="S830" i="1"/>
  <c r="Y830" i="1"/>
  <c r="AH830" i="1"/>
  <c r="S831" i="1"/>
  <c r="Y831" i="1"/>
  <c r="AH831" i="1"/>
  <c r="S832" i="1"/>
  <c r="Y832" i="1"/>
  <c r="AH832" i="1"/>
  <c r="S833" i="1"/>
  <c r="Y833" i="1"/>
  <c r="AH833" i="1"/>
  <c r="S834" i="1"/>
  <c r="Y834" i="1"/>
  <c r="AH834" i="1"/>
  <c r="S835" i="1"/>
  <c r="Y835" i="1"/>
  <c r="AH835" i="1"/>
  <c r="S836" i="1"/>
  <c r="Y836" i="1"/>
  <c r="AH836" i="1"/>
  <c r="S837" i="1"/>
  <c r="Y837" i="1"/>
  <c r="AH837" i="1"/>
  <c r="S838" i="1"/>
  <c r="Y838" i="1"/>
  <c r="AH838" i="1"/>
  <c r="S839" i="1"/>
  <c r="Y839" i="1"/>
  <c r="AH839" i="1"/>
  <c r="S840" i="1"/>
  <c r="Y840" i="1"/>
  <c r="AH840" i="1"/>
  <c r="S841" i="1"/>
  <c r="Y841" i="1"/>
  <c r="AH841" i="1"/>
  <c r="S842" i="1"/>
  <c r="Y842" i="1"/>
  <c r="AH842" i="1"/>
  <c r="S843" i="1"/>
  <c r="Y843" i="1"/>
  <c r="AH843" i="1"/>
  <c r="S844" i="1"/>
  <c r="Y844" i="1"/>
  <c r="AH844" i="1"/>
  <c r="S845" i="1"/>
  <c r="Y845" i="1"/>
  <c r="AH845" i="1"/>
  <c r="S846" i="1"/>
  <c r="Y846" i="1"/>
  <c r="AH846" i="1"/>
  <c r="S847" i="1"/>
  <c r="Y847" i="1"/>
  <c r="AH847" i="1"/>
  <c r="S848" i="1"/>
  <c r="Y848" i="1"/>
  <c r="AH848" i="1"/>
  <c r="S849" i="1"/>
  <c r="Y849" i="1"/>
  <c r="AH849" i="1"/>
  <c r="S850" i="1"/>
  <c r="Y850" i="1"/>
  <c r="AH850" i="1"/>
  <c r="S851" i="1"/>
  <c r="Y851" i="1"/>
  <c r="AH851" i="1"/>
  <c r="S852" i="1"/>
  <c r="Y852" i="1"/>
  <c r="AH852" i="1"/>
  <c r="S853" i="1"/>
  <c r="Y853" i="1"/>
  <c r="AH853" i="1"/>
  <c r="S854" i="1"/>
  <c r="Y854" i="1"/>
  <c r="AH854" i="1"/>
  <c r="S855" i="1"/>
  <c r="Y855" i="1"/>
  <c r="AH855" i="1"/>
  <c r="S856" i="1"/>
  <c r="Y856" i="1"/>
  <c r="AH856" i="1"/>
  <c r="S857" i="1"/>
  <c r="Y857" i="1"/>
  <c r="AH857" i="1"/>
  <c r="S858" i="1"/>
  <c r="Y858" i="1"/>
  <c r="AH858" i="1"/>
  <c r="S859" i="1"/>
  <c r="Y859" i="1"/>
  <c r="AH859" i="1"/>
  <c r="S860" i="1"/>
  <c r="Y860" i="1"/>
  <c r="AH860" i="1"/>
  <c r="S861" i="1"/>
  <c r="Y861" i="1"/>
  <c r="AH861" i="1"/>
  <c r="S862" i="1"/>
  <c r="Y862" i="1"/>
  <c r="AH862" i="1"/>
  <c r="S863" i="1"/>
  <c r="Y863" i="1"/>
  <c r="AH863" i="1"/>
  <c r="S864" i="1"/>
  <c r="Y864" i="1"/>
  <c r="AH864" i="1"/>
  <c r="S865" i="1"/>
  <c r="Y865" i="1"/>
  <c r="AH865" i="1"/>
  <c r="S866" i="1"/>
  <c r="Y866" i="1"/>
  <c r="AH866" i="1"/>
  <c r="S867" i="1"/>
  <c r="Y867" i="1"/>
  <c r="AH867" i="1"/>
  <c r="S868" i="1"/>
  <c r="Y868" i="1"/>
  <c r="AH868" i="1"/>
  <c r="S869" i="1"/>
  <c r="Y869" i="1"/>
  <c r="AH869" i="1"/>
  <c r="S870" i="1"/>
  <c r="Y870" i="1"/>
  <c r="AH870" i="1"/>
  <c r="S871" i="1"/>
  <c r="Y871" i="1"/>
  <c r="AH871" i="1"/>
  <c r="S872" i="1"/>
  <c r="Y872" i="1"/>
  <c r="AH872" i="1"/>
  <c r="S873" i="1"/>
  <c r="Y873" i="1"/>
  <c r="AH873" i="1"/>
  <c r="S874" i="1"/>
  <c r="Y874" i="1"/>
  <c r="AH874" i="1"/>
  <c r="S875" i="1"/>
  <c r="Y875" i="1"/>
  <c r="AH875" i="1"/>
  <c r="S876" i="1"/>
  <c r="Y876" i="1"/>
  <c r="AH876" i="1"/>
  <c r="S877" i="1"/>
  <c r="Y877" i="1"/>
  <c r="AH877" i="1"/>
  <c r="S878" i="1"/>
  <c r="Y878" i="1"/>
  <c r="AH878" i="1"/>
  <c r="S879" i="1"/>
  <c r="Y879" i="1"/>
  <c r="AH879" i="1"/>
  <c r="S880" i="1"/>
  <c r="Y880" i="1"/>
  <c r="AH880" i="1"/>
  <c r="S881" i="1"/>
  <c r="Y881" i="1"/>
  <c r="AH881" i="1"/>
  <c r="S882" i="1"/>
  <c r="Y882" i="1"/>
  <c r="AH882" i="1"/>
  <c r="S883" i="1"/>
  <c r="Y883" i="1"/>
  <c r="AH883" i="1"/>
  <c r="S884" i="1"/>
  <c r="Y884" i="1"/>
  <c r="AH884" i="1"/>
  <c r="S885" i="1"/>
  <c r="Y885" i="1"/>
  <c r="AH885" i="1"/>
  <c r="S886" i="1"/>
  <c r="Y886" i="1"/>
  <c r="AH886" i="1"/>
  <c r="S887" i="1"/>
  <c r="Y887" i="1"/>
  <c r="AH887" i="1"/>
  <c r="S888" i="1"/>
  <c r="Y888" i="1"/>
  <c r="AH888" i="1"/>
  <c r="S889" i="1"/>
  <c r="Y889" i="1"/>
  <c r="AH889" i="1"/>
  <c r="S890" i="1"/>
  <c r="Y890" i="1"/>
  <c r="AH890" i="1"/>
  <c r="S891" i="1"/>
  <c r="Y891" i="1"/>
  <c r="AH891" i="1"/>
  <c r="S892" i="1"/>
  <c r="Y892" i="1"/>
  <c r="AH892" i="1"/>
  <c r="S893" i="1"/>
  <c r="Y893" i="1"/>
  <c r="AH893" i="1"/>
  <c r="S894" i="1"/>
  <c r="Y894" i="1"/>
  <c r="AH894" i="1"/>
  <c r="S895" i="1"/>
  <c r="Y895" i="1"/>
  <c r="AH895" i="1"/>
  <c r="S896" i="1"/>
  <c r="Y896" i="1"/>
  <c r="AH896" i="1"/>
  <c r="S897" i="1"/>
  <c r="Y897" i="1"/>
  <c r="AH897" i="1"/>
  <c r="S898" i="1"/>
  <c r="Y898" i="1"/>
  <c r="AH898" i="1"/>
  <c r="S899" i="1"/>
  <c r="Y899" i="1"/>
  <c r="AH899" i="1"/>
  <c r="S900" i="1"/>
  <c r="Y900" i="1"/>
  <c r="AH900" i="1"/>
  <c r="S901" i="1"/>
  <c r="Y901" i="1"/>
  <c r="AH901" i="1"/>
  <c r="S902" i="1"/>
  <c r="Y902" i="1"/>
  <c r="AH902" i="1"/>
  <c r="S903" i="1"/>
  <c r="Y903" i="1"/>
  <c r="AH903" i="1"/>
  <c r="S904" i="1"/>
  <c r="Y904" i="1"/>
  <c r="AH904" i="1"/>
  <c r="S905" i="1"/>
  <c r="Y905" i="1"/>
  <c r="AH905" i="1"/>
  <c r="S906" i="1"/>
  <c r="Y906" i="1"/>
  <c r="AH906" i="1"/>
  <c r="S907" i="1"/>
  <c r="Y907" i="1"/>
  <c r="AH907" i="1"/>
  <c r="S908" i="1"/>
  <c r="Y908" i="1"/>
  <c r="AH908" i="1"/>
  <c r="S909" i="1"/>
  <c r="Y909" i="1"/>
  <c r="AH909" i="1"/>
  <c r="S910" i="1"/>
  <c r="Y910" i="1"/>
  <c r="AH910" i="1"/>
  <c r="S911" i="1"/>
  <c r="Y911" i="1"/>
  <c r="AH911" i="1"/>
  <c r="S912" i="1"/>
  <c r="Y912" i="1"/>
  <c r="AH912" i="1"/>
  <c r="S913" i="1"/>
  <c r="Y913" i="1"/>
  <c r="AH913" i="1"/>
  <c r="S914" i="1"/>
  <c r="Y914" i="1"/>
  <c r="AH914" i="1"/>
  <c r="S915" i="1"/>
  <c r="Y915" i="1"/>
  <c r="AH915" i="1"/>
  <c r="S916" i="1"/>
  <c r="Y916" i="1"/>
  <c r="AH916" i="1"/>
  <c r="S917" i="1"/>
  <c r="Y917" i="1"/>
  <c r="AH917" i="1"/>
  <c r="S918" i="1"/>
  <c r="Y918" i="1"/>
  <c r="AH918" i="1"/>
  <c r="S919" i="1"/>
  <c r="Y919" i="1"/>
  <c r="AH919" i="1"/>
  <c r="S920" i="1"/>
  <c r="Y920" i="1"/>
  <c r="AH920" i="1"/>
  <c r="S921" i="1"/>
  <c r="Y921" i="1"/>
  <c r="AH921" i="1"/>
  <c r="S922" i="1"/>
  <c r="Y922" i="1"/>
  <c r="AH922" i="1"/>
  <c r="S923" i="1"/>
  <c r="Y923" i="1"/>
  <c r="AH923" i="1"/>
  <c r="S924" i="1"/>
  <c r="Y924" i="1"/>
  <c r="AH924" i="1"/>
  <c r="S925" i="1"/>
  <c r="Y925" i="1"/>
  <c r="AH925" i="1"/>
  <c r="S926" i="1"/>
  <c r="Y926" i="1"/>
  <c r="AH926" i="1"/>
  <c r="S927" i="1"/>
  <c r="Y927" i="1"/>
  <c r="AH927" i="1"/>
  <c r="S928" i="1"/>
  <c r="Y928" i="1"/>
  <c r="AH928" i="1"/>
  <c r="S929" i="1"/>
  <c r="Y929" i="1"/>
  <c r="AH929" i="1"/>
  <c r="S930" i="1"/>
  <c r="Y930" i="1"/>
  <c r="AH930" i="1"/>
  <c r="S931" i="1"/>
  <c r="Y931" i="1"/>
  <c r="AH931" i="1"/>
  <c r="S932" i="1"/>
  <c r="Y932" i="1"/>
  <c r="AH932" i="1"/>
  <c r="S933" i="1"/>
  <c r="Y933" i="1"/>
  <c r="AH933" i="1"/>
  <c r="S934" i="1"/>
  <c r="Y934" i="1"/>
  <c r="AH934" i="1"/>
  <c r="S935" i="1"/>
  <c r="Y935" i="1"/>
  <c r="AH935" i="1"/>
  <c r="S936" i="1"/>
  <c r="Y936" i="1"/>
  <c r="AH936" i="1"/>
  <c r="S937" i="1"/>
  <c r="Y937" i="1"/>
  <c r="AH937" i="1"/>
  <c r="S938" i="1"/>
  <c r="Y938" i="1"/>
  <c r="AH938" i="1"/>
  <c r="S939" i="1"/>
  <c r="Y939" i="1"/>
  <c r="AH939" i="1"/>
  <c r="S940" i="1"/>
  <c r="Y940" i="1"/>
  <c r="AH940" i="1"/>
  <c r="S941" i="1"/>
  <c r="Y941" i="1"/>
  <c r="AH941" i="1"/>
  <c r="S942" i="1"/>
  <c r="Y942" i="1"/>
  <c r="AH942" i="1"/>
  <c r="S943" i="1"/>
  <c r="Y943" i="1"/>
  <c r="AH943" i="1"/>
  <c r="S944" i="1"/>
  <c r="Y944" i="1"/>
  <c r="AH944" i="1"/>
  <c r="S945" i="1"/>
  <c r="Y945" i="1"/>
  <c r="AH945" i="1"/>
  <c r="S946" i="1"/>
  <c r="Y946" i="1"/>
  <c r="AH946" i="1"/>
  <c r="S947" i="1"/>
  <c r="Y947" i="1"/>
  <c r="AH947" i="1"/>
  <c r="S948" i="1"/>
  <c r="Y948" i="1"/>
  <c r="AH948" i="1"/>
  <c r="S949" i="1"/>
  <c r="Y949" i="1"/>
  <c r="AH949" i="1"/>
  <c r="S950" i="1"/>
  <c r="Y950" i="1"/>
  <c r="AH950" i="1"/>
  <c r="S951" i="1"/>
  <c r="Y951" i="1"/>
  <c r="AH951" i="1"/>
  <c r="S952" i="1"/>
  <c r="Y952" i="1"/>
  <c r="AH952" i="1"/>
  <c r="S953" i="1"/>
  <c r="Y953" i="1"/>
  <c r="AH953" i="1"/>
  <c r="S954" i="1"/>
  <c r="Y954" i="1"/>
  <c r="AH954" i="1"/>
  <c r="S955" i="1"/>
  <c r="Y955" i="1"/>
  <c r="AH955" i="1"/>
  <c r="S956" i="1"/>
  <c r="Y956" i="1"/>
  <c r="AH956" i="1"/>
  <c r="S957" i="1"/>
  <c r="Y957" i="1"/>
  <c r="AH957" i="1"/>
  <c r="S958" i="1"/>
  <c r="Y958" i="1"/>
  <c r="AH958" i="1"/>
  <c r="S959" i="1"/>
  <c r="Y959" i="1"/>
  <c r="AH959" i="1"/>
  <c r="S960" i="1"/>
  <c r="Y960" i="1"/>
  <c r="AH960" i="1"/>
  <c r="S961" i="1"/>
  <c r="Y961" i="1"/>
  <c r="AH961" i="1"/>
  <c r="S962" i="1"/>
  <c r="Y962" i="1"/>
  <c r="AH962" i="1"/>
  <c r="S963" i="1"/>
  <c r="Y963" i="1"/>
  <c r="AH963" i="1"/>
  <c r="S964" i="1"/>
  <c r="Y964" i="1"/>
  <c r="AH964" i="1"/>
  <c r="S965" i="1"/>
  <c r="Y965" i="1"/>
  <c r="AH965" i="1"/>
  <c r="S966" i="1"/>
  <c r="Y966" i="1"/>
  <c r="AH966" i="1"/>
  <c r="S967" i="1"/>
  <c r="Y967" i="1"/>
  <c r="AH967" i="1"/>
  <c r="S968" i="1"/>
  <c r="Y968" i="1"/>
  <c r="AH968" i="1"/>
  <c r="S969" i="1"/>
  <c r="Y969" i="1"/>
  <c r="AH969" i="1"/>
  <c r="S970" i="1"/>
  <c r="Y970" i="1"/>
  <c r="AH970" i="1"/>
  <c r="S971" i="1"/>
  <c r="Y971" i="1"/>
  <c r="AH971" i="1"/>
  <c r="S972" i="1"/>
  <c r="Y972" i="1"/>
  <c r="AH972" i="1"/>
  <c r="S973" i="1"/>
  <c r="Y973" i="1"/>
  <c r="AH973" i="1"/>
  <c r="S974" i="1"/>
  <c r="Y974" i="1"/>
  <c r="AH974" i="1"/>
  <c r="S975" i="1"/>
  <c r="Y975" i="1"/>
  <c r="AH975" i="1"/>
  <c r="S976" i="1"/>
  <c r="Y976" i="1"/>
  <c r="AH976" i="1"/>
  <c r="S977" i="1"/>
  <c r="Y977" i="1"/>
  <c r="AH977" i="1"/>
  <c r="S978" i="1"/>
  <c r="Y978" i="1"/>
  <c r="AH978" i="1"/>
  <c r="S979" i="1"/>
  <c r="Y979" i="1"/>
  <c r="AH979" i="1"/>
  <c r="S980" i="1"/>
  <c r="Y980" i="1"/>
  <c r="AH980" i="1"/>
  <c r="S981" i="1"/>
  <c r="Y981" i="1"/>
  <c r="AH981" i="1"/>
  <c r="S982" i="1"/>
  <c r="Y982" i="1"/>
  <c r="AH982" i="1"/>
  <c r="S983" i="1"/>
  <c r="Y983" i="1"/>
  <c r="AH983" i="1"/>
  <c r="S984" i="1"/>
  <c r="Y984" i="1"/>
  <c r="AH984" i="1"/>
  <c r="S985" i="1"/>
  <c r="Y985" i="1"/>
  <c r="AH985" i="1"/>
  <c r="S986" i="1"/>
  <c r="Y986" i="1"/>
  <c r="AH986" i="1"/>
  <c r="S987" i="1"/>
  <c r="Y987" i="1"/>
  <c r="AH987" i="1"/>
  <c r="S988" i="1"/>
  <c r="Y988" i="1"/>
  <c r="AH988" i="1"/>
  <c r="S989" i="1"/>
  <c r="Y989" i="1"/>
  <c r="AH989" i="1"/>
  <c r="S990" i="1"/>
  <c r="Y990" i="1"/>
  <c r="AH990" i="1"/>
  <c r="S991" i="1"/>
  <c r="Y991" i="1"/>
  <c r="AH991" i="1"/>
  <c r="S992" i="1"/>
  <c r="Y992" i="1"/>
  <c r="AH992" i="1"/>
  <c r="S993" i="1"/>
  <c r="Y993" i="1"/>
  <c r="AH993" i="1"/>
  <c r="S994" i="1"/>
  <c r="Y994" i="1"/>
  <c r="AH994" i="1"/>
  <c r="S995" i="1"/>
  <c r="Y995" i="1"/>
  <c r="AH995" i="1"/>
  <c r="S996" i="1"/>
  <c r="Y996" i="1"/>
  <c r="AH996" i="1"/>
  <c r="S997" i="1"/>
  <c r="Y997" i="1"/>
  <c r="AH997" i="1"/>
  <c r="S998" i="1"/>
  <c r="Y998" i="1"/>
  <c r="AH998" i="1"/>
  <c r="S999" i="1"/>
  <c r="Y999" i="1"/>
  <c r="AH999" i="1"/>
  <c r="S1000" i="1"/>
  <c r="Y1000" i="1"/>
  <c r="AH1000" i="1"/>
  <c r="S1001" i="1"/>
  <c r="Y1001" i="1"/>
  <c r="AH1001" i="1"/>
  <c r="S1002" i="1"/>
  <c r="Y1002" i="1"/>
  <c r="AH1002" i="1"/>
  <c r="S1003" i="1"/>
  <c r="Y1003" i="1"/>
  <c r="AH1003" i="1"/>
  <c r="S1004" i="1"/>
  <c r="Y1004" i="1"/>
  <c r="AH1004" i="1"/>
  <c r="S1005" i="1"/>
  <c r="Y1005" i="1"/>
  <c r="AH1005" i="1"/>
  <c r="S1006" i="1"/>
  <c r="Y1006" i="1"/>
  <c r="AH1006" i="1"/>
  <c r="S1007" i="1"/>
  <c r="Y1007" i="1"/>
  <c r="AH1007" i="1"/>
  <c r="S1008" i="1"/>
  <c r="Y1008" i="1"/>
  <c r="AH1008" i="1"/>
  <c r="S1009" i="1"/>
  <c r="Y1009" i="1"/>
  <c r="AH1009" i="1"/>
  <c r="S1010" i="1"/>
  <c r="Y1010" i="1"/>
  <c r="AH1010" i="1"/>
  <c r="S1011" i="1"/>
  <c r="Y1011" i="1"/>
  <c r="AH1011" i="1"/>
  <c r="S1012" i="1"/>
  <c r="Y1012" i="1"/>
  <c r="AH1012" i="1"/>
  <c r="S1013" i="1"/>
  <c r="Y1013" i="1"/>
  <c r="AH1013" i="1"/>
  <c r="S1014" i="1"/>
  <c r="Y1014" i="1"/>
  <c r="AH1014" i="1"/>
  <c r="S1015" i="1"/>
  <c r="Y1015" i="1"/>
  <c r="AH1015" i="1"/>
  <c r="S1016" i="1"/>
  <c r="Y1016" i="1"/>
  <c r="AH1016" i="1"/>
  <c r="S1017" i="1"/>
  <c r="Y1017" i="1"/>
  <c r="AH1017" i="1"/>
  <c r="S1018" i="1"/>
  <c r="Y1018" i="1"/>
  <c r="AH1018" i="1"/>
  <c r="S1019" i="1"/>
  <c r="Y1019" i="1"/>
  <c r="AH1019" i="1"/>
  <c r="S1020" i="1"/>
  <c r="Y1020" i="1"/>
  <c r="AH1020" i="1"/>
  <c r="S1021" i="1"/>
  <c r="Y1021" i="1"/>
  <c r="AH1021" i="1"/>
  <c r="S1022" i="1"/>
  <c r="Y1022" i="1"/>
  <c r="AH1022" i="1"/>
  <c r="S1023" i="1"/>
  <c r="Y1023" i="1"/>
  <c r="AH1023" i="1"/>
  <c r="S1024" i="1"/>
  <c r="Y1024" i="1"/>
  <c r="AH1024" i="1"/>
  <c r="S1025" i="1"/>
  <c r="Y1025" i="1"/>
  <c r="AH1025" i="1"/>
  <c r="S1026" i="1"/>
  <c r="Y1026" i="1"/>
  <c r="AH1026" i="1"/>
  <c r="S1027" i="1"/>
  <c r="Y1027" i="1"/>
  <c r="AH1027" i="1"/>
  <c r="S1028" i="1"/>
  <c r="Y1028" i="1"/>
  <c r="AH1028" i="1"/>
  <c r="S1029" i="1"/>
  <c r="Y1029" i="1"/>
  <c r="AH1029" i="1"/>
  <c r="S1030" i="1"/>
  <c r="Y1030" i="1"/>
  <c r="AH1030" i="1"/>
  <c r="S1031" i="1"/>
  <c r="Y1031" i="1"/>
  <c r="AH1031" i="1"/>
  <c r="S1032" i="1"/>
  <c r="Y1032" i="1"/>
  <c r="AH1032" i="1"/>
  <c r="S1033" i="1"/>
  <c r="Y1033" i="1"/>
  <c r="AH1033" i="1"/>
  <c r="S1034" i="1"/>
  <c r="Y1034" i="1"/>
  <c r="AH1034" i="1"/>
  <c r="S1035" i="1"/>
  <c r="Y1035" i="1"/>
  <c r="AH1035" i="1"/>
  <c r="S1036" i="1"/>
  <c r="Y1036" i="1"/>
  <c r="AH1036" i="1"/>
  <c r="S1037" i="1"/>
  <c r="Y1037" i="1"/>
  <c r="AH1037" i="1"/>
  <c r="S1038" i="1"/>
  <c r="Y1038" i="1"/>
  <c r="AH1038" i="1"/>
  <c r="S1039" i="1"/>
  <c r="Y1039" i="1"/>
  <c r="AH1039" i="1"/>
  <c r="S1040" i="1"/>
  <c r="Y1040" i="1"/>
  <c r="AH1040" i="1"/>
  <c r="S1041" i="1"/>
  <c r="Y1041" i="1"/>
  <c r="AH1041" i="1"/>
  <c r="S1042" i="1"/>
  <c r="Y1042" i="1"/>
  <c r="AH1042" i="1"/>
  <c r="S1043" i="1"/>
  <c r="Y1043" i="1"/>
  <c r="AH1043" i="1"/>
  <c r="S1044" i="1"/>
  <c r="Y1044" i="1"/>
  <c r="AH1044" i="1"/>
  <c r="S1045" i="1"/>
  <c r="Y1045" i="1"/>
  <c r="AH1045" i="1"/>
  <c r="S1046" i="1"/>
  <c r="Y1046" i="1"/>
  <c r="AH1046" i="1"/>
  <c r="S1047" i="1"/>
  <c r="Y1047" i="1"/>
  <c r="AH1047" i="1"/>
  <c r="S1048" i="1"/>
  <c r="Y1048" i="1"/>
  <c r="AH1048" i="1"/>
  <c r="S1049" i="1"/>
  <c r="Y1049" i="1"/>
  <c r="AH1049" i="1"/>
  <c r="S1050" i="1"/>
  <c r="Y1050" i="1"/>
  <c r="AH1050" i="1"/>
  <c r="S1051" i="1"/>
  <c r="Y1051" i="1"/>
  <c r="AH1051" i="1"/>
  <c r="S1052" i="1"/>
  <c r="Y1052" i="1"/>
  <c r="AH1052" i="1"/>
  <c r="S1053" i="1"/>
  <c r="Y1053" i="1"/>
  <c r="AH1053" i="1"/>
  <c r="S1054" i="1"/>
  <c r="Y1054" i="1"/>
  <c r="AH1054" i="1"/>
  <c r="S1055" i="1"/>
  <c r="Y1055" i="1"/>
  <c r="AH1055" i="1"/>
  <c r="S1056" i="1"/>
  <c r="Y1056" i="1"/>
  <c r="AH1056" i="1"/>
  <c r="S1057" i="1"/>
  <c r="Y1057" i="1"/>
  <c r="AH1057" i="1"/>
  <c r="S1058" i="1"/>
  <c r="Y1058" i="1"/>
  <c r="AH1058" i="1"/>
  <c r="S1059" i="1"/>
  <c r="Y1059" i="1"/>
  <c r="AH1059" i="1"/>
  <c r="S1060" i="1"/>
  <c r="Y1060" i="1"/>
  <c r="AH1060" i="1"/>
  <c r="S1061" i="1"/>
  <c r="Y1061" i="1"/>
  <c r="AH1061" i="1"/>
  <c r="S1062" i="1"/>
  <c r="Y1062" i="1"/>
  <c r="AH1062" i="1"/>
  <c r="S1063" i="1"/>
  <c r="Y1063" i="1"/>
  <c r="AH1063" i="1"/>
  <c r="S1064" i="1"/>
  <c r="Y1064" i="1"/>
  <c r="AH1064" i="1"/>
  <c r="S1065" i="1"/>
  <c r="Y1065" i="1"/>
  <c r="AH1065" i="1"/>
  <c r="S1066" i="1"/>
  <c r="Y1066" i="1"/>
  <c r="AH1066" i="1"/>
  <c r="S1067" i="1"/>
  <c r="Y1067" i="1"/>
  <c r="AH1067" i="1"/>
  <c r="S1068" i="1"/>
  <c r="Y1068" i="1"/>
  <c r="AH1068" i="1"/>
  <c r="S1069" i="1"/>
  <c r="Y1069" i="1"/>
  <c r="AH1069" i="1"/>
  <c r="S1070" i="1"/>
  <c r="Y1070" i="1"/>
  <c r="AH1070" i="1"/>
  <c r="S1071" i="1"/>
  <c r="Y1071" i="1"/>
  <c r="AH1071" i="1"/>
  <c r="S1072" i="1"/>
  <c r="Y1072" i="1"/>
  <c r="AH1072" i="1"/>
  <c r="S1073" i="1"/>
  <c r="Y1073" i="1"/>
  <c r="AH1073" i="1"/>
  <c r="S1074" i="1"/>
  <c r="Y1074" i="1"/>
  <c r="AH1074" i="1"/>
  <c r="S1075" i="1"/>
  <c r="Y1075" i="1"/>
  <c r="AH1075" i="1"/>
  <c r="S1076" i="1"/>
  <c r="Y1076" i="1"/>
  <c r="AH1076" i="1"/>
  <c r="S1077" i="1"/>
  <c r="Y1077" i="1"/>
  <c r="AH1077" i="1"/>
  <c r="S1078" i="1"/>
  <c r="Y1078" i="1"/>
  <c r="AH1078" i="1"/>
  <c r="S1079" i="1"/>
  <c r="Y1079" i="1"/>
  <c r="AH1079" i="1"/>
  <c r="S1080" i="1"/>
  <c r="Y1080" i="1"/>
  <c r="AH1080" i="1"/>
  <c r="S1081" i="1"/>
  <c r="Y1081" i="1"/>
  <c r="AH1081" i="1"/>
  <c r="S1082" i="1"/>
  <c r="Y1082" i="1"/>
  <c r="AH1082" i="1"/>
  <c r="S1083" i="1"/>
  <c r="Y1083" i="1"/>
  <c r="AH1083" i="1"/>
  <c r="S1084" i="1"/>
  <c r="Y1084" i="1"/>
  <c r="AH1084" i="1"/>
  <c r="S1085" i="1"/>
  <c r="Y1085" i="1"/>
  <c r="AH1085" i="1"/>
  <c r="S1086" i="1"/>
  <c r="Y1086" i="1"/>
  <c r="AH1086" i="1"/>
  <c r="S1087" i="1"/>
  <c r="Y1087" i="1"/>
  <c r="AH1087" i="1"/>
  <c r="S1088" i="1"/>
  <c r="Y1088" i="1"/>
  <c r="AH1088" i="1"/>
  <c r="S1089" i="1"/>
  <c r="Y1089" i="1"/>
  <c r="AH1089" i="1"/>
  <c r="S1090" i="1"/>
  <c r="Y1090" i="1"/>
  <c r="AH1090" i="1"/>
  <c r="S1091" i="1"/>
  <c r="Y1091" i="1"/>
  <c r="AH1091" i="1"/>
  <c r="S1092" i="1"/>
  <c r="Y1092" i="1"/>
  <c r="AH1092" i="1"/>
  <c r="S1093" i="1"/>
  <c r="Y1093" i="1"/>
  <c r="AH1093" i="1"/>
  <c r="S1094" i="1"/>
  <c r="Y1094" i="1"/>
  <c r="AH1094" i="1"/>
  <c r="S1095" i="1"/>
  <c r="Y1095" i="1"/>
  <c r="AH1095" i="1"/>
  <c r="S1096" i="1"/>
  <c r="Y1096" i="1"/>
  <c r="AH1096" i="1"/>
  <c r="S1097" i="1"/>
  <c r="Y1097" i="1"/>
  <c r="AH1097" i="1"/>
  <c r="S1098" i="1"/>
  <c r="Y1098" i="1"/>
  <c r="AH1098" i="1"/>
  <c r="S1099" i="1"/>
  <c r="Y1099" i="1"/>
  <c r="AH1099" i="1"/>
  <c r="S1100" i="1"/>
  <c r="Y1100" i="1"/>
  <c r="AH1100" i="1"/>
  <c r="S1101" i="1"/>
  <c r="Y1101" i="1"/>
  <c r="AH1101" i="1"/>
  <c r="S1102" i="1"/>
  <c r="Y1102" i="1"/>
  <c r="AH1102" i="1"/>
  <c r="S1103" i="1"/>
  <c r="Y1103" i="1"/>
  <c r="AH1103" i="1"/>
  <c r="S1104" i="1"/>
  <c r="Y1104" i="1"/>
  <c r="AH1104" i="1"/>
  <c r="S1105" i="1"/>
  <c r="Y1105" i="1"/>
  <c r="AH1105" i="1"/>
  <c r="S1106" i="1"/>
  <c r="Y1106" i="1"/>
  <c r="AH1106" i="1"/>
  <c r="S1107" i="1"/>
  <c r="Y1107" i="1"/>
  <c r="AH1107" i="1"/>
  <c r="S1108" i="1"/>
  <c r="Y1108" i="1"/>
  <c r="AH1108" i="1"/>
  <c r="S1109" i="1"/>
  <c r="Y1109" i="1"/>
  <c r="AH1109" i="1"/>
  <c r="S1110" i="1"/>
  <c r="Y1110" i="1"/>
  <c r="AH1110" i="1"/>
  <c r="S1111" i="1"/>
  <c r="Y1111" i="1"/>
  <c r="AH1111" i="1"/>
  <c r="S1112" i="1"/>
  <c r="Y1112" i="1"/>
  <c r="AH1112" i="1"/>
  <c r="S1113" i="1"/>
  <c r="Y1113" i="1"/>
  <c r="AH1113" i="1"/>
  <c r="S1114" i="1"/>
  <c r="Y1114" i="1"/>
  <c r="AH1114" i="1"/>
  <c r="S1115" i="1"/>
  <c r="Y1115" i="1"/>
  <c r="AH1115" i="1"/>
  <c r="S1116" i="1"/>
  <c r="Y1116" i="1"/>
  <c r="AH1116" i="1"/>
  <c r="S1117" i="1"/>
  <c r="Y1117" i="1"/>
  <c r="AH1117" i="1"/>
  <c r="S1118" i="1"/>
  <c r="Y1118" i="1"/>
  <c r="AH1118" i="1"/>
  <c r="S1119" i="1"/>
  <c r="Y1119" i="1"/>
  <c r="AH1119" i="1"/>
  <c r="S1120" i="1"/>
  <c r="Y1120" i="1"/>
  <c r="AH1120" i="1"/>
  <c r="S1121" i="1"/>
  <c r="Y1121" i="1"/>
  <c r="AH1121" i="1"/>
  <c r="S1122" i="1"/>
  <c r="Y1122" i="1"/>
  <c r="AH1122" i="1"/>
  <c r="S1123" i="1"/>
  <c r="Y1123" i="1"/>
  <c r="AH1123" i="1"/>
  <c r="S1124" i="1"/>
  <c r="Y1124" i="1"/>
  <c r="AH1124" i="1"/>
  <c r="S1125" i="1"/>
  <c r="Y1125" i="1"/>
  <c r="AH1125" i="1"/>
  <c r="S1126" i="1"/>
  <c r="Y1126" i="1"/>
  <c r="AH1126" i="1"/>
  <c r="S1127" i="1"/>
  <c r="Y1127" i="1"/>
  <c r="AH1127" i="1"/>
  <c r="S1128" i="1"/>
  <c r="Y1128" i="1"/>
  <c r="AH1128" i="1"/>
  <c r="S1129" i="1"/>
  <c r="Y1129" i="1"/>
  <c r="AH1129" i="1"/>
  <c r="S1130" i="1"/>
  <c r="Y1130" i="1"/>
  <c r="AH1130" i="1"/>
  <c r="S1131" i="1"/>
  <c r="Y1131" i="1"/>
  <c r="AH1131" i="1"/>
  <c r="S1132" i="1"/>
  <c r="Y1132" i="1"/>
  <c r="AH1132" i="1"/>
  <c r="S1133" i="1"/>
  <c r="Y1133" i="1"/>
  <c r="AH1133" i="1"/>
  <c r="S1134" i="1"/>
  <c r="Y1134" i="1"/>
  <c r="AH1134" i="1"/>
  <c r="S1135" i="1"/>
  <c r="Y1135" i="1"/>
  <c r="AH1135" i="1"/>
  <c r="S1136" i="1"/>
  <c r="Y1136" i="1"/>
  <c r="AH1136" i="1"/>
  <c r="S1137" i="1"/>
  <c r="Y1137" i="1"/>
  <c r="AH1137" i="1"/>
  <c r="S1138" i="1"/>
  <c r="Y1138" i="1"/>
  <c r="AH1138" i="1"/>
  <c r="S1139" i="1"/>
  <c r="Y1139" i="1"/>
  <c r="AH1139" i="1"/>
  <c r="S1140" i="1"/>
  <c r="Y1140" i="1"/>
  <c r="AH1140" i="1"/>
  <c r="S1141" i="1"/>
  <c r="Y1141" i="1"/>
  <c r="AH1141" i="1"/>
  <c r="S1142" i="1"/>
  <c r="Y1142" i="1"/>
  <c r="AH1142" i="1"/>
  <c r="S1143" i="1"/>
  <c r="Y1143" i="1"/>
  <c r="AH1143" i="1"/>
  <c r="S1144" i="1"/>
  <c r="Y1144" i="1"/>
  <c r="AH1144" i="1"/>
  <c r="S1145" i="1"/>
  <c r="Y1145" i="1"/>
  <c r="AH1145" i="1"/>
  <c r="S1146" i="1"/>
  <c r="Y1146" i="1"/>
  <c r="AH1146" i="1"/>
  <c r="S1147" i="1"/>
  <c r="Y1147" i="1"/>
  <c r="AH1147" i="1"/>
  <c r="S1148" i="1"/>
  <c r="Y1148" i="1"/>
  <c r="AH1148" i="1"/>
  <c r="S1149" i="1"/>
  <c r="Y1149" i="1"/>
  <c r="AH1149" i="1"/>
  <c r="S1150" i="1"/>
  <c r="Y1150" i="1"/>
  <c r="AH1150" i="1"/>
  <c r="S1151" i="1"/>
  <c r="Y1151" i="1"/>
  <c r="AH1151" i="1"/>
  <c r="S1152" i="1"/>
  <c r="Y1152" i="1"/>
  <c r="AH1152" i="1"/>
  <c r="S1153" i="1"/>
  <c r="Y1153" i="1"/>
  <c r="AH1153" i="1"/>
  <c r="S1154" i="1"/>
  <c r="Y1154" i="1"/>
  <c r="AH1154" i="1"/>
  <c r="S1155" i="1"/>
  <c r="Y1155" i="1"/>
  <c r="AH1155" i="1"/>
  <c r="S1156" i="1"/>
  <c r="Y1156" i="1"/>
  <c r="AH1156" i="1"/>
  <c r="S1157" i="1"/>
  <c r="Y1157" i="1"/>
  <c r="AH1157" i="1"/>
  <c r="S1158" i="1"/>
  <c r="Y1158" i="1"/>
  <c r="AH1158" i="1"/>
  <c r="S1159" i="1"/>
  <c r="Y1159" i="1"/>
  <c r="AH1159" i="1"/>
  <c r="S1160" i="1"/>
  <c r="Y1160" i="1"/>
  <c r="AH1160" i="1"/>
  <c r="S1161" i="1"/>
  <c r="Y1161" i="1"/>
  <c r="AH1161" i="1"/>
  <c r="S1162" i="1"/>
  <c r="Y1162" i="1"/>
  <c r="AH1162" i="1"/>
  <c r="S1163" i="1"/>
  <c r="Y1163" i="1"/>
  <c r="AH1163" i="1"/>
  <c r="S1164" i="1"/>
  <c r="Y1164" i="1"/>
  <c r="AH1164" i="1"/>
  <c r="S1165" i="1"/>
  <c r="Y1165" i="1"/>
  <c r="AH1165" i="1"/>
  <c r="S1166" i="1"/>
  <c r="Y1166" i="1"/>
  <c r="AH1166" i="1"/>
  <c r="S1167" i="1"/>
  <c r="Y1167" i="1"/>
  <c r="AH1167" i="1"/>
  <c r="S1168" i="1"/>
  <c r="Y1168" i="1"/>
  <c r="AH1168" i="1"/>
  <c r="S1169" i="1"/>
  <c r="Y1169" i="1"/>
  <c r="AH1169" i="1"/>
  <c r="S1170" i="1"/>
  <c r="Y1170" i="1"/>
  <c r="AH1170" i="1"/>
  <c r="S1171" i="1"/>
  <c r="Y1171" i="1"/>
  <c r="AH1171" i="1"/>
  <c r="S1172" i="1"/>
  <c r="Y1172" i="1"/>
  <c r="AH1172" i="1"/>
  <c r="S1173" i="1"/>
  <c r="Y1173" i="1"/>
  <c r="AH1173" i="1"/>
  <c r="S1174" i="1"/>
  <c r="Y1174" i="1"/>
  <c r="AH1174" i="1"/>
  <c r="S1175" i="1"/>
  <c r="Y1175" i="1"/>
  <c r="AH1175" i="1"/>
  <c r="S1176" i="1"/>
  <c r="Y1176" i="1"/>
  <c r="AH1176" i="1"/>
  <c r="S1177" i="1"/>
  <c r="Y1177" i="1"/>
  <c r="AH1177" i="1"/>
  <c r="S1178" i="1"/>
  <c r="Y1178" i="1"/>
  <c r="AH1178" i="1"/>
  <c r="S1179" i="1"/>
  <c r="Y1179" i="1"/>
  <c r="AH1179" i="1"/>
  <c r="S1180" i="1"/>
  <c r="Y1180" i="1"/>
  <c r="AH1180" i="1"/>
  <c r="S1181" i="1"/>
  <c r="Y1181" i="1"/>
  <c r="AH1181" i="1"/>
  <c r="S1182" i="1"/>
  <c r="Y1182" i="1"/>
  <c r="AH1182" i="1"/>
  <c r="S1183" i="1"/>
  <c r="Y1183" i="1"/>
  <c r="AH1183" i="1"/>
  <c r="S1184" i="1"/>
  <c r="Y1184" i="1"/>
  <c r="AH1184" i="1"/>
  <c r="S1185" i="1"/>
  <c r="Y1185" i="1"/>
  <c r="AH1185" i="1"/>
  <c r="S1186" i="1"/>
  <c r="Y1186" i="1"/>
  <c r="AH1186" i="1"/>
  <c r="S1187" i="1"/>
  <c r="Y1187" i="1"/>
  <c r="AH1187" i="1"/>
  <c r="S1188" i="1"/>
  <c r="Y1188" i="1"/>
  <c r="AH1188" i="1"/>
  <c r="S1189" i="1"/>
  <c r="Y1189" i="1"/>
  <c r="AH1189" i="1"/>
  <c r="S1190" i="1"/>
  <c r="Y1190" i="1"/>
  <c r="AH1190" i="1"/>
  <c r="S1191" i="1"/>
  <c r="Y1191" i="1"/>
  <c r="AH1191" i="1"/>
  <c r="S1192" i="1"/>
  <c r="Y1192" i="1"/>
  <c r="AH1192" i="1"/>
  <c r="S1193" i="1"/>
  <c r="Y1193" i="1"/>
  <c r="AH1193" i="1"/>
  <c r="S1194" i="1"/>
  <c r="Y1194" i="1"/>
  <c r="AH1194" i="1"/>
  <c r="S1195" i="1"/>
  <c r="Y1195" i="1"/>
  <c r="AH1195" i="1"/>
  <c r="S1196" i="1"/>
  <c r="Y1196" i="1"/>
  <c r="AH1196" i="1"/>
  <c r="S1197" i="1"/>
  <c r="Y1197" i="1"/>
  <c r="AH1197" i="1"/>
  <c r="S1198" i="1"/>
  <c r="Y1198" i="1"/>
  <c r="AH1198" i="1"/>
  <c r="S1199" i="1"/>
  <c r="Y1199" i="1"/>
  <c r="AH1199" i="1"/>
  <c r="S1200" i="1"/>
  <c r="Y1200" i="1"/>
  <c r="AH1200" i="1"/>
  <c r="S1201" i="1"/>
  <c r="Y1201" i="1"/>
  <c r="AH1201" i="1"/>
  <c r="S1202" i="1"/>
  <c r="Y1202" i="1"/>
  <c r="AH1202" i="1"/>
  <c r="S1203" i="1"/>
  <c r="Y1203" i="1"/>
  <c r="AH1203" i="1"/>
  <c r="S1204" i="1"/>
  <c r="Y1204" i="1"/>
  <c r="AH1204" i="1"/>
  <c r="S1205" i="1"/>
  <c r="Y1205" i="1"/>
  <c r="AH1205" i="1"/>
  <c r="S1206" i="1"/>
  <c r="Y1206" i="1"/>
  <c r="AH1206" i="1"/>
  <c r="S1207" i="1"/>
  <c r="Y1207" i="1"/>
  <c r="AH1207" i="1"/>
  <c r="S1208" i="1"/>
  <c r="Y1208" i="1"/>
  <c r="AH1208" i="1"/>
  <c r="S1209" i="1"/>
  <c r="Y1209" i="1"/>
  <c r="AH1209" i="1"/>
  <c r="S1210" i="1"/>
  <c r="Y1210" i="1"/>
  <c r="AH1210" i="1"/>
  <c r="S1211" i="1"/>
  <c r="Y1211" i="1"/>
  <c r="AH1211" i="1"/>
  <c r="S1212" i="1"/>
  <c r="Y1212" i="1"/>
  <c r="AH1212" i="1"/>
  <c r="S1213" i="1"/>
  <c r="Y1213" i="1"/>
  <c r="AH1213" i="1"/>
  <c r="S1214" i="1"/>
  <c r="Y1214" i="1"/>
  <c r="AH1214" i="1"/>
  <c r="S1215" i="1"/>
  <c r="Y1215" i="1"/>
  <c r="AH1215" i="1"/>
  <c r="S1216" i="1"/>
  <c r="Y1216" i="1"/>
  <c r="AH1216" i="1"/>
  <c r="S1217" i="1"/>
  <c r="Y1217" i="1"/>
  <c r="AH1217" i="1"/>
  <c r="S1218" i="1"/>
  <c r="Y1218" i="1"/>
  <c r="AH1218" i="1"/>
  <c r="S1219" i="1"/>
  <c r="Y1219" i="1"/>
  <c r="AH1219" i="1"/>
  <c r="S1220" i="1"/>
  <c r="Y1220" i="1"/>
  <c r="AH1220" i="1"/>
  <c r="S1221" i="1"/>
  <c r="Y1221" i="1"/>
  <c r="AH1221" i="1"/>
  <c r="S1222" i="1"/>
  <c r="Y1222" i="1"/>
  <c r="AH1222" i="1"/>
  <c r="S1223" i="1"/>
  <c r="Y1223" i="1"/>
  <c r="AH1223" i="1"/>
  <c r="S1224" i="1"/>
  <c r="Y1224" i="1"/>
  <c r="AH1224" i="1"/>
  <c r="S1225" i="1"/>
  <c r="Y1225" i="1"/>
  <c r="AH1225" i="1"/>
  <c r="S1226" i="1"/>
  <c r="Y1226" i="1"/>
  <c r="AH1226" i="1"/>
  <c r="S1227" i="1"/>
  <c r="Y1227" i="1"/>
  <c r="AH1227" i="1"/>
  <c r="S1228" i="1"/>
  <c r="Y1228" i="1"/>
  <c r="AH1228" i="1"/>
  <c r="S1229" i="1"/>
  <c r="Y1229" i="1"/>
  <c r="AH1229" i="1"/>
  <c r="S1230" i="1"/>
  <c r="Y1230" i="1"/>
  <c r="AH1230" i="1"/>
  <c r="S1231" i="1"/>
  <c r="Y1231" i="1"/>
  <c r="AH1231" i="1"/>
  <c r="S1232" i="1"/>
  <c r="Y1232" i="1"/>
  <c r="AH1232" i="1"/>
  <c r="S1233" i="1"/>
  <c r="Y1233" i="1"/>
  <c r="AH1233" i="1"/>
  <c r="S1234" i="1"/>
  <c r="Y1234" i="1"/>
  <c r="AH1234" i="1"/>
  <c r="S1235" i="1"/>
  <c r="Y1235" i="1"/>
  <c r="AH1235" i="1"/>
  <c r="S1236" i="1"/>
  <c r="Y1236" i="1"/>
  <c r="AH1236" i="1"/>
  <c r="S1237" i="1"/>
  <c r="Y1237" i="1"/>
  <c r="AH1237" i="1"/>
  <c r="S1238" i="1"/>
  <c r="Y1238" i="1"/>
  <c r="AH1238" i="1"/>
  <c r="S1239" i="1"/>
  <c r="Y1239" i="1"/>
  <c r="AH1239" i="1"/>
  <c r="S1240" i="1"/>
  <c r="Y1240" i="1"/>
  <c r="AH1240" i="1"/>
  <c r="S1241" i="1"/>
  <c r="Y1241" i="1"/>
  <c r="AH1241" i="1"/>
  <c r="S1242" i="1"/>
  <c r="Y1242" i="1"/>
  <c r="AH1242" i="1"/>
  <c r="S1243" i="1"/>
  <c r="Y1243" i="1"/>
  <c r="AH1243" i="1"/>
  <c r="S1244" i="1"/>
  <c r="Y1244" i="1"/>
  <c r="AH1244" i="1"/>
  <c r="S1245" i="1"/>
  <c r="Y1245" i="1"/>
  <c r="AH1245" i="1"/>
  <c r="S1246" i="1"/>
  <c r="Y1246" i="1"/>
  <c r="AH1246" i="1"/>
  <c r="S1247" i="1"/>
  <c r="Y1247" i="1"/>
  <c r="AH1247" i="1"/>
  <c r="S1248" i="1"/>
  <c r="Y1248" i="1"/>
  <c r="AH1248" i="1"/>
  <c r="S1249" i="1"/>
  <c r="Y1249" i="1"/>
  <c r="AH1249" i="1"/>
  <c r="S1250" i="1"/>
  <c r="Y1250" i="1"/>
  <c r="AH1250" i="1"/>
  <c r="S1251" i="1"/>
  <c r="Y1251" i="1"/>
  <c r="AH1251" i="1"/>
  <c r="S1252" i="1"/>
  <c r="Y1252" i="1"/>
  <c r="AH1252" i="1"/>
  <c r="S1253" i="1"/>
  <c r="Y1253" i="1"/>
  <c r="AH1253" i="1"/>
  <c r="S1254" i="1"/>
  <c r="Y1254" i="1"/>
  <c r="AH1254" i="1"/>
  <c r="S1255" i="1"/>
  <c r="Y1255" i="1"/>
  <c r="AH1255" i="1"/>
  <c r="S1256" i="1"/>
  <c r="Y1256" i="1"/>
  <c r="AH1256" i="1"/>
  <c r="S1257" i="1"/>
  <c r="Y1257" i="1"/>
  <c r="AH1257" i="1"/>
  <c r="S1258" i="1"/>
  <c r="Y1258" i="1"/>
  <c r="AH1258" i="1"/>
  <c r="S1259" i="1"/>
  <c r="Y1259" i="1"/>
  <c r="AH1259" i="1"/>
  <c r="S1260" i="1"/>
  <c r="Y1260" i="1"/>
  <c r="AH1260" i="1"/>
  <c r="S1261" i="1"/>
  <c r="Y1261" i="1"/>
  <c r="AH1261" i="1"/>
  <c r="S1262" i="1"/>
  <c r="Y1262" i="1"/>
  <c r="AH1262" i="1"/>
  <c r="S1263" i="1"/>
  <c r="Y1263" i="1"/>
  <c r="AH1263" i="1"/>
  <c r="S1264" i="1"/>
  <c r="Y1264" i="1"/>
  <c r="AH1264" i="1"/>
  <c r="S1265" i="1"/>
  <c r="Y1265" i="1"/>
  <c r="AH1265" i="1"/>
  <c r="S1266" i="1"/>
  <c r="Y1266" i="1"/>
  <c r="AH1266" i="1"/>
  <c r="S1267" i="1"/>
  <c r="Y1267" i="1"/>
  <c r="AH1267" i="1"/>
  <c r="S1268" i="1"/>
  <c r="Y1268" i="1"/>
  <c r="AH1268" i="1"/>
  <c r="S1269" i="1"/>
  <c r="Y1269" i="1"/>
  <c r="AH1269" i="1"/>
  <c r="S1270" i="1"/>
  <c r="Y1270" i="1"/>
  <c r="AH1270" i="1"/>
  <c r="S1271" i="1"/>
  <c r="Y1271" i="1"/>
  <c r="AH1271" i="1"/>
  <c r="S1272" i="1"/>
  <c r="Y1272" i="1"/>
  <c r="AH1272" i="1"/>
  <c r="S1273" i="1"/>
  <c r="Y1273" i="1"/>
  <c r="AH1273" i="1"/>
  <c r="S1274" i="1"/>
  <c r="Y1274" i="1"/>
  <c r="AH1274" i="1"/>
  <c r="S1275" i="1"/>
  <c r="Y1275" i="1"/>
  <c r="AH1275" i="1"/>
  <c r="S1276" i="1"/>
  <c r="Y1276" i="1"/>
  <c r="AH1276" i="1"/>
  <c r="S1277" i="1"/>
  <c r="Y1277" i="1"/>
  <c r="AH1277" i="1"/>
  <c r="S1278" i="1"/>
  <c r="Y1278" i="1"/>
  <c r="AH1278" i="1"/>
  <c r="S1279" i="1"/>
  <c r="Y1279" i="1"/>
  <c r="AH1279" i="1"/>
  <c r="S1280" i="1"/>
  <c r="Y1280" i="1"/>
  <c r="AH1280" i="1"/>
  <c r="S1281" i="1"/>
  <c r="Y1281" i="1"/>
  <c r="AH1281" i="1"/>
  <c r="S1282" i="1"/>
  <c r="Y1282" i="1"/>
  <c r="AH1282" i="1"/>
  <c r="S1283" i="1"/>
  <c r="Y1283" i="1"/>
  <c r="AH1283" i="1"/>
  <c r="S1284" i="1"/>
  <c r="Y1284" i="1"/>
  <c r="AH1284" i="1"/>
  <c r="S1285" i="1"/>
  <c r="Y1285" i="1"/>
  <c r="AH1285" i="1"/>
  <c r="S1286" i="1"/>
  <c r="Y1286" i="1"/>
  <c r="AH1286" i="1"/>
  <c r="S1287" i="1"/>
  <c r="Y1287" i="1"/>
  <c r="AH1287" i="1"/>
  <c r="S1288" i="1"/>
  <c r="Y1288" i="1"/>
  <c r="AH1288" i="1"/>
  <c r="S1289" i="1"/>
  <c r="Y1289" i="1"/>
  <c r="AH1289" i="1"/>
  <c r="S1290" i="1"/>
  <c r="Y1290" i="1"/>
  <c r="AH1290" i="1"/>
  <c r="S1291" i="1"/>
  <c r="Y1291" i="1"/>
  <c r="AH1291" i="1"/>
  <c r="S1292" i="1"/>
  <c r="Y1292" i="1"/>
  <c r="AH1292" i="1"/>
  <c r="S1293" i="1"/>
  <c r="Y1293" i="1"/>
  <c r="AH1293" i="1"/>
  <c r="S1294" i="1"/>
  <c r="Y1294" i="1"/>
  <c r="AH1294" i="1"/>
  <c r="S1295" i="1"/>
  <c r="Y1295" i="1"/>
  <c r="AH1295" i="1"/>
  <c r="S1296" i="1"/>
  <c r="Y1296" i="1"/>
  <c r="AH1296" i="1"/>
  <c r="S1297" i="1"/>
  <c r="Y1297" i="1"/>
  <c r="AH1297" i="1"/>
  <c r="S1298" i="1"/>
  <c r="Y1298" i="1"/>
  <c r="AH1298" i="1"/>
  <c r="S1299" i="1"/>
  <c r="Y1299" i="1"/>
  <c r="AH1299" i="1"/>
  <c r="S1300" i="1"/>
  <c r="Y1300" i="1"/>
  <c r="AH1300" i="1"/>
  <c r="S1301" i="1"/>
  <c r="Y1301" i="1"/>
  <c r="AH1301" i="1"/>
  <c r="S1302" i="1"/>
  <c r="Y1302" i="1"/>
  <c r="AH1302" i="1"/>
  <c r="S1303" i="1"/>
  <c r="Y1303" i="1"/>
  <c r="AH1303" i="1"/>
  <c r="S1304" i="1"/>
  <c r="Y1304" i="1"/>
  <c r="AH1304" i="1"/>
  <c r="S1305" i="1"/>
  <c r="Y1305" i="1"/>
  <c r="AH1305" i="1"/>
  <c r="S1306" i="1"/>
  <c r="Y1306" i="1"/>
  <c r="AH1306" i="1"/>
  <c r="S1307" i="1"/>
  <c r="Y1307" i="1"/>
  <c r="AH1307" i="1"/>
  <c r="S1308" i="1"/>
  <c r="Y1308" i="1"/>
  <c r="AH1308" i="1"/>
  <c r="S1309" i="1"/>
  <c r="Y1309" i="1"/>
  <c r="AH1309" i="1"/>
  <c r="S1310" i="1"/>
  <c r="Y1310" i="1"/>
  <c r="AH1310" i="1"/>
  <c r="S1311" i="1"/>
  <c r="Y1311" i="1"/>
  <c r="AH1311" i="1"/>
  <c r="S1312" i="1"/>
  <c r="Y1312" i="1"/>
  <c r="AH1312" i="1"/>
  <c r="S1313" i="1"/>
  <c r="Y1313" i="1"/>
  <c r="AH1313" i="1"/>
  <c r="S1314" i="1"/>
  <c r="Y1314" i="1"/>
  <c r="AH1314" i="1"/>
  <c r="S1315" i="1"/>
  <c r="Y1315" i="1"/>
  <c r="AH1315" i="1"/>
  <c r="S1316" i="1"/>
  <c r="Y1316" i="1"/>
  <c r="AH1316" i="1"/>
  <c r="S1317" i="1"/>
  <c r="Y1317" i="1"/>
  <c r="AH1317" i="1"/>
  <c r="S1318" i="1"/>
  <c r="Y1318" i="1"/>
  <c r="AH1318" i="1"/>
  <c r="S1319" i="1"/>
  <c r="Y1319" i="1"/>
  <c r="AH1319" i="1"/>
  <c r="S1320" i="1"/>
  <c r="Y1320" i="1"/>
  <c r="AH1320" i="1"/>
  <c r="S1321" i="1"/>
  <c r="Y1321" i="1"/>
  <c r="AH1321" i="1"/>
  <c r="S1322" i="1"/>
  <c r="Y1322" i="1"/>
  <c r="AH1322" i="1"/>
  <c r="S1323" i="1"/>
  <c r="Y1323" i="1"/>
  <c r="AH1323" i="1"/>
  <c r="S1324" i="1"/>
  <c r="Y1324" i="1"/>
  <c r="AH1324" i="1"/>
  <c r="S1325" i="1"/>
  <c r="Y1325" i="1"/>
  <c r="AH1325" i="1"/>
  <c r="S1326" i="1"/>
  <c r="Y1326" i="1"/>
  <c r="AH1326" i="1"/>
  <c r="S1327" i="1"/>
  <c r="Y1327" i="1"/>
  <c r="AH1327" i="1"/>
  <c r="S1328" i="1"/>
  <c r="Y1328" i="1"/>
  <c r="AH1328" i="1"/>
  <c r="S1329" i="1"/>
  <c r="Y1329" i="1"/>
  <c r="AH1329" i="1"/>
  <c r="S1330" i="1"/>
  <c r="Y1330" i="1"/>
  <c r="AH1330" i="1"/>
  <c r="S1331" i="1"/>
  <c r="Y1331" i="1"/>
  <c r="AH1331" i="1"/>
  <c r="S1332" i="1"/>
  <c r="Y1332" i="1"/>
  <c r="AH1332" i="1"/>
  <c r="S1333" i="1"/>
  <c r="Y1333" i="1"/>
  <c r="AH1333" i="1"/>
  <c r="S1334" i="1"/>
  <c r="Y1334" i="1"/>
  <c r="AH1334" i="1"/>
  <c r="S1335" i="1"/>
  <c r="Y1335" i="1"/>
  <c r="AH1335" i="1"/>
  <c r="S1336" i="1"/>
  <c r="Y1336" i="1"/>
  <c r="AH1336" i="1"/>
  <c r="S1337" i="1"/>
  <c r="Y1337" i="1"/>
  <c r="AH1337" i="1"/>
  <c r="S1338" i="1"/>
  <c r="Y1338" i="1"/>
  <c r="AH1338" i="1"/>
  <c r="S1339" i="1"/>
  <c r="Y1339" i="1"/>
  <c r="AH1339" i="1"/>
  <c r="S1340" i="1"/>
  <c r="Y1340" i="1"/>
  <c r="AH1340" i="1"/>
  <c r="S1341" i="1"/>
  <c r="Y1341" i="1"/>
  <c r="AH1341" i="1"/>
  <c r="S1342" i="1"/>
  <c r="Y1342" i="1"/>
  <c r="AH1342" i="1"/>
  <c r="S1343" i="1"/>
  <c r="Y1343" i="1"/>
  <c r="AH1343" i="1"/>
  <c r="S1344" i="1"/>
  <c r="Y1344" i="1"/>
  <c r="AH1344" i="1"/>
  <c r="S1345" i="1"/>
  <c r="Y1345" i="1"/>
  <c r="AH1345" i="1"/>
  <c r="S1346" i="1"/>
  <c r="Y1346" i="1"/>
  <c r="AH1346" i="1"/>
  <c r="S1347" i="1"/>
  <c r="Y1347" i="1"/>
  <c r="AH1347" i="1"/>
  <c r="S1348" i="1"/>
  <c r="Y1348" i="1"/>
  <c r="AH1348" i="1"/>
  <c r="S1349" i="1"/>
  <c r="Y1349" i="1"/>
  <c r="AH1349" i="1"/>
  <c r="S1350" i="1"/>
  <c r="Y1350" i="1"/>
  <c r="AH1350" i="1"/>
  <c r="S1351" i="1"/>
  <c r="Y1351" i="1"/>
  <c r="AH1351" i="1"/>
  <c r="S1352" i="1"/>
  <c r="Y1352" i="1"/>
  <c r="AH1352" i="1"/>
  <c r="S1353" i="1"/>
  <c r="Y1353" i="1"/>
  <c r="AH1353" i="1"/>
  <c r="S1354" i="1"/>
  <c r="Y1354" i="1"/>
  <c r="AH1354" i="1"/>
  <c r="S1355" i="1"/>
  <c r="Y1355" i="1"/>
  <c r="AH1355" i="1"/>
  <c r="S1356" i="1"/>
  <c r="Y1356" i="1"/>
  <c r="AH1356" i="1"/>
  <c r="S1357" i="1"/>
  <c r="Y1357" i="1"/>
  <c r="AH1357" i="1"/>
  <c r="S1358" i="1"/>
  <c r="Y1358" i="1"/>
  <c r="AH1358" i="1"/>
  <c r="S1359" i="1"/>
  <c r="Y1359" i="1"/>
  <c r="AH1359" i="1"/>
  <c r="S1360" i="1"/>
  <c r="Y1360" i="1"/>
  <c r="AH1360" i="1"/>
  <c r="S1361" i="1"/>
  <c r="Y1361" i="1"/>
  <c r="AH1361" i="1"/>
  <c r="S1362" i="1"/>
  <c r="Y1362" i="1"/>
  <c r="AH1362" i="1"/>
  <c r="S1363" i="1"/>
  <c r="Y1363" i="1"/>
  <c r="AH1363" i="1"/>
  <c r="S1364" i="1"/>
  <c r="Y1364" i="1"/>
  <c r="AH1364" i="1"/>
  <c r="S1365" i="1"/>
  <c r="Y1365" i="1"/>
  <c r="AH1365" i="1"/>
  <c r="S1366" i="1"/>
  <c r="Y1366" i="1"/>
  <c r="AH1366" i="1"/>
  <c r="S1367" i="1"/>
  <c r="Y1367" i="1"/>
  <c r="AH1367" i="1"/>
  <c r="S1368" i="1"/>
  <c r="Y1368" i="1"/>
  <c r="AH1368" i="1"/>
  <c r="S1369" i="1"/>
  <c r="Y1369" i="1"/>
  <c r="AH1369" i="1"/>
  <c r="S1370" i="1"/>
  <c r="Y1370" i="1"/>
  <c r="AH1370" i="1"/>
  <c r="S1371" i="1"/>
  <c r="Y1371" i="1"/>
  <c r="AH1371" i="1"/>
  <c r="S1372" i="1"/>
  <c r="Y1372" i="1"/>
  <c r="AH1372" i="1"/>
  <c r="S1373" i="1"/>
  <c r="Y1373" i="1"/>
  <c r="AH1373" i="1"/>
  <c r="S1374" i="1"/>
  <c r="Y1374" i="1"/>
  <c r="AH1374" i="1"/>
  <c r="S1375" i="1"/>
  <c r="Y1375" i="1"/>
  <c r="AH1375" i="1"/>
  <c r="S1376" i="1"/>
  <c r="Y1376" i="1"/>
  <c r="AH1376" i="1"/>
  <c r="S1377" i="1"/>
  <c r="Y1377" i="1"/>
  <c r="AH1377" i="1"/>
  <c r="S1378" i="1"/>
  <c r="Y1378" i="1"/>
  <c r="AH1378" i="1"/>
  <c r="S1379" i="1"/>
  <c r="Y1379" i="1"/>
  <c r="AH1379" i="1"/>
  <c r="S1380" i="1"/>
  <c r="Y1380" i="1"/>
  <c r="AH1380" i="1"/>
  <c r="S1381" i="1"/>
  <c r="Y1381" i="1"/>
  <c r="AH1381" i="1"/>
  <c r="S1382" i="1"/>
  <c r="Y1382" i="1"/>
  <c r="AH1382" i="1"/>
  <c r="S1383" i="1"/>
  <c r="Y1383" i="1"/>
  <c r="AH1383" i="1"/>
  <c r="S1384" i="1"/>
  <c r="Y1384" i="1"/>
  <c r="AH1384" i="1"/>
  <c r="S1385" i="1"/>
  <c r="Y1385" i="1"/>
  <c r="AH1385" i="1"/>
  <c r="S1386" i="1"/>
  <c r="Y1386" i="1"/>
  <c r="AH1386" i="1"/>
  <c r="S1387" i="1"/>
  <c r="Y1387" i="1"/>
  <c r="AH1387" i="1"/>
  <c r="S1388" i="1"/>
  <c r="Y1388" i="1"/>
  <c r="AH1388" i="1"/>
  <c r="S1389" i="1"/>
  <c r="Y1389" i="1"/>
  <c r="AH1389" i="1"/>
  <c r="S1390" i="1"/>
  <c r="Y1390" i="1"/>
  <c r="AH1390" i="1"/>
  <c r="S1391" i="1"/>
  <c r="Y1391" i="1"/>
  <c r="AH1391" i="1"/>
  <c r="S1392" i="1"/>
  <c r="Y1392" i="1"/>
  <c r="AH1392" i="1"/>
  <c r="S1393" i="1"/>
  <c r="Y1393" i="1"/>
  <c r="AH1393" i="1"/>
  <c r="S1394" i="1"/>
  <c r="Y1394" i="1"/>
  <c r="AH1394" i="1"/>
  <c r="S1395" i="1"/>
  <c r="Y1395" i="1"/>
  <c r="AH1395" i="1"/>
  <c r="S1396" i="1"/>
  <c r="Y1396" i="1"/>
  <c r="AH1396" i="1"/>
  <c r="S1397" i="1"/>
  <c r="Y1397" i="1"/>
  <c r="AH1397" i="1"/>
  <c r="S1398" i="1"/>
  <c r="Y1398" i="1"/>
  <c r="AH1398" i="1"/>
  <c r="S1399" i="1"/>
  <c r="Y1399" i="1"/>
  <c r="AH1399" i="1"/>
  <c r="S1400" i="1"/>
  <c r="Y1400" i="1"/>
  <c r="AH1400" i="1"/>
  <c r="S1401" i="1"/>
  <c r="Y1401" i="1"/>
  <c r="AH1401" i="1"/>
  <c r="S1402" i="1"/>
  <c r="Y1402" i="1"/>
  <c r="AH1402" i="1"/>
  <c r="S1403" i="1"/>
  <c r="Y1403" i="1"/>
  <c r="AH1403" i="1"/>
  <c r="S1404" i="1"/>
  <c r="Y1404" i="1"/>
  <c r="AH1404" i="1"/>
  <c r="S1405" i="1"/>
  <c r="Y1405" i="1"/>
  <c r="AH1405" i="1"/>
  <c r="S1406" i="1"/>
  <c r="Y1406" i="1"/>
  <c r="AH1406" i="1"/>
  <c r="S1407" i="1"/>
  <c r="Y1407" i="1"/>
  <c r="AH1407" i="1"/>
  <c r="S1408" i="1"/>
  <c r="Y1408" i="1"/>
  <c r="AH1408" i="1"/>
  <c r="S1409" i="1"/>
  <c r="Y1409" i="1"/>
  <c r="AH1409" i="1"/>
  <c r="S1410" i="1"/>
  <c r="Y1410" i="1"/>
  <c r="AH1410" i="1"/>
  <c r="S1411" i="1"/>
  <c r="Y1411" i="1"/>
  <c r="AH1411" i="1"/>
  <c r="S1412" i="1"/>
  <c r="Y1412" i="1"/>
  <c r="AH1412" i="1"/>
  <c r="S1413" i="1"/>
  <c r="Y1413" i="1"/>
  <c r="AH1413" i="1"/>
  <c r="S1414" i="1"/>
  <c r="Y1414" i="1"/>
  <c r="AH1414" i="1"/>
  <c r="S1415" i="1"/>
  <c r="Y1415" i="1"/>
  <c r="AH1415" i="1"/>
  <c r="S1416" i="1"/>
  <c r="Y1416" i="1"/>
  <c r="AH1416" i="1"/>
  <c r="S1417" i="1"/>
  <c r="Y1417" i="1"/>
  <c r="AH1417" i="1"/>
  <c r="S1418" i="1"/>
  <c r="Y1418" i="1"/>
  <c r="AH1418" i="1"/>
  <c r="S1419" i="1"/>
  <c r="Y1419" i="1"/>
  <c r="AH1419" i="1"/>
  <c r="S1420" i="1"/>
  <c r="Y1420" i="1"/>
  <c r="AH1420" i="1"/>
  <c r="S1421" i="1"/>
  <c r="Y1421" i="1"/>
  <c r="AH1421" i="1"/>
  <c r="S1422" i="1"/>
  <c r="Y1422" i="1"/>
  <c r="AH1422" i="1"/>
  <c r="S1423" i="1"/>
  <c r="Y1423" i="1"/>
  <c r="AH1423" i="1"/>
  <c r="S1424" i="1"/>
  <c r="Y1424" i="1"/>
  <c r="AH1424" i="1"/>
  <c r="S1425" i="1"/>
  <c r="Y1425" i="1"/>
  <c r="AH1425" i="1"/>
  <c r="S1426" i="1"/>
  <c r="Y1426" i="1"/>
  <c r="AH1426" i="1"/>
  <c r="S1427" i="1"/>
  <c r="Y1427" i="1"/>
  <c r="AH1427" i="1"/>
  <c r="S1428" i="1"/>
  <c r="Y1428" i="1"/>
  <c r="AH1428" i="1"/>
  <c r="S1429" i="1"/>
  <c r="Y1429" i="1"/>
  <c r="AH1429" i="1"/>
  <c r="S1430" i="1"/>
  <c r="Y1430" i="1"/>
  <c r="AH1430" i="1"/>
  <c r="S1431" i="1"/>
  <c r="Y1431" i="1"/>
  <c r="AH1431" i="1"/>
  <c r="S1432" i="1"/>
  <c r="Y1432" i="1"/>
  <c r="AH1432" i="1"/>
  <c r="S1433" i="1"/>
  <c r="Y1433" i="1"/>
  <c r="AH1433" i="1"/>
  <c r="S1434" i="1"/>
  <c r="Y1434" i="1"/>
  <c r="AH1434" i="1"/>
  <c r="S1435" i="1"/>
  <c r="Y1435" i="1"/>
  <c r="AH1435" i="1"/>
  <c r="S1436" i="1"/>
  <c r="Y1436" i="1"/>
  <c r="AH1436" i="1"/>
  <c r="S1437" i="1"/>
  <c r="Y1437" i="1"/>
  <c r="AH1437" i="1"/>
  <c r="S1438" i="1"/>
  <c r="Y1438" i="1"/>
  <c r="AH1438" i="1"/>
  <c r="S1439" i="1"/>
  <c r="Y1439" i="1"/>
  <c r="AH1439" i="1"/>
  <c r="S1440" i="1"/>
  <c r="Y1440" i="1"/>
  <c r="AH1440" i="1"/>
  <c r="S1441" i="1"/>
  <c r="Y1441" i="1"/>
  <c r="AH1441" i="1"/>
  <c r="S1442" i="1"/>
  <c r="Y1442" i="1"/>
  <c r="AH1442" i="1"/>
  <c r="S1443" i="1"/>
  <c r="Y1443" i="1"/>
  <c r="AH1443" i="1"/>
  <c r="S1444" i="1"/>
  <c r="Y1444" i="1"/>
  <c r="AH1444" i="1"/>
  <c r="S1445" i="1"/>
  <c r="Y1445" i="1"/>
  <c r="AH1445" i="1"/>
  <c r="S1446" i="1"/>
  <c r="Y1446" i="1"/>
  <c r="AH1446" i="1"/>
  <c r="S1447" i="1"/>
  <c r="Y1447" i="1"/>
  <c r="AH1447" i="1"/>
  <c r="S1448" i="1"/>
  <c r="Y1448" i="1"/>
  <c r="AH1448" i="1"/>
  <c r="S1449" i="1"/>
  <c r="Y1449" i="1"/>
  <c r="AH1449" i="1"/>
  <c r="S1450" i="1"/>
  <c r="Y1450" i="1"/>
  <c r="AH1450" i="1"/>
  <c r="S1451" i="1"/>
  <c r="Y1451" i="1"/>
  <c r="AH1451" i="1"/>
  <c r="S1452" i="1"/>
  <c r="Y1452" i="1"/>
  <c r="AH1452" i="1"/>
  <c r="S1453" i="1"/>
  <c r="Y1453" i="1"/>
  <c r="AH1453" i="1"/>
  <c r="S1454" i="1"/>
  <c r="Y1454" i="1"/>
  <c r="AH1454" i="1"/>
  <c r="S1455" i="1"/>
  <c r="Y1455" i="1"/>
  <c r="AH1455" i="1"/>
  <c r="S1456" i="1"/>
  <c r="Y1456" i="1"/>
  <c r="AH1456" i="1"/>
  <c r="S1457" i="1"/>
  <c r="Y1457" i="1"/>
  <c r="AH1457" i="1"/>
  <c r="S1458" i="1"/>
  <c r="Y1458" i="1"/>
  <c r="AH1458" i="1"/>
  <c r="S1459" i="1"/>
  <c r="Y1459" i="1"/>
  <c r="AH1459" i="1"/>
  <c r="S1460" i="1"/>
  <c r="Y1460" i="1"/>
  <c r="AH1460" i="1"/>
  <c r="S1461" i="1"/>
  <c r="Y1461" i="1"/>
  <c r="AH1461" i="1"/>
  <c r="S1462" i="1"/>
  <c r="Y1462" i="1"/>
  <c r="AH1462" i="1"/>
  <c r="S1463" i="1"/>
  <c r="Y1463" i="1"/>
  <c r="AH1463" i="1"/>
  <c r="S1464" i="1"/>
  <c r="Y1464" i="1"/>
  <c r="AH1464" i="1"/>
  <c r="S1465" i="1"/>
  <c r="Y1465" i="1"/>
  <c r="AH1465" i="1"/>
  <c r="S1466" i="1"/>
  <c r="Y1466" i="1"/>
  <c r="AH1466" i="1"/>
  <c r="S1467" i="1"/>
  <c r="Y1467" i="1"/>
  <c r="AH1467" i="1"/>
  <c r="S1468" i="1"/>
  <c r="Y1468" i="1"/>
  <c r="AH1468" i="1"/>
  <c r="S1469" i="1"/>
  <c r="Y1469" i="1"/>
  <c r="AH1469" i="1"/>
  <c r="S1470" i="1"/>
  <c r="Y1470" i="1"/>
  <c r="AH1470" i="1"/>
  <c r="S1471" i="1"/>
  <c r="Y1471" i="1"/>
  <c r="AH1471" i="1"/>
  <c r="S1472" i="1"/>
  <c r="Y1472" i="1"/>
  <c r="AH1472" i="1"/>
  <c r="S1473" i="1"/>
  <c r="Y1473" i="1"/>
  <c r="AH1473" i="1"/>
  <c r="S1474" i="1"/>
  <c r="Y1474" i="1"/>
  <c r="AH1474" i="1"/>
  <c r="S1475" i="1"/>
  <c r="Y1475" i="1"/>
  <c r="AH1475" i="1"/>
  <c r="S1476" i="1"/>
  <c r="Y1476" i="1"/>
  <c r="AH1476" i="1"/>
  <c r="S1477" i="1"/>
  <c r="Y1477" i="1"/>
  <c r="AH1477" i="1"/>
  <c r="S1478" i="1"/>
  <c r="Y1478" i="1"/>
  <c r="AH1478" i="1"/>
  <c r="S1479" i="1"/>
  <c r="Y1479" i="1"/>
  <c r="AH1479" i="1"/>
  <c r="S1480" i="1"/>
  <c r="Y1480" i="1"/>
  <c r="AH1480" i="1"/>
  <c r="S1481" i="1"/>
  <c r="Y1481" i="1"/>
  <c r="AH1481" i="1"/>
  <c r="S1482" i="1"/>
  <c r="Y1482" i="1"/>
  <c r="AH1482" i="1"/>
  <c r="S1483" i="1"/>
  <c r="Y1483" i="1"/>
  <c r="AH1483" i="1"/>
  <c r="S1484" i="1"/>
  <c r="Y1484" i="1"/>
  <c r="AH1484" i="1"/>
  <c r="S1485" i="1"/>
  <c r="Y1485" i="1"/>
  <c r="AH1485" i="1"/>
  <c r="S1486" i="1"/>
  <c r="Y1486" i="1"/>
  <c r="AH1486" i="1"/>
  <c r="S1487" i="1"/>
  <c r="Y1487" i="1"/>
  <c r="AH1487" i="1"/>
  <c r="S1488" i="1"/>
  <c r="Y1488" i="1"/>
  <c r="AH1488" i="1"/>
  <c r="S1489" i="1"/>
  <c r="Y1489" i="1"/>
  <c r="AH1489" i="1"/>
  <c r="S1490" i="1"/>
  <c r="Y1490" i="1"/>
  <c r="AH1490" i="1"/>
  <c r="S1491" i="1"/>
  <c r="Y1491" i="1"/>
  <c r="AH1491" i="1"/>
  <c r="S1492" i="1"/>
  <c r="Y1492" i="1"/>
  <c r="AH1492" i="1"/>
  <c r="S1493" i="1"/>
  <c r="Y1493" i="1"/>
  <c r="AH1493" i="1"/>
  <c r="S1494" i="1"/>
  <c r="Y1494" i="1"/>
  <c r="AH1494" i="1"/>
  <c r="S1495" i="1"/>
  <c r="Y1495" i="1"/>
  <c r="AH1495" i="1"/>
  <c r="S1496" i="1"/>
  <c r="Y1496" i="1"/>
  <c r="AH1496" i="1"/>
  <c r="S1497" i="1"/>
  <c r="Y1497" i="1"/>
  <c r="AH1497" i="1"/>
  <c r="S1498" i="1"/>
  <c r="Y1498" i="1"/>
  <c r="AH1498" i="1"/>
  <c r="S1499" i="1"/>
  <c r="Y1499" i="1"/>
  <c r="AH1499" i="1"/>
  <c r="S1500" i="1"/>
  <c r="Y1500" i="1"/>
  <c r="AH1500" i="1"/>
  <c r="S1501" i="1"/>
  <c r="Y1501" i="1"/>
  <c r="AH1501" i="1"/>
  <c r="S1502" i="1"/>
  <c r="Y1502" i="1"/>
  <c r="AH1502" i="1"/>
  <c r="S1503" i="1"/>
  <c r="Y1503" i="1"/>
  <c r="AH1503" i="1"/>
  <c r="S1504" i="1"/>
  <c r="Y1504" i="1"/>
  <c r="AH1504" i="1"/>
  <c r="S1505" i="1"/>
  <c r="Y1505" i="1"/>
  <c r="AH1505" i="1"/>
  <c r="S1506" i="1"/>
  <c r="Y1506" i="1"/>
  <c r="AH1506" i="1"/>
  <c r="S1507" i="1"/>
  <c r="Y1507" i="1"/>
  <c r="AH1507" i="1"/>
  <c r="S1508" i="1"/>
  <c r="Y1508" i="1"/>
  <c r="AH1508" i="1"/>
  <c r="S1509" i="1"/>
  <c r="Y1509" i="1"/>
  <c r="AH1509" i="1"/>
  <c r="S1510" i="1"/>
  <c r="Y1510" i="1"/>
  <c r="AH1510" i="1"/>
  <c r="S1511" i="1"/>
  <c r="Y1511" i="1"/>
  <c r="AH1511" i="1"/>
  <c r="S1512" i="1"/>
  <c r="Y1512" i="1"/>
  <c r="AH1512" i="1"/>
  <c r="S1513" i="1"/>
  <c r="Y1513" i="1"/>
  <c r="AH1513" i="1"/>
  <c r="S1514" i="1"/>
  <c r="Y1514" i="1"/>
  <c r="AH1514" i="1"/>
  <c r="S1515" i="1"/>
  <c r="Y1515" i="1"/>
  <c r="AH1515" i="1"/>
  <c r="S1516" i="1"/>
  <c r="Y1516" i="1"/>
  <c r="AH1516" i="1"/>
  <c r="S1517" i="1"/>
  <c r="Y1517" i="1"/>
  <c r="AH1517" i="1"/>
  <c r="S1518" i="1"/>
  <c r="Y1518" i="1"/>
  <c r="AH1518" i="1"/>
  <c r="S1519" i="1"/>
  <c r="Y1519" i="1"/>
  <c r="AH1519" i="1"/>
  <c r="S1520" i="1"/>
  <c r="Y1520" i="1"/>
  <c r="AH1520" i="1"/>
  <c r="S1521" i="1"/>
  <c r="Y1521" i="1"/>
  <c r="AH1521" i="1"/>
  <c r="S1522" i="1"/>
  <c r="Y1522" i="1"/>
  <c r="AH1522" i="1"/>
  <c r="S1523" i="1"/>
  <c r="Y1523" i="1"/>
  <c r="AH1523" i="1"/>
  <c r="S1524" i="1"/>
  <c r="Y1524" i="1"/>
  <c r="AH1524" i="1"/>
  <c r="S1525" i="1"/>
  <c r="Y1525" i="1"/>
  <c r="AH1525" i="1"/>
  <c r="S1526" i="1"/>
  <c r="Y1526" i="1"/>
  <c r="AH1526" i="1"/>
  <c r="S1527" i="1"/>
  <c r="Y1527" i="1"/>
  <c r="AH1527" i="1"/>
  <c r="S1528" i="1"/>
  <c r="Y1528" i="1"/>
  <c r="AH1528" i="1"/>
  <c r="S1529" i="1"/>
  <c r="Y1529" i="1"/>
  <c r="AH1529" i="1"/>
  <c r="S1530" i="1"/>
  <c r="Y1530" i="1"/>
  <c r="AH1530" i="1"/>
  <c r="S1531" i="1"/>
  <c r="Y1531" i="1"/>
  <c r="AH1531" i="1"/>
  <c r="S1532" i="1"/>
  <c r="Y1532" i="1"/>
  <c r="AH1532" i="1"/>
  <c r="S1533" i="1"/>
  <c r="Y1533" i="1"/>
  <c r="AH1533" i="1"/>
  <c r="S1534" i="1"/>
  <c r="Y1534" i="1"/>
  <c r="AH1534" i="1"/>
  <c r="S1535" i="1"/>
  <c r="Y1535" i="1"/>
  <c r="AH1535" i="1"/>
  <c r="S1536" i="1"/>
  <c r="Y1536" i="1"/>
  <c r="AH1536" i="1"/>
  <c r="S1537" i="1"/>
  <c r="Y1537" i="1"/>
  <c r="AH1537" i="1"/>
  <c r="S1538" i="1"/>
  <c r="Y1538" i="1"/>
  <c r="AH1538" i="1"/>
  <c r="S1539" i="1"/>
  <c r="Y1539" i="1"/>
  <c r="AH1539" i="1"/>
  <c r="S1540" i="1"/>
  <c r="Y1540" i="1"/>
  <c r="AH1540" i="1"/>
  <c r="S1541" i="1"/>
  <c r="Y1541" i="1"/>
  <c r="AH1541" i="1"/>
  <c r="S1542" i="1"/>
  <c r="Y1542" i="1"/>
  <c r="AH1542" i="1"/>
  <c r="S1543" i="1"/>
  <c r="Y1543" i="1"/>
  <c r="AH1543" i="1"/>
  <c r="S1544" i="1"/>
  <c r="Y1544" i="1"/>
  <c r="AH1544" i="1"/>
  <c r="S1545" i="1"/>
  <c r="Y1545" i="1"/>
  <c r="AH1545" i="1"/>
  <c r="S1546" i="1"/>
  <c r="Y1546" i="1"/>
  <c r="AH1546" i="1"/>
  <c r="S1547" i="1"/>
  <c r="Y1547" i="1"/>
  <c r="AH1547" i="1"/>
  <c r="S1548" i="1"/>
  <c r="Y1548" i="1"/>
  <c r="AH1548" i="1"/>
  <c r="S1549" i="1"/>
  <c r="Y1549" i="1"/>
  <c r="AH1549" i="1"/>
  <c r="S1550" i="1"/>
  <c r="Y1550" i="1"/>
  <c r="AH1550" i="1"/>
  <c r="S1551" i="1"/>
  <c r="Y1551" i="1"/>
  <c r="AH1551" i="1"/>
  <c r="S1552" i="1"/>
  <c r="Y1552" i="1"/>
  <c r="AH1552" i="1"/>
  <c r="S1553" i="1"/>
  <c r="Y1553" i="1"/>
  <c r="AH1553" i="1"/>
  <c r="S1554" i="1"/>
  <c r="Y1554" i="1"/>
  <c r="AH1554" i="1"/>
  <c r="S1555" i="1"/>
  <c r="Y1555" i="1"/>
  <c r="AH1555" i="1"/>
  <c r="S1556" i="1"/>
  <c r="Y1556" i="1"/>
  <c r="AH1556" i="1"/>
  <c r="S1557" i="1"/>
  <c r="Y1557" i="1"/>
  <c r="AH1557" i="1"/>
  <c r="S1558" i="1"/>
  <c r="Y1558" i="1"/>
  <c r="AH1558" i="1"/>
  <c r="S1559" i="1"/>
  <c r="Y1559" i="1"/>
  <c r="AH1559" i="1"/>
  <c r="S1560" i="1"/>
  <c r="Y1560" i="1"/>
  <c r="AH1560" i="1"/>
  <c r="S1561" i="1"/>
  <c r="Y1561" i="1"/>
  <c r="AH1561" i="1"/>
  <c r="S1562" i="1"/>
  <c r="Y1562" i="1"/>
  <c r="AH1562" i="1"/>
  <c r="S1563" i="1"/>
  <c r="Y1563" i="1"/>
  <c r="AH1563" i="1"/>
  <c r="S1564" i="1"/>
  <c r="Y1564" i="1"/>
  <c r="AH1564" i="1"/>
  <c r="S1565" i="1"/>
  <c r="Y1565" i="1"/>
  <c r="AH1565" i="1"/>
  <c r="S1566" i="1"/>
  <c r="Y1566" i="1"/>
  <c r="AH1566" i="1"/>
  <c r="S1567" i="1"/>
  <c r="Y1567" i="1"/>
  <c r="AH1567" i="1"/>
  <c r="S1568" i="1"/>
  <c r="Y1568" i="1"/>
  <c r="AH1568" i="1"/>
  <c r="S1569" i="1"/>
  <c r="Y1569" i="1"/>
  <c r="AH1569" i="1"/>
  <c r="S1570" i="1"/>
  <c r="Y1570" i="1"/>
  <c r="AH1570" i="1"/>
  <c r="S1571" i="1"/>
  <c r="Y1571" i="1"/>
  <c r="AH1571" i="1"/>
  <c r="S1572" i="1"/>
  <c r="Y1572" i="1"/>
  <c r="AH1572" i="1"/>
  <c r="S1573" i="1"/>
  <c r="Y1573" i="1"/>
  <c r="AH1573" i="1"/>
  <c r="S1574" i="1"/>
  <c r="Y1574" i="1"/>
  <c r="AH1574" i="1"/>
  <c r="S1575" i="1"/>
  <c r="Y1575" i="1"/>
  <c r="AH1575" i="1"/>
  <c r="S1576" i="1"/>
  <c r="Y1576" i="1"/>
  <c r="AH1576" i="1"/>
  <c r="S1577" i="1"/>
  <c r="Y1577" i="1"/>
  <c r="AH1577" i="1"/>
  <c r="S1578" i="1"/>
  <c r="Y1578" i="1"/>
  <c r="AH1578" i="1"/>
  <c r="S1579" i="1"/>
  <c r="Y1579" i="1"/>
  <c r="AH1579" i="1"/>
  <c r="S1580" i="1"/>
  <c r="Y1580" i="1"/>
  <c r="AH1580" i="1"/>
  <c r="S1581" i="1"/>
  <c r="Y1581" i="1"/>
  <c r="AH1581" i="1"/>
  <c r="S1582" i="1"/>
  <c r="Y1582" i="1"/>
  <c r="AH1582" i="1"/>
  <c r="S1583" i="1"/>
  <c r="Y1583" i="1"/>
  <c r="AH1583" i="1"/>
  <c r="S1584" i="1"/>
  <c r="Y1584" i="1"/>
  <c r="AH1584" i="1"/>
  <c r="S1585" i="1"/>
  <c r="Y1585" i="1"/>
  <c r="AH1585" i="1"/>
  <c r="S1586" i="1"/>
  <c r="Y1586" i="1"/>
  <c r="AH1586" i="1"/>
  <c r="S1587" i="1"/>
  <c r="Y1587" i="1"/>
  <c r="AH1587" i="1"/>
  <c r="S1588" i="1"/>
  <c r="Y1588" i="1"/>
  <c r="AH1588" i="1"/>
  <c r="S1589" i="1"/>
  <c r="Y1589" i="1"/>
  <c r="AH1589" i="1"/>
  <c r="S1590" i="1"/>
  <c r="Y1590" i="1"/>
  <c r="AH1590" i="1"/>
  <c r="S1591" i="1"/>
  <c r="Y1591" i="1"/>
  <c r="AH1591" i="1"/>
  <c r="S1592" i="1"/>
  <c r="Y1592" i="1"/>
  <c r="AH1592" i="1"/>
  <c r="S1593" i="1"/>
  <c r="Y1593" i="1"/>
  <c r="AH1593" i="1"/>
  <c r="S1594" i="1"/>
  <c r="Y1594" i="1"/>
  <c r="AH1594" i="1"/>
  <c r="S1595" i="1"/>
  <c r="Y1595" i="1"/>
  <c r="AH1595" i="1"/>
  <c r="S1596" i="1"/>
  <c r="Y1596" i="1"/>
  <c r="AH1596" i="1"/>
  <c r="S1597" i="1"/>
  <c r="Y1597" i="1"/>
  <c r="AH1597" i="1"/>
  <c r="S1598" i="1"/>
  <c r="Y1598" i="1"/>
  <c r="AH1598" i="1"/>
  <c r="S1599" i="1"/>
  <c r="Y1599" i="1"/>
  <c r="AH1599" i="1"/>
  <c r="S1600" i="1"/>
  <c r="Y1600" i="1"/>
  <c r="AH1600" i="1"/>
  <c r="S1601" i="1"/>
  <c r="Y1601" i="1"/>
  <c r="AH1601" i="1"/>
  <c r="S1602" i="1"/>
  <c r="Y1602" i="1"/>
  <c r="AH1602" i="1"/>
  <c r="S1603" i="1"/>
  <c r="Y1603" i="1"/>
  <c r="AH1603" i="1"/>
  <c r="S1604" i="1"/>
  <c r="Y1604" i="1"/>
  <c r="AH1604" i="1"/>
  <c r="S1605" i="1"/>
  <c r="Y1605" i="1"/>
  <c r="AH1605" i="1"/>
  <c r="S1606" i="1"/>
  <c r="Y1606" i="1"/>
  <c r="AH1606" i="1"/>
  <c r="S1607" i="1"/>
  <c r="Y1607" i="1"/>
  <c r="AH1607" i="1"/>
  <c r="S1608" i="1"/>
  <c r="Y1608" i="1"/>
  <c r="AH1608" i="1"/>
  <c r="S1609" i="1"/>
  <c r="Y1609" i="1"/>
  <c r="AH1609" i="1"/>
  <c r="S1610" i="1"/>
  <c r="Y1610" i="1"/>
  <c r="AH1610" i="1"/>
  <c r="S1611" i="1"/>
  <c r="Y1611" i="1"/>
  <c r="AH1611" i="1"/>
  <c r="S1612" i="1"/>
  <c r="Y1612" i="1"/>
  <c r="AH1612" i="1"/>
  <c r="S1613" i="1"/>
  <c r="Y1613" i="1"/>
  <c r="AH1613" i="1"/>
  <c r="S1614" i="1"/>
  <c r="Y1614" i="1"/>
  <c r="AH1614" i="1"/>
  <c r="S1615" i="1"/>
  <c r="Y1615" i="1"/>
  <c r="AH1615" i="1"/>
  <c r="S1616" i="1"/>
  <c r="Y1616" i="1"/>
  <c r="AH1616" i="1"/>
  <c r="S1617" i="1"/>
  <c r="Y1617" i="1"/>
  <c r="AH1617" i="1"/>
  <c r="S1618" i="1"/>
  <c r="Y1618" i="1"/>
  <c r="AH1618" i="1"/>
  <c r="S1619" i="1"/>
  <c r="Y1619" i="1"/>
  <c r="AH1619" i="1"/>
  <c r="S1620" i="1"/>
  <c r="Y1620" i="1"/>
  <c r="AH1620" i="1"/>
  <c r="S1621" i="1"/>
  <c r="Y1621" i="1"/>
  <c r="AH1621" i="1"/>
  <c r="S1622" i="1"/>
  <c r="Y1622" i="1"/>
  <c r="AH1622" i="1"/>
  <c r="S1623" i="1"/>
  <c r="Y1623" i="1"/>
  <c r="AH1623" i="1"/>
  <c r="S1624" i="1"/>
  <c r="Y1624" i="1"/>
  <c r="AH1624" i="1"/>
  <c r="S1625" i="1"/>
  <c r="Y1625" i="1"/>
  <c r="AH1625" i="1"/>
  <c r="S1626" i="1"/>
  <c r="Y1626" i="1"/>
  <c r="AH1626" i="1"/>
  <c r="S1627" i="1"/>
  <c r="Y1627" i="1"/>
  <c r="AH1627" i="1"/>
  <c r="S1628" i="1"/>
  <c r="Y1628" i="1"/>
  <c r="AH1628" i="1"/>
  <c r="S1629" i="1"/>
  <c r="Y1629" i="1"/>
  <c r="AH1629" i="1"/>
  <c r="S1630" i="1"/>
  <c r="Y1630" i="1"/>
  <c r="AH1630" i="1"/>
  <c r="S1631" i="1"/>
  <c r="Y1631" i="1"/>
  <c r="AH1631" i="1"/>
  <c r="S1632" i="1"/>
  <c r="Y1632" i="1"/>
  <c r="AH1632" i="1"/>
  <c r="S1633" i="1"/>
  <c r="Y1633" i="1"/>
  <c r="AH1633" i="1"/>
  <c r="S1634" i="1"/>
  <c r="Y1634" i="1"/>
  <c r="AH1634" i="1"/>
  <c r="S1635" i="1"/>
  <c r="Y1635" i="1"/>
  <c r="AH1635" i="1"/>
  <c r="S1636" i="1"/>
  <c r="Y1636" i="1"/>
  <c r="AH1636" i="1"/>
  <c r="S1637" i="1"/>
  <c r="Y1637" i="1"/>
  <c r="AH1637" i="1"/>
  <c r="S1638" i="1"/>
  <c r="Y1638" i="1"/>
  <c r="AH1638" i="1"/>
  <c r="S1639" i="1"/>
  <c r="Y1639" i="1"/>
  <c r="AH1639" i="1"/>
  <c r="S1640" i="1"/>
  <c r="Y1640" i="1"/>
  <c r="AH1640" i="1"/>
  <c r="S1641" i="1"/>
  <c r="Y1641" i="1"/>
  <c r="AH1641" i="1"/>
  <c r="S1642" i="1"/>
  <c r="Y1642" i="1"/>
  <c r="AH1642" i="1"/>
  <c r="S1643" i="1"/>
  <c r="Y1643" i="1"/>
  <c r="AH1643" i="1"/>
  <c r="S1644" i="1"/>
  <c r="Y1644" i="1"/>
  <c r="AH1644" i="1"/>
  <c r="S1645" i="1"/>
  <c r="Y1645" i="1"/>
  <c r="AH1645" i="1"/>
  <c r="S1646" i="1"/>
  <c r="Y1646" i="1"/>
  <c r="AH1646" i="1"/>
  <c r="S1647" i="1"/>
  <c r="Y1647" i="1"/>
  <c r="AH1647" i="1"/>
  <c r="S1648" i="1"/>
  <c r="Y1648" i="1"/>
  <c r="AH1648" i="1"/>
  <c r="S1649" i="1"/>
  <c r="Y1649" i="1"/>
  <c r="AH1649" i="1"/>
  <c r="S1650" i="1"/>
  <c r="Y1650" i="1"/>
  <c r="AH1650" i="1"/>
  <c r="S1651" i="1"/>
  <c r="Y1651" i="1"/>
  <c r="AH1651" i="1"/>
  <c r="S1652" i="1"/>
  <c r="Y1652" i="1"/>
  <c r="AH1652" i="1"/>
  <c r="S1653" i="1"/>
  <c r="Y1653" i="1"/>
  <c r="AH1653" i="1"/>
  <c r="S1654" i="1"/>
  <c r="Y1654" i="1"/>
  <c r="AH1654" i="1"/>
  <c r="S1655" i="1"/>
  <c r="Y1655" i="1"/>
  <c r="AH1655" i="1"/>
  <c r="S1656" i="1"/>
  <c r="Y1656" i="1"/>
  <c r="AH1656" i="1"/>
  <c r="S1657" i="1"/>
  <c r="Y1657" i="1"/>
  <c r="AH1657" i="1"/>
  <c r="S1658" i="1"/>
  <c r="Y1658" i="1"/>
  <c r="AH1658" i="1"/>
  <c r="S1659" i="1"/>
  <c r="Y1659" i="1"/>
  <c r="AH1659" i="1"/>
  <c r="S1660" i="1"/>
  <c r="Y1660" i="1"/>
  <c r="AH1660" i="1"/>
  <c r="S1661" i="1"/>
  <c r="Y1661" i="1"/>
  <c r="AH1661" i="1"/>
  <c r="S1662" i="1"/>
  <c r="Y1662" i="1"/>
  <c r="AH1662" i="1"/>
  <c r="S1663" i="1"/>
  <c r="Y1663" i="1"/>
  <c r="AH1663" i="1"/>
  <c r="S1664" i="1"/>
  <c r="Y1664" i="1"/>
  <c r="AH1664" i="1"/>
  <c r="S1665" i="1"/>
  <c r="Y1665" i="1"/>
  <c r="AH1665" i="1"/>
  <c r="S1666" i="1"/>
  <c r="Y1666" i="1"/>
  <c r="AH1666" i="1"/>
  <c r="S1667" i="1"/>
  <c r="Y1667" i="1"/>
  <c r="AH1667" i="1"/>
  <c r="S1668" i="1"/>
  <c r="Y1668" i="1"/>
  <c r="AH1668" i="1"/>
  <c r="S1669" i="1"/>
  <c r="Y1669" i="1"/>
  <c r="AH1669" i="1"/>
  <c r="S1670" i="1"/>
  <c r="Y1670" i="1"/>
  <c r="AH1670" i="1"/>
  <c r="S1671" i="1"/>
  <c r="Y1671" i="1"/>
  <c r="AH1671" i="1"/>
  <c r="S1672" i="1"/>
  <c r="Y1672" i="1"/>
  <c r="AH1672" i="1"/>
  <c r="S1673" i="1"/>
  <c r="Y1673" i="1"/>
  <c r="AH1673" i="1"/>
  <c r="S1674" i="1"/>
  <c r="Y1674" i="1"/>
  <c r="AH1674" i="1"/>
  <c r="S1675" i="1"/>
  <c r="Y1675" i="1"/>
  <c r="AH1675" i="1"/>
  <c r="S1676" i="1"/>
  <c r="Y1676" i="1"/>
  <c r="AH1676" i="1"/>
  <c r="S1677" i="1"/>
  <c r="Y1677" i="1"/>
  <c r="AH1677" i="1"/>
  <c r="S1678" i="1"/>
  <c r="Y1678" i="1"/>
  <c r="AH1678" i="1"/>
  <c r="S1679" i="1"/>
  <c r="Y1679" i="1"/>
  <c r="AH1679" i="1"/>
  <c r="S1680" i="1"/>
  <c r="Y1680" i="1"/>
  <c r="AH1680" i="1"/>
  <c r="S1681" i="1"/>
  <c r="Y1681" i="1"/>
  <c r="AH1681" i="1"/>
  <c r="S1682" i="1"/>
  <c r="Y1682" i="1"/>
  <c r="AH1682" i="1"/>
  <c r="S1683" i="1"/>
  <c r="Y1683" i="1"/>
  <c r="AH1683" i="1"/>
  <c r="S1684" i="1"/>
  <c r="Y1684" i="1"/>
  <c r="AH1684" i="1"/>
  <c r="S1685" i="1"/>
  <c r="Y1685" i="1"/>
  <c r="AH1685" i="1"/>
  <c r="S1686" i="1"/>
  <c r="Y1686" i="1"/>
  <c r="AH1686" i="1"/>
  <c r="S1687" i="1"/>
  <c r="Y1687" i="1"/>
  <c r="AH1687" i="1"/>
  <c r="S1688" i="1"/>
  <c r="Y1688" i="1"/>
  <c r="AH1688" i="1"/>
  <c r="S1689" i="1"/>
  <c r="Y1689" i="1"/>
  <c r="AH1689" i="1"/>
  <c r="S1690" i="1"/>
  <c r="Y1690" i="1"/>
  <c r="AH1690" i="1"/>
  <c r="S1691" i="1"/>
  <c r="Y1691" i="1"/>
  <c r="AH1691" i="1"/>
  <c r="S1692" i="1"/>
  <c r="Y1692" i="1"/>
  <c r="AH1692" i="1"/>
  <c r="S1693" i="1"/>
  <c r="Y1693" i="1"/>
  <c r="AH1693" i="1"/>
  <c r="S1694" i="1"/>
  <c r="Y1694" i="1"/>
  <c r="AH1694" i="1"/>
  <c r="S1695" i="1"/>
  <c r="Y1695" i="1"/>
  <c r="AH1695" i="1"/>
  <c r="S1696" i="1"/>
  <c r="Y1696" i="1"/>
  <c r="AH1696" i="1"/>
  <c r="S1697" i="1"/>
  <c r="Y1697" i="1"/>
  <c r="AH1697" i="1"/>
  <c r="S1698" i="1"/>
  <c r="Y1698" i="1"/>
  <c r="AH1698" i="1"/>
  <c r="S1699" i="1"/>
  <c r="Y1699" i="1"/>
  <c r="AH1699" i="1"/>
  <c r="S1700" i="1"/>
  <c r="Y1700" i="1"/>
  <c r="AH1700" i="1"/>
  <c r="S1701" i="1"/>
  <c r="Y1701" i="1"/>
  <c r="AH1701" i="1"/>
  <c r="S1702" i="1"/>
  <c r="Y1702" i="1"/>
  <c r="AH1702" i="1"/>
  <c r="S1703" i="1"/>
  <c r="Y1703" i="1"/>
  <c r="AH1703" i="1"/>
  <c r="S1704" i="1"/>
  <c r="Y1704" i="1"/>
  <c r="AH1704" i="1"/>
  <c r="S1705" i="1"/>
  <c r="Y1705" i="1"/>
  <c r="AH1705" i="1"/>
  <c r="S1706" i="1"/>
  <c r="Y1706" i="1"/>
  <c r="AH1706" i="1"/>
  <c r="S1707" i="1"/>
  <c r="Y1707" i="1"/>
  <c r="AH1707" i="1"/>
  <c r="S1708" i="1"/>
  <c r="Y1708" i="1"/>
  <c r="AH1708" i="1"/>
  <c r="S1709" i="1"/>
  <c r="Y1709" i="1"/>
  <c r="AH1709" i="1"/>
  <c r="S1710" i="1"/>
  <c r="Y1710" i="1"/>
  <c r="AH1710" i="1"/>
  <c r="S1711" i="1"/>
  <c r="Y1711" i="1"/>
  <c r="AH1711" i="1"/>
  <c r="S1712" i="1"/>
  <c r="Y1712" i="1"/>
  <c r="AH1712" i="1"/>
  <c r="S1713" i="1"/>
  <c r="Y1713" i="1"/>
  <c r="AH1713" i="1"/>
  <c r="S1714" i="1"/>
  <c r="Y1714" i="1"/>
  <c r="AH1714" i="1"/>
  <c r="S1715" i="1"/>
  <c r="Y1715" i="1"/>
  <c r="AH1715" i="1"/>
  <c r="S1716" i="1"/>
  <c r="Y1716" i="1"/>
  <c r="AH1716" i="1"/>
  <c r="S1717" i="1"/>
  <c r="Y1717" i="1"/>
  <c r="AH1717" i="1"/>
  <c r="S1718" i="1"/>
  <c r="Y1718" i="1"/>
  <c r="AH1718" i="1"/>
  <c r="S1719" i="1"/>
  <c r="Y1719" i="1"/>
  <c r="AH1719" i="1"/>
  <c r="S1720" i="1"/>
  <c r="Y1720" i="1"/>
  <c r="AH1720" i="1"/>
  <c r="S1721" i="1"/>
  <c r="Y1721" i="1"/>
  <c r="AH1721" i="1"/>
  <c r="S1722" i="1"/>
  <c r="Y1722" i="1"/>
  <c r="AH1722" i="1"/>
  <c r="S1723" i="1"/>
  <c r="Y1723" i="1"/>
  <c r="AH1723" i="1"/>
  <c r="S1724" i="1"/>
  <c r="Y1724" i="1"/>
  <c r="AH1724" i="1"/>
  <c r="S1725" i="1"/>
  <c r="Y1725" i="1"/>
  <c r="AH1725" i="1"/>
  <c r="S1726" i="1"/>
  <c r="Y1726" i="1"/>
  <c r="AH1726" i="1"/>
  <c r="S1727" i="1"/>
  <c r="Y1727" i="1"/>
  <c r="AH1727" i="1"/>
  <c r="S1728" i="1"/>
  <c r="Y1728" i="1"/>
  <c r="AH1728" i="1"/>
  <c r="S1729" i="1"/>
  <c r="Y1729" i="1"/>
  <c r="AH1729" i="1"/>
  <c r="S1730" i="1"/>
  <c r="Y1730" i="1"/>
  <c r="AH1730" i="1"/>
  <c r="S1731" i="1"/>
  <c r="Y1731" i="1"/>
  <c r="AH1731" i="1"/>
  <c r="S1732" i="1"/>
  <c r="Y1732" i="1"/>
  <c r="AH1732" i="1"/>
  <c r="S1733" i="1"/>
  <c r="Y1733" i="1"/>
  <c r="AH1733" i="1"/>
  <c r="S1734" i="1"/>
  <c r="Y1734" i="1"/>
  <c r="AH1734" i="1"/>
  <c r="S1735" i="1"/>
  <c r="Y1735" i="1"/>
  <c r="AH1735" i="1"/>
  <c r="S1736" i="1"/>
  <c r="Y1736" i="1"/>
  <c r="AH1736" i="1"/>
  <c r="S1737" i="1"/>
  <c r="Y1737" i="1"/>
  <c r="AH1737" i="1"/>
  <c r="S1738" i="1"/>
  <c r="Y1738" i="1"/>
  <c r="AH1738" i="1"/>
  <c r="S1739" i="1"/>
  <c r="Y1739" i="1"/>
  <c r="AH1739" i="1"/>
  <c r="S1740" i="1"/>
  <c r="Y1740" i="1"/>
  <c r="AH1740" i="1"/>
  <c r="S1741" i="1"/>
  <c r="Y1741" i="1"/>
  <c r="AH1741" i="1"/>
  <c r="S1742" i="1"/>
  <c r="Y1742" i="1"/>
  <c r="AH1742" i="1"/>
  <c r="S1743" i="1"/>
  <c r="Y1743" i="1"/>
  <c r="AH1743" i="1"/>
  <c r="S1744" i="1"/>
  <c r="Y1744" i="1"/>
  <c r="AH1744" i="1"/>
  <c r="S1745" i="1"/>
  <c r="Y1745" i="1"/>
  <c r="AH1745" i="1"/>
  <c r="S1746" i="1"/>
  <c r="Y1746" i="1"/>
  <c r="AH1746" i="1"/>
  <c r="S1747" i="1"/>
  <c r="Y1747" i="1"/>
  <c r="AH1747" i="1"/>
  <c r="S1748" i="1"/>
  <c r="Y1748" i="1"/>
  <c r="AH1748" i="1"/>
  <c r="S1749" i="1"/>
  <c r="Y1749" i="1"/>
  <c r="AH1749" i="1"/>
  <c r="S1750" i="1"/>
  <c r="Y1750" i="1"/>
  <c r="AH1750" i="1"/>
  <c r="S1751" i="1"/>
  <c r="Y1751" i="1"/>
  <c r="AH1751" i="1"/>
  <c r="S1752" i="1"/>
  <c r="Y1752" i="1"/>
  <c r="AH1752" i="1"/>
  <c r="S1753" i="1"/>
  <c r="Y1753" i="1"/>
  <c r="AH1753" i="1"/>
  <c r="S1754" i="1"/>
  <c r="Y1754" i="1"/>
  <c r="AH1754" i="1"/>
  <c r="S1755" i="1"/>
  <c r="Y1755" i="1"/>
  <c r="AH1755" i="1"/>
  <c r="S1756" i="1"/>
  <c r="Y1756" i="1"/>
  <c r="AH1756" i="1"/>
  <c r="S1757" i="1"/>
  <c r="Y1757" i="1"/>
  <c r="AH1757" i="1"/>
  <c r="S1758" i="1"/>
  <c r="Y1758" i="1"/>
  <c r="AH1758" i="1"/>
  <c r="S1759" i="1"/>
  <c r="Y1759" i="1"/>
  <c r="AH1759" i="1"/>
  <c r="S1760" i="1"/>
  <c r="Y1760" i="1"/>
  <c r="AH1760" i="1"/>
  <c r="S1761" i="1"/>
  <c r="Y1761" i="1"/>
  <c r="AH1761" i="1"/>
  <c r="S1762" i="1"/>
  <c r="Y1762" i="1"/>
  <c r="AH1762" i="1"/>
  <c r="S1763" i="1"/>
  <c r="Y1763" i="1"/>
  <c r="AH1763" i="1"/>
  <c r="S1764" i="1"/>
  <c r="Y1764" i="1"/>
  <c r="AH1764" i="1"/>
  <c r="S1765" i="1"/>
  <c r="Y1765" i="1"/>
  <c r="AH1765" i="1"/>
  <c r="S1766" i="1"/>
  <c r="Y1766" i="1"/>
  <c r="AH1766" i="1"/>
  <c r="S1767" i="1"/>
  <c r="Y1767" i="1"/>
  <c r="AH1767" i="1"/>
  <c r="S1768" i="1"/>
  <c r="Y1768" i="1"/>
  <c r="AH1768" i="1"/>
  <c r="S1769" i="1"/>
  <c r="Y1769" i="1"/>
  <c r="AH1769" i="1"/>
  <c r="S1770" i="1"/>
  <c r="Y1770" i="1"/>
  <c r="AH1770" i="1"/>
  <c r="S1771" i="1"/>
  <c r="Y1771" i="1"/>
  <c r="AH1771" i="1"/>
  <c r="S1772" i="1"/>
  <c r="Y1772" i="1"/>
  <c r="AH1772" i="1"/>
  <c r="S1773" i="1"/>
  <c r="Y1773" i="1"/>
  <c r="AH1773" i="1"/>
  <c r="S1774" i="1"/>
  <c r="Y1774" i="1"/>
  <c r="AH1774" i="1"/>
  <c r="S1775" i="1"/>
  <c r="Y1775" i="1"/>
  <c r="AH1775" i="1"/>
  <c r="S1776" i="1"/>
  <c r="Y1776" i="1"/>
  <c r="AH1776" i="1"/>
  <c r="S1777" i="1"/>
  <c r="Y1777" i="1"/>
  <c r="AH1777" i="1"/>
  <c r="S1778" i="1"/>
  <c r="Y1778" i="1"/>
  <c r="AH1778" i="1"/>
  <c r="S1779" i="1"/>
  <c r="Y1779" i="1"/>
  <c r="AH1779" i="1"/>
  <c r="S1780" i="1"/>
  <c r="Y1780" i="1"/>
  <c r="AH1780" i="1"/>
  <c r="S1781" i="1"/>
  <c r="Y1781" i="1"/>
  <c r="AH1781" i="1"/>
  <c r="S1782" i="1"/>
  <c r="Y1782" i="1"/>
  <c r="AH1782" i="1"/>
  <c r="S1783" i="1"/>
  <c r="Y1783" i="1"/>
  <c r="AH1783" i="1"/>
  <c r="S1784" i="1"/>
  <c r="Y1784" i="1"/>
  <c r="AH1784" i="1"/>
  <c r="S1785" i="1"/>
  <c r="Y1785" i="1"/>
  <c r="AH1785" i="1"/>
  <c r="S1786" i="1"/>
  <c r="Y1786" i="1"/>
  <c r="AH1786" i="1"/>
  <c r="S1787" i="1"/>
  <c r="Y1787" i="1"/>
  <c r="AH1787" i="1"/>
  <c r="S1788" i="1"/>
  <c r="Y1788" i="1"/>
  <c r="AH1788" i="1"/>
  <c r="S1789" i="1"/>
  <c r="Y1789" i="1"/>
  <c r="AH1789" i="1"/>
  <c r="S1790" i="1"/>
  <c r="Y1790" i="1"/>
  <c r="AH1790" i="1"/>
  <c r="S1791" i="1"/>
  <c r="Y1791" i="1"/>
  <c r="AH1791" i="1"/>
  <c r="S1792" i="1"/>
  <c r="Y1792" i="1"/>
  <c r="AH1792" i="1"/>
  <c r="S1793" i="1"/>
  <c r="Y1793" i="1"/>
  <c r="AH1793" i="1"/>
  <c r="S1794" i="1"/>
  <c r="Y1794" i="1"/>
  <c r="AH1794" i="1"/>
  <c r="S1795" i="1"/>
  <c r="Y1795" i="1"/>
  <c r="AH1795" i="1"/>
  <c r="S1796" i="1"/>
  <c r="Y1796" i="1"/>
  <c r="AH1796" i="1"/>
  <c r="S1797" i="1"/>
  <c r="Y1797" i="1"/>
  <c r="AH1797" i="1"/>
  <c r="S1798" i="1"/>
  <c r="Y1798" i="1"/>
  <c r="AH1798" i="1"/>
  <c r="S1799" i="1"/>
  <c r="Y1799" i="1"/>
  <c r="AH1799" i="1"/>
  <c r="S1800" i="1"/>
  <c r="Y1800" i="1"/>
  <c r="AH1800" i="1"/>
  <c r="S1801" i="1"/>
  <c r="Y1801" i="1"/>
  <c r="AH1801" i="1"/>
  <c r="S1802" i="1"/>
  <c r="Y1802" i="1"/>
  <c r="AH1802" i="1"/>
  <c r="S1803" i="1"/>
  <c r="Y1803" i="1"/>
  <c r="AH1803" i="1"/>
  <c r="S1804" i="1"/>
  <c r="Y1804" i="1"/>
  <c r="AH1804" i="1"/>
  <c r="S1805" i="1"/>
  <c r="Y1805" i="1"/>
  <c r="AH1805" i="1"/>
  <c r="S1806" i="1"/>
  <c r="Y1806" i="1"/>
  <c r="AH1806" i="1"/>
  <c r="S1807" i="1"/>
  <c r="Y1807" i="1"/>
  <c r="AH1807" i="1"/>
  <c r="S1808" i="1"/>
  <c r="Y1808" i="1"/>
  <c r="AH1808" i="1"/>
  <c r="S1809" i="1"/>
  <c r="Y1809" i="1"/>
  <c r="AH1809" i="1"/>
  <c r="S1810" i="1"/>
  <c r="Y1810" i="1"/>
  <c r="AH1810" i="1"/>
  <c r="S1811" i="1"/>
  <c r="Y1811" i="1"/>
  <c r="AH1811" i="1"/>
  <c r="S1812" i="1"/>
  <c r="Y1812" i="1"/>
  <c r="AH1812" i="1"/>
  <c r="S1813" i="1"/>
  <c r="Y1813" i="1"/>
  <c r="AH1813" i="1"/>
  <c r="S1814" i="1"/>
  <c r="Y1814" i="1"/>
  <c r="AH1814" i="1"/>
  <c r="S1815" i="1"/>
  <c r="Y1815" i="1"/>
  <c r="AH1815" i="1"/>
  <c r="S1816" i="1"/>
  <c r="Y1816" i="1"/>
  <c r="AH1816" i="1"/>
  <c r="S1817" i="1"/>
  <c r="Y1817" i="1"/>
  <c r="AH1817" i="1"/>
  <c r="S1818" i="1"/>
  <c r="Y1818" i="1"/>
  <c r="AH1818" i="1"/>
  <c r="S1819" i="1"/>
  <c r="Y1819" i="1"/>
  <c r="AH1819" i="1"/>
  <c r="S1820" i="1"/>
  <c r="Y1820" i="1"/>
  <c r="AH1820" i="1"/>
  <c r="S1821" i="1"/>
  <c r="Y1821" i="1"/>
  <c r="AH1821" i="1"/>
  <c r="S1822" i="1"/>
  <c r="Y1822" i="1"/>
  <c r="AH1822" i="1"/>
  <c r="S1823" i="1"/>
  <c r="Y1823" i="1"/>
  <c r="AH1823" i="1"/>
  <c r="S1824" i="1"/>
  <c r="Y1824" i="1"/>
  <c r="AH1824" i="1"/>
  <c r="S1825" i="1"/>
  <c r="Y1825" i="1"/>
  <c r="AH1825" i="1"/>
  <c r="S1826" i="1"/>
  <c r="Y1826" i="1"/>
  <c r="AH1826" i="1"/>
  <c r="S1827" i="1"/>
  <c r="Y1827" i="1"/>
  <c r="AH1827" i="1"/>
  <c r="S1828" i="1"/>
  <c r="Y1828" i="1"/>
  <c r="AH1828" i="1"/>
  <c r="S1829" i="1"/>
  <c r="Y1829" i="1"/>
  <c r="AH1829" i="1"/>
  <c r="S1830" i="1"/>
  <c r="Y1830" i="1"/>
  <c r="AH1830" i="1"/>
  <c r="S1831" i="1"/>
  <c r="Y1831" i="1"/>
  <c r="AH1831" i="1"/>
  <c r="S1832" i="1"/>
  <c r="Y1832" i="1"/>
  <c r="AH1832" i="1"/>
  <c r="S1833" i="1"/>
  <c r="Y1833" i="1"/>
  <c r="AH1833" i="1"/>
  <c r="S1834" i="1"/>
  <c r="Y1834" i="1"/>
  <c r="AH1834" i="1"/>
  <c r="S1835" i="1"/>
  <c r="Y1835" i="1"/>
  <c r="AH1835" i="1"/>
  <c r="S1836" i="1"/>
  <c r="Y1836" i="1"/>
  <c r="AH1836" i="1"/>
  <c r="S1837" i="1"/>
  <c r="Y1837" i="1"/>
  <c r="AH1837" i="1"/>
  <c r="S1838" i="1"/>
  <c r="Y1838" i="1"/>
  <c r="AH1838" i="1"/>
  <c r="S1839" i="1"/>
  <c r="Y1839" i="1"/>
  <c r="AH1839" i="1"/>
  <c r="S1840" i="1"/>
  <c r="Y1840" i="1"/>
  <c r="AH1840" i="1"/>
  <c r="S1841" i="1"/>
  <c r="Y1841" i="1"/>
  <c r="AH1841" i="1"/>
  <c r="S1842" i="1"/>
  <c r="Y1842" i="1"/>
  <c r="AH1842" i="1"/>
  <c r="S1843" i="1"/>
  <c r="Y1843" i="1"/>
  <c r="AH1843" i="1"/>
  <c r="S1844" i="1"/>
  <c r="Y1844" i="1"/>
  <c r="AH1844" i="1"/>
  <c r="S1845" i="1"/>
  <c r="Y1845" i="1"/>
  <c r="AH1845" i="1"/>
  <c r="S1846" i="1"/>
  <c r="Y1846" i="1"/>
  <c r="AH1846" i="1"/>
  <c r="S1847" i="1"/>
  <c r="Y1847" i="1"/>
  <c r="AH1847" i="1"/>
  <c r="S1848" i="1"/>
  <c r="Y1848" i="1"/>
  <c r="AH1848" i="1"/>
  <c r="S1849" i="1"/>
  <c r="Y1849" i="1"/>
  <c r="AH1849" i="1"/>
  <c r="S1850" i="1"/>
  <c r="Y1850" i="1"/>
  <c r="AH1850" i="1"/>
  <c r="S1851" i="1"/>
  <c r="Y1851" i="1"/>
  <c r="AH1851" i="1"/>
  <c r="S1852" i="1"/>
  <c r="Y1852" i="1"/>
  <c r="AH1852" i="1"/>
  <c r="S1853" i="1"/>
  <c r="Y1853" i="1"/>
  <c r="AH1853" i="1"/>
  <c r="S1854" i="1"/>
  <c r="Y1854" i="1"/>
  <c r="AH1854" i="1"/>
  <c r="S1855" i="1"/>
  <c r="Y1855" i="1"/>
  <c r="AH1855" i="1"/>
  <c r="S1856" i="1"/>
  <c r="Y1856" i="1"/>
  <c r="AH1856" i="1"/>
  <c r="S1857" i="1"/>
  <c r="Y1857" i="1"/>
  <c r="AH1857" i="1"/>
  <c r="S1858" i="1"/>
  <c r="Y1858" i="1"/>
  <c r="AH1858" i="1"/>
  <c r="S1859" i="1"/>
  <c r="Y1859" i="1"/>
  <c r="AH1859" i="1"/>
  <c r="S1860" i="1"/>
  <c r="Y1860" i="1"/>
  <c r="AH1860" i="1"/>
  <c r="S1861" i="1"/>
  <c r="Y1861" i="1"/>
  <c r="AH1861" i="1"/>
  <c r="S1862" i="1"/>
  <c r="Y1862" i="1"/>
  <c r="AH1862" i="1"/>
  <c r="S1863" i="1"/>
  <c r="Y1863" i="1"/>
  <c r="AH1863" i="1"/>
  <c r="S1864" i="1"/>
  <c r="Y1864" i="1"/>
  <c r="AH1864" i="1"/>
  <c r="S1865" i="1"/>
  <c r="Y1865" i="1"/>
  <c r="AH1865" i="1"/>
  <c r="S1866" i="1"/>
  <c r="Y1866" i="1"/>
  <c r="AH1866" i="1"/>
  <c r="S1867" i="1"/>
  <c r="Y1867" i="1"/>
  <c r="AH1867" i="1"/>
  <c r="S1868" i="1"/>
  <c r="Y1868" i="1"/>
  <c r="AH1868" i="1"/>
  <c r="S1869" i="1"/>
  <c r="Y1869" i="1"/>
  <c r="AH1869" i="1"/>
  <c r="S1870" i="1"/>
  <c r="Y1870" i="1"/>
  <c r="AH1870" i="1"/>
  <c r="S1871" i="1"/>
  <c r="Y1871" i="1"/>
  <c r="AH1871" i="1"/>
  <c r="S1872" i="1"/>
  <c r="Y1872" i="1"/>
  <c r="AH1872" i="1"/>
  <c r="S1873" i="1"/>
  <c r="Y1873" i="1"/>
  <c r="AH1873" i="1"/>
  <c r="S1874" i="1"/>
  <c r="Y1874" i="1"/>
  <c r="AH1874" i="1"/>
  <c r="S1875" i="1"/>
  <c r="Y1875" i="1"/>
  <c r="AH1875" i="1"/>
  <c r="S1876" i="1"/>
  <c r="Y1876" i="1"/>
  <c r="AH1876" i="1"/>
  <c r="S1877" i="1"/>
  <c r="Y1877" i="1"/>
  <c r="AH1877" i="1"/>
  <c r="S1878" i="1"/>
  <c r="Y1878" i="1"/>
  <c r="AH1878" i="1"/>
  <c r="S1879" i="1"/>
  <c r="Y1879" i="1"/>
  <c r="AH1879" i="1"/>
  <c r="S1880" i="1"/>
  <c r="Y1880" i="1"/>
  <c r="AH1880" i="1"/>
  <c r="S1881" i="1"/>
  <c r="Y1881" i="1"/>
  <c r="AH1881" i="1"/>
  <c r="S1882" i="1"/>
  <c r="Y1882" i="1"/>
  <c r="AH1882" i="1"/>
  <c r="S1883" i="1"/>
  <c r="Y1883" i="1"/>
  <c r="AH1883" i="1"/>
  <c r="S1884" i="1"/>
  <c r="Y1884" i="1"/>
  <c r="AH1884" i="1"/>
  <c r="S1885" i="1"/>
  <c r="Y1885" i="1"/>
  <c r="AH1885" i="1"/>
  <c r="S1886" i="1"/>
  <c r="Y1886" i="1"/>
  <c r="AH1886" i="1"/>
  <c r="S1887" i="1"/>
  <c r="Y1887" i="1"/>
  <c r="AH1887" i="1"/>
  <c r="S1888" i="1"/>
  <c r="Y1888" i="1"/>
  <c r="AH1888" i="1"/>
  <c r="S1889" i="1"/>
  <c r="Y1889" i="1"/>
  <c r="AH1889" i="1"/>
  <c r="S1890" i="1"/>
  <c r="Y1890" i="1"/>
  <c r="AH1890" i="1"/>
  <c r="S1891" i="1"/>
  <c r="Y1891" i="1"/>
  <c r="AH1891" i="1"/>
  <c r="S1892" i="1"/>
  <c r="Y1892" i="1"/>
  <c r="AH1892" i="1"/>
  <c r="S1893" i="1"/>
  <c r="Y1893" i="1"/>
  <c r="AH1893" i="1"/>
  <c r="S1894" i="1"/>
  <c r="Y1894" i="1"/>
  <c r="AH1894" i="1"/>
  <c r="S1895" i="1"/>
  <c r="Y1895" i="1"/>
  <c r="AH1895" i="1"/>
  <c r="S1896" i="1"/>
  <c r="Y1896" i="1"/>
  <c r="AH1896" i="1"/>
  <c r="S1897" i="1"/>
  <c r="Y1897" i="1"/>
  <c r="AH1897" i="1"/>
  <c r="S1898" i="1"/>
  <c r="Y1898" i="1"/>
  <c r="AH1898" i="1"/>
  <c r="S1899" i="1"/>
  <c r="Y1899" i="1"/>
  <c r="AH1899" i="1"/>
  <c r="S1900" i="1"/>
  <c r="Y1900" i="1"/>
  <c r="AH1900" i="1"/>
  <c r="S1901" i="1"/>
  <c r="Y1901" i="1"/>
  <c r="AH1901" i="1"/>
  <c r="S1902" i="1"/>
  <c r="Y1902" i="1"/>
  <c r="AH1902" i="1"/>
  <c r="S1903" i="1"/>
  <c r="Y1903" i="1"/>
  <c r="AH1903" i="1"/>
  <c r="S1904" i="1"/>
  <c r="Y1904" i="1"/>
  <c r="AH1904" i="1"/>
  <c r="S1905" i="1"/>
  <c r="Y1905" i="1"/>
  <c r="AH1905" i="1"/>
  <c r="S1906" i="1"/>
  <c r="Y1906" i="1"/>
  <c r="AH1906" i="1"/>
  <c r="S1907" i="1"/>
  <c r="Y1907" i="1"/>
  <c r="AH1907" i="1"/>
  <c r="S1908" i="1"/>
  <c r="Y1908" i="1"/>
  <c r="AH1908" i="1"/>
  <c r="S1909" i="1"/>
  <c r="Y1909" i="1"/>
  <c r="AH1909" i="1"/>
  <c r="S1910" i="1"/>
  <c r="Y1910" i="1"/>
  <c r="AH1910" i="1"/>
  <c r="S1911" i="1"/>
  <c r="Y1911" i="1"/>
  <c r="AH1911" i="1"/>
  <c r="S1912" i="1"/>
  <c r="Y1912" i="1"/>
  <c r="AH1912" i="1"/>
  <c r="S1913" i="1"/>
  <c r="Y1913" i="1"/>
  <c r="AH1913" i="1"/>
  <c r="S1914" i="1"/>
  <c r="Y1914" i="1"/>
  <c r="AH1914" i="1"/>
  <c r="S1915" i="1"/>
  <c r="Y1915" i="1"/>
  <c r="AH1915" i="1"/>
  <c r="S1916" i="1"/>
  <c r="Y1916" i="1"/>
  <c r="AH1916" i="1"/>
  <c r="S1917" i="1"/>
  <c r="Y1917" i="1"/>
  <c r="AH1917" i="1"/>
  <c r="S1918" i="1"/>
  <c r="Y1918" i="1"/>
  <c r="AH1918" i="1"/>
  <c r="S1919" i="1"/>
  <c r="Y1919" i="1"/>
  <c r="AH1919" i="1"/>
  <c r="S1920" i="1"/>
  <c r="Y1920" i="1"/>
  <c r="AH1920" i="1"/>
  <c r="S1921" i="1"/>
  <c r="Y1921" i="1"/>
  <c r="AH1921" i="1"/>
  <c r="S1922" i="1"/>
  <c r="Y1922" i="1"/>
  <c r="AH1922" i="1"/>
  <c r="S1923" i="1"/>
  <c r="Y1923" i="1"/>
  <c r="AH1923" i="1"/>
  <c r="S1924" i="1"/>
  <c r="Y1924" i="1"/>
  <c r="AH1924" i="1"/>
  <c r="S1925" i="1"/>
  <c r="Y1925" i="1"/>
  <c r="AH1925" i="1"/>
  <c r="S1926" i="1"/>
  <c r="Y1926" i="1"/>
  <c r="AH1926" i="1"/>
  <c r="S1927" i="1"/>
  <c r="Y1927" i="1"/>
  <c r="AH1927" i="1"/>
  <c r="S1928" i="1"/>
  <c r="Y1928" i="1"/>
  <c r="AH1928" i="1"/>
  <c r="S1929" i="1"/>
  <c r="Y1929" i="1"/>
  <c r="AH1929" i="1"/>
  <c r="S1930" i="1"/>
  <c r="Y1930" i="1"/>
  <c r="AH1930" i="1"/>
  <c r="S1931" i="1"/>
  <c r="Y1931" i="1"/>
  <c r="AH1931" i="1"/>
  <c r="S1932" i="1"/>
  <c r="Y1932" i="1"/>
  <c r="AH1932" i="1"/>
  <c r="S1933" i="1"/>
  <c r="Y1933" i="1"/>
  <c r="AH1933" i="1"/>
  <c r="S1934" i="1"/>
  <c r="Y1934" i="1"/>
  <c r="AH1934" i="1"/>
  <c r="S1935" i="1"/>
  <c r="Y1935" i="1"/>
  <c r="AH1935" i="1"/>
  <c r="S1936" i="1"/>
  <c r="Y1936" i="1"/>
  <c r="AH1936" i="1"/>
  <c r="S1937" i="1"/>
  <c r="Y1937" i="1"/>
  <c r="AH1937" i="1"/>
  <c r="S1938" i="1"/>
  <c r="Y1938" i="1"/>
  <c r="AH1938" i="1"/>
  <c r="S1939" i="1"/>
  <c r="Y1939" i="1"/>
  <c r="AH1939" i="1"/>
  <c r="S1940" i="1"/>
  <c r="Y1940" i="1"/>
  <c r="AH1940" i="1"/>
  <c r="S1941" i="1"/>
  <c r="Y1941" i="1"/>
  <c r="AH1941" i="1"/>
  <c r="S1942" i="1"/>
  <c r="Y1942" i="1"/>
  <c r="AH1942" i="1"/>
  <c r="S1943" i="1"/>
  <c r="Y1943" i="1"/>
  <c r="AH1943" i="1"/>
  <c r="S1944" i="1"/>
  <c r="Y1944" i="1"/>
  <c r="AH1944" i="1"/>
  <c r="S1945" i="1"/>
  <c r="Y1945" i="1"/>
  <c r="AH1945" i="1"/>
  <c r="S1946" i="1"/>
  <c r="Y1946" i="1"/>
  <c r="AH1946" i="1"/>
  <c r="S1947" i="1"/>
  <c r="Y1947" i="1"/>
  <c r="AH1947" i="1"/>
  <c r="S1948" i="1"/>
  <c r="Y1948" i="1"/>
  <c r="AH1948" i="1"/>
  <c r="S1949" i="1"/>
  <c r="Y1949" i="1"/>
  <c r="AH1949" i="1"/>
  <c r="S1950" i="1"/>
  <c r="Y1950" i="1"/>
  <c r="AH1950" i="1"/>
  <c r="S1951" i="1"/>
  <c r="Y1951" i="1"/>
  <c r="AH1951" i="1"/>
  <c r="S1952" i="1"/>
  <c r="Y1952" i="1"/>
  <c r="AH1952" i="1"/>
  <c r="S1953" i="1"/>
  <c r="Y1953" i="1"/>
  <c r="AH1953" i="1"/>
  <c r="S1954" i="1"/>
  <c r="Y1954" i="1"/>
  <c r="AH1954" i="1"/>
  <c r="S1955" i="1"/>
  <c r="Y1955" i="1"/>
  <c r="AH1955" i="1"/>
  <c r="S1956" i="1"/>
  <c r="Y1956" i="1"/>
  <c r="AH1956" i="1"/>
  <c r="S1957" i="1"/>
  <c r="Y1957" i="1"/>
  <c r="AH1957" i="1"/>
  <c r="S1958" i="1"/>
  <c r="Y1958" i="1"/>
  <c r="AH1958" i="1"/>
  <c r="S1959" i="1"/>
  <c r="Y1959" i="1"/>
  <c r="AH1959" i="1"/>
  <c r="S1960" i="1"/>
  <c r="Y1960" i="1"/>
  <c r="AH1960" i="1"/>
  <c r="S1961" i="1"/>
  <c r="Y1961" i="1"/>
  <c r="AH1961" i="1"/>
  <c r="S1962" i="1"/>
  <c r="Y1962" i="1"/>
  <c r="AH1962" i="1"/>
  <c r="S1963" i="1"/>
  <c r="Y1963" i="1"/>
  <c r="AH1963" i="1"/>
  <c r="S1964" i="1"/>
  <c r="Y1964" i="1"/>
  <c r="AH1964" i="1"/>
  <c r="S1965" i="1"/>
  <c r="Y1965" i="1"/>
  <c r="AH1965" i="1"/>
  <c r="S1966" i="1"/>
  <c r="Y1966" i="1"/>
  <c r="AH1966" i="1"/>
  <c r="S1967" i="1"/>
  <c r="Y1967" i="1"/>
  <c r="AH1967" i="1"/>
  <c r="S1968" i="1"/>
  <c r="Y1968" i="1"/>
  <c r="AH1968" i="1"/>
  <c r="S1969" i="1"/>
  <c r="Y1969" i="1"/>
  <c r="AH1969" i="1"/>
  <c r="S1970" i="1"/>
  <c r="Y1970" i="1"/>
  <c r="AH1970" i="1"/>
  <c r="S1971" i="1"/>
  <c r="Y1971" i="1"/>
  <c r="AH1971" i="1"/>
  <c r="S1972" i="1"/>
  <c r="Y1972" i="1"/>
  <c r="AH1972" i="1"/>
  <c r="S1973" i="1"/>
  <c r="Y1973" i="1"/>
  <c r="AH1973" i="1"/>
  <c r="S1974" i="1"/>
  <c r="Y1974" i="1"/>
  <c r="AH1974" i="1"/>
  <c r="S1975" i="1"/>
  <c r="Y1975" i="1"/>
  <c r="AH1975" i="1"/>
  <c r="S1976" i="1"/>
  <c r="Y1976" i="1"/>
  <c r="AH1976" i="1"/>
  <c r="S1977" i="1"/>
  <c r="Y1977" i="1"/>
  <c r="AH1977" i="1"/>
  <c r="S1978" i="1"/>
  <c r="Y1978" i="1"/>
  <c r="AH1978" i="1"/>
  <c r="S1979" i="1"/>
  <c r="Y1979" i="1"/>
  <c r="AH1979" i="1"/>
  <c r="S1980" i="1"/>
  <c r="Y1980" i="1"/>
  <c r="AH1980" i="1"/>
  <c r="S1981" i="1"/>
  <c r="Y1981" i="1"/>
  <c r="AH1981" i="1"/>
  <c r="S1982" i="1"/>
  <c r="Y1982" i="1"/>
  <c r="AH1982" i="1"/>
  <c r="S1983" i="1"/>
  <c r="Y1983" i="1"/>
  <c r="AH1983" i="1"/>
  <c r="S1984" i="1"/>
  <c r="Y1984" i="1"/>
  <c r="AH1984" i="1"/>
  <c r="S1985" i="1"/>
  <c r="Y1985" i="1"/>
  <c r="AH1985" i="1"/>
  <c r="S1986" i="1"/>
  <c r="Y1986" i="1"/>
  <c r="AH1986" i="1"/>
  <c r="S1987" i="1"/>
  <c r="Y1987" i="1"/>
  <c r="AH1987" i="1"/>
  <c r="S1988" i="1"/>
  <c r="Y1988" i="1"/>
  <c r="AH1988" i="1"/>
  <c r="S1989" i="1"/>
  <c r="Y1989" i="1"/>
  <c r="AH1989" i="1"/>
  <c r="S1990" i="1"/>
  <c r="Y1990" i="1"/>
  <c r="AH1990" i="1"/>
  <c r="S1991" i="1"/>
  <c r="Y1991" i="1"/>
  <c r="AH1991" i="1"/>
  <c r="S1992" i="1"/>
  <c r="Y1992" i="1"/>
  <c r="AH1992" i="1"/>
  <c r="S1993" i="1"/>
  <c r="Y1993" i="1"/>
  <c r="AH1993" i="1"/>
  <c r="S1994" i="1"/>
  <c r="Y1994" i="1"/>
  <c r="AH1994" i="1"/>
  <c r="S1995" i="1"/>
  <c r="Y1995" i="1"/>
  <c r="AH1995" i="1"/>
  <c r="S1996" i="1"/>
  <c r="Y1996" i="1"/>
  <c r="AH1996" i="1"/>
  <c r="S1997" i="1"/>
  <c r="Y1997" i="1"/>
  <c r="AH1997" i="1"/>
  <c r="S1998" i="1"/>
  <c r="Y1998" i="1"/>
  <c r="AH1998" i="1"/>
  <c r="S1999" i="1"/>
  <c r="Y1999" i="1"/>
  <c r="AH1999" i="1"/>
  <c r="S2000" i="1"/>
  <c r="Y2000" i="1"/>
  <c r="AH2000" i="1"/>
  <c r="S2001" i="1"/>
  <c r="Y2001" i="1"/>
  <c r="AH2001" i="1"/>
  <c r="S2002" i="1"/>
  <c r="Y2002" i="1"/>
  <c r="AH2002" i="1"/>
  <c r="S2003" i="1"/>
  <c r="Y2003" i="1"/>
  <c r="AH2003" i="1"/>
  <c r="S2004" i="1"/>
  <c r="Y2004" i="1"/>
  <c r="AH2004" i="1"/>
  <c r="S2005" i="1"/>
  <c r="Y2005" i="1"/>
  <c r="AH2005" i="1"/>
  <c r="S2006" i="1"/>
  <c r="Y2006" i="1"/>
  <c r="AH2006" i="1"/>
  <c r="S2007" i="1"/>
  <c r="Y2007" i="1"/>
  <c r="AH2007" i="1"/>
  <c r="S2008" i="1"/>
  <c r="Y2008" i="1"/>
  <c r="AH2008" i="1"/>
  <c r="S2009" i="1"/>
  <c r="Y2009" i="1"/>
  <c r="AH2009" i="1"/>
  <c r="S2010" i="1"/>
  <c r="Y2010" i="1"/>
  <c r="AH2010" i="1"/>
  <c r="S2011" i="1"/>
  <c r="Y2011" i="1"/>
  <c r="AH2011" i="1"/>
  <c r="S2012" i="1"/>
  <c r="Y2012" i="1"/>
  <c r="AH2012" i="1"/>
  <c r="S2013" i="1"/>
  <c r="Y2013" i="1"/>
  <c r="AH2013" i="1"/>
  <c r="S2014" i="1"/>
  <c r="Y2014" i="1"/>
  <c r="AH2014" i="1"/>
  <c r="S2015" i="1"/>
  <c r="Y2015" i="1"/>
  <c r="AH2015" i="1"/>
  <c r="S2016" i="1"/>
  <c r="Y2016" i="1"/>
  <c r="AH2016" i="1"/>
  <c r="S2017" i="1"/>
  <c r="Y2017" i="1"/>
  <c r="AH2017" i="1"/>
  <c r="S2018" i="1"/>
  <c r="Y2018" i="1"/>
  <c r="AH2018" i="1"/>
  <c r="S2019" i="1"/>
  <c r="Y2019" i="1"/>
  <c r="AH2019" i="1"/>
  <c r="S2020" i="1"/>
  <c r="Y2020" i="1"/>
  <c r="AH2020" i="1"/>
  <c r="S2021" i="1"/>
  <c r="Y2021" i="1"/>
  <c r="AH2021" i="1"/>
  <c r="S2022" i="1"/>
  <c r="Y2022" i="1"/>
  <c r="AH2022" i="1"/>
  <c r="S2023" i="1"/>
  <c r="Y2023" i="1"/>
  <c r="AH2023" i="1"/>
  <c r="S2024" i="1"/>
  <c r="Y2024" i="1"/>
  <c r="AH2024" i="1"/>
  <c r="S2025" i="1"/>
  <c r="Y2025" i="1"/>
  <c r="AH2025" i="1"/>
  <c r="S2026" i="1"/>
  <c r="Y2026" i="1"/>
  <c r="AH2026" i="1"/>
  <c r="S2027" i="1"/>
  <c r="Y2027" i="1"/>
  <c r="AH2027" i="1"/>
  <c r="S2028" i="1"/>
  <c r="Y2028" i="1"/>
  <c r="AH2028" i="1"/>
  <c r="S2029" i="1"/>
  <c r="Y2029" i="1"/>
  <c r="AH2029" i="1"/>
  <c r="S2030" i="1"/>
  <c r="Y2030" i="1"/>
  <c r="AH2030" i="1"/>
  <c r="S2031" i="1"/>
  <c r="Y2031" i="1"/>
  <c r="AH2031" i="1"/>
  <c r="S2032" i="1"/>
  <c r="Y2032" i="1"/>
  <c r="AH2032" i="1"/>
  <c r="S2033" i="1"/>
  <c r="Y2033" i="1"/>
  <c r="AH2033" i="1"/>
  <c r="S2034" i="1"/>
  <c r="Y2034" i="1"/>
  <c r="AH2034" i="1"/>
  <c r="S2035" i="1"/>
  <c r="Y2035" i="1"/>
  <c r="AH2035" i="1"/>
  <c r="S2036" i="1"/>
  <c r="Y2036" i="1"/>
  <c r="AH2036" i="1"/>
  <c r="S2037" i="1"/>
  <c r="Y2037" i="1"/>
  <c r="AH2037" i="1"/>
  <c r="S2038" i="1"/>
  <c r="Y2038" i="1"/>
  <c r="AH2038" i="1"/>
  <c r="S2039" i="1"/>
  <c r="Y2039" i="1"/>
  <c r="AH2039" i="1"/>
  <c r="S2040" i="1"/>
  <c r="Y2040" i="1"/>
  <c r="AH2040" i="1"/>
  <c r="S2041" i="1"/>
  <c r="Y2041" i="1"/>
  <c r="AH2041" i="1"/>
  <c r="S2042" i="1"/>
  <c r="Y2042" i="1"/>
  <c r="AH2042" i="1"/>
  <c r="S2043" i="1"/>
  <c r="Y2043" i="1"/>
  <c r="AH2043" i="1"/>
  <c r="S2044" i="1"/>
  <c r="Y2044" i="1"/>
  <c r="AH2044" i="1"/>
  <c r="S2045" i="1"/>
  <c r="Y2045" i="1"/>
  <c r="AH2045" i="1"/>
  <c r="S2046" i="1"/>
  <c r="Y2046" i="1"/>
  <c r="AH2046" i="1"/>
  <c r="S2047" i="1"/>
  <c r="Y2047" i="1"/>
  <c r="AH2047" i="1"/>
  <c r="S2048" i="1"/>
  <c r="Y2048" i="1"/>
  <c r="AH2048" i="1"/>
  <c r="S2049" i="1"/>
  <c r="Y2049" i="1"/>
  <c r="AH2049" i="1"/>
  <c r="S2050" i="1"/>
  <c r="Y2050" i="1"/>
  <c r="AH2050" i="1"/>
  <c r="S2051" i="1"/>
  <c r="Y2051" i="1"/>
  <c r="AH2051" i="1"/>
  <c r="S2052" i="1"/>
  <c r="Y2052" i="1"/>
  <c r="AH2052" i="1"/>
  <c r="S2053" i="1"/>
  <c r="Y2053" i="1"/>
  <c r="AH2053" i="1"/>
  <c r="S2054" i="1"/>
  <c r="Y2054" i="1"/>
  <c r="AH2054" i="1"/>
  <c r="S2055" i="1"/>
  <c r="Y2055" i="1"/>
  <c r="AH2055" i="1"/>
  <c r="S2056" i="1"/>
  <c r="Y2056" i="1"/>
  <c r="AH2056" i="1"/>
  <c r="S2057" i="1"/>
  <c r="Y2057" i="1"/>
  <c r="AH2057" i="1"/>
  <c r="S2058" i="1"/>
  <c r="Y2058" i="1"/>
  <c r="AH2058" i="1"/>
  <c r="S2059" i="1"/>
  <c r="Y2059" i="1"/>
  <c r="AH2059" i="1"/>
  <c r="S2060" i="1"/>
  <c r="Y2060" i="1"/>
  <c r="AH2060" i="1"/>
  <c r="S2061" i="1"/>
  <c r="Y2061" i="1"/>
  <c r="AH2061" i="1"/>
  <c r="S2062" i="1"/>
  <c r="Y2062" i="1"/>
  <c r="AH2062" i="1"/>
  <c r="S2063" i="1"/>
  <c r="Y2063" i="1"/>
  <c r="AH2063" i="1"/>
  <c r="S2064" i="1"/>
  <c r="Y2064" i="1"/>
  <c r="AH2064" i="1"/>
  <c r="S2065" i="1"/>
  <c r="Y2065" i="1"/>
  <c r="AH2065" i="1"/>
  <c r="S2066" i="1"/>
  <c r="Y2066" i="1"/>
  <c r="AH2066" i="1"/>
  <c r="S2067" i="1"/>
  <c r="Y2067" i="1"/>
  <c r="AH2067" i="1"/>
  <c r="S2068" i="1"/>
  <c r="Y2068" i="1"/>
  <c r="AH2068" i="1"/>
  <c r="S2069" i="1"/>
  <c r="Y2069" i="1"/>
  <c r="AH2069" i="1"/>
  <c r="S2070" i="1"/>
  <c r="Y2070" i="1"/>
  <c r="AH2070" i="1"/>
  <c r="S2071" i="1"/>
  <c r="Y2071" i="1"/>
  <c r="AH2071" i="1"/>
  <c r="S2072" i="1"/>
  <c r="Y2072" i="1"/>
  <c r="AH2072" i="1"/>
  <c r="S2073" i="1"/>
  <c r="Y2073" i="1"/>
  <c r="AH2073" i="1"/>
  <c r="S2074" i="1"/>
  <c r="Y2074" i="1"/>
  <c r="AH2074" i="1"/>
  <c r="S2075" i="1"/>
  <c r="Y2075" i="1"/>
  <c r="AH2075" i="1"/>
  <c r="S2076" i="1"/>
  <c r="Y2076" i="1"/>
  <c r="AH2076" i="1"/>
  <c r="S2077" i="1"/>
  <c r="Y2077" i="1"/>
  <c r="AH2077" i="1"/>
  <c r="S2078" i="1"/>
  <c r="Y2078" i="1"/>
  <c r="AH2078" i="1"/>
  <c r="S2079" i="1"/>
  <c r="Y2079" i="1"/>
  <c r="AH2079" i="1"/>
  <c r="S2080" i="1"/>
  <c r="Y2080" i="1"/>
  <c r="AH2080" i="1"/>
  <c r="S2081" i="1"/>
  <c r="Y2081" i="1"/>
  <c r="AH2081" i="1"/>
  <c r="S2082" i="1"/>
  <c r="Y2082" i="1"/>
  <c r="AH2082" i="1"/>
  <c r="S2083" i="1"/>
  <c r="Y2083" i="1"/>
  <c r="AH2083" i="1"/>
  <c r="S2084" i="1"/>
  <c r="Y2084" i="1"/>
  <c r="AH2084" i="1"/>
  <c r="S2085" i="1"/>
  <c r="Y2085" i="1"/>
  <c r="AH2085" i="1"/>
  <c r="S2086" i="1"/>
  <c r="Y2086" i="1"/>
  <c r="AH2086" i="1"/>
  <c r="S2087" i="1"/>
  <c r="Y2087" i="1"/>
  <c r="AH2087" i="1"/>
  <c r="S2088" i="1"/>
  <c r="Y2088" i="1"/>
  <c r="AH2088" i="1"/>
  <c r="S2089" i="1"/>
  <c r="Y2089" i="1"/>
  <c r="AH2089" i="1"/>
  <c r="S2090" i="1"/>
  <c r="Y2090" i="1"/>
  <c r="AH2090" i="1"/>
  <c r="S2091" i="1"/>
  <c r="Y2091" i="1"/>
  <c r="AH2091" i="1"/>
  <c r="S2092" i="1"/>
  <c r="Y2092" i="1"/>
  <c r="AH2092" i="1"/>
  <c r="S2093" i="1"/>
  <c r="Y2093" i="1"/>
  <c r="AH2093" i="1"/>
  <c r="S2094" i="1"/>
  <c r="Y2094" i="1"/>
  <c r="AH2094" i="1"/>
  <c r="S2095" i="1"/>
  <c r="Y2095" i="1"/>
  <c r="AH2095" i="1"/>
  <c r="S2096" i="1"/>
  <c r="Y2096" i="1"/>
  <c r="AH2096" i="1"/>
  <c r="S2097" i="1"/>
  <c r="Y2097" i="1"/>
  <c r="AH2097" i="1"/>
  <c r="S2098" i="1"/>
  <c r="Y2098" i="1"/>
  <c r="AH2098" i="1"/>
  <c r="S2099" i="1"/>
  <c r="Y2099" i="1"/>
  <c r="AH2099" i="1"/>
  <c r="S2100" i="1"/>
  <c r="Y2100" i="1"/>
  <c r="AH2100" i="1"/>
  <c r="S2101" i="1"/>
  <c r="Y2101" i="1"/>
  <c r="AH2101" i="1"/>
  <c r="S2102" i="1"/>
  <c r="Y2102" i="1"/>
  <c r="AH2102" i="1"/>
  <c r="S2103" i="1"/>
  <c r="Y2103" i="1"/>
  <c r="AH2103" i="1"/>
  <c r="S2104" i="1"/>
  <c r="Y2104" i="1"/>
  <c r="AH2104" i="1"/>
  <c r="S2105" i="1"/>
  <c r="Y2105" i="1"/>
  <c r="AH2105" i="1"/>
  <c r="S2106" i="1"/>
  <c r="Y2106" i="1"/>
  <c r="AH2106" i="1"/>
  <c r="S2107" i="1"/>
  <c r="Y2107" i="1"/>
  <c r="AH2107" i="1"/>
  <c r="S2108" i="1"/>
  <c r="Y2108" i="1"/>
  <c r="AH2108" i="1"/>
  <c r="S2109" i="1"/>
  <c r="Y2109" i="1"/>
  <c r="AH2109" i="1"/>
  <c r="S2110" i="1"/>
  <c r="Y2110" i="1"/>
  <c r="AH2110" i="1"/>
  <c r="S2111" i="1"/>
  <c r="Y2111" i="1"/>
  <c r="AH2111" i="1"/>
  <c r="S2112" i="1"/>
  <c r="Y2112" i="1"/>
  <c r="AH2112" i="1"/>
  <c r="S2113" i="1"/>
  <c r="Y2113" i="1"/>
  <c r="AH2113" i="1"/>
  <c r="S2114" i="1"/>
  <c r="Y2114" i="1"/>
  <c r="AH2114" i="1"/>
  <c r="S2115" i="1"/>
  <c r="Y2115" i="1"/>
  <c r="AH2115" i="1"/>
  <c r="S2116" i="1"/>
  <c r="Y2116" i="1"/>
  <c r="AH2116" i="1"/>
  <c r="S2117" i="1"/>
  <c r="Y2117" i="1"/>
  <c r="AH2117" i="1"/>
  <c r="S2118" i="1"/>
  <c r="Y2118" i="1"/>
  <c r="AH2118" i="1"/>
  <c r="S2119" i="1"/>
  <c r="Y2119" i="1"/>
  <c r="AH2119" i="1"/>
  <c r="S2120" i="1"/>
  <c r="Y2120" i="1"/>
  <c r="AH2120" i="1"/>
  <c r="S2121" i="1"/>
  <c r="Y2121" i="1"/>
  <c r="AH2121" i="1"/>
  <c r="S2122" i="1"/>
  <c r="Y2122" i="1"/>
  <c r="AH2122" i="1"/>
  <c r="S2123" i="1"/>
  <c r="Y2123" i="1"/>
  <c r="AH2123" i="1"/>
  <c r="S2124" i="1"/>
  <c r="Y2124" i="1"/>
  <c r="AH2124" i="1"/>
  <c r="S2125" i="1"/>
  <c r="Y2125" i="1"/>
  <c r="AH2125" i="1"/>
  <c r="S2126" i="1"/>
  <c r="Y2126" i="1"/>
  <c r="AH2126" i="1"/>
  <c r="S2127" i="1"/>
  <c r="Y2127" i="1"/>
  <c r="AH2127" i="1"/>
  <c r="S2128" i="1"/>
  <c r="Y2128" i="1"/>
  <c r="AH2128" i="1"/>
  <c r="S2129" i="1"/>
  <c r="Y2129" i="1"/>
  <c r="AH2129" i="1"/>
  <c r="S2130" i="1"/>
  <c r="Y2130" i="1"/>
  <c r="AH2130" i="1"/>
  <c r="S2131" i="1"/>
  <c r="Y2131" i="1"/>
  <c r="AH2131" i="1"/>
  <c r="S2132" i="1"/>
  <c r="Y2132" i="1"/>
  <c r="AH2132" i="1"/>
  <c r="S2133" i="1"/>
  <c r="Y2133" i="1"/>
  <c r="AH2133" i="1"/>
  <c r="S2134" i="1"/>
  <c r="Y2134" i="1"/>
  <c r="AH2134" i="1"/>
  <c r="S2135" i="1"/>
  <c r="Y2135" i="1"/>
  <c r="AH2135" i="1"/>
  <c r="S2136" i="1"/>
  <c r="Y2136" i="1"/>
  <c r="AH2136" i="1"/>
  <c r="S2137" i="1"/>
  <c r="Y2137" i="1"/>
  <c r="AH2137" i="1"/>
  <c r="S2138" i="1"/>
  <c r="Y2138" i="1"/>
  <c r="AH2138" i="1"/>
  <c r="S2139" i="1"/>
  <c r="Y2139" i="1"/>
  <c r="AH2139" i="1"/>
  <c r="S2140" i="1"/>
  <c r="Y2140" i="1"/>
  <c r="AH2140" i="1"/>
  <c r="S2141" i="1"/>
  <c r="Y2141" i="1"/>
  <c r="AH2141" i="1"/>
  <c r="S2142" i="1"/>
  <c r="Y2142" i="1"/>
  <c r="AH2142" i="1"/>
  <c r="S2143" i="1"/>
  <c r="Y2143" i="1"/>
  <c r="AH2143" i="1"/>
  <c r="S2144" i="1"/>
  <c r="Y2144" i="1"/>
  <c r="AH2144" i="1"/>
  <c r="S2145" i="1"/>
  <c r="Y2145" i="1"/>
  <c r="AH2145" i="1"/>
  <c r="S2146" i="1"/>
  <c r="Y2146" i="1"/>
  <c r="AH2146" i="1"/>
  <c r="S2147" i="1"/>
  <c r="Y2147" i="1"/>
  <c r="AH2147" i="1"/>
  <c r="S2148" i="1"/>
  <c r="Y2148" i="1"/>
  <c r="AH2148" i="1"/>
  <c r="S2149" i="1"/>
  <c r="Y2149" i="1"/>
  <c r="AH2149" i="1"/>
  <c r="S2150" i="1"/>
  <c r="Y2150" i="1"/>
  <c r="AH2150" i="1"/>
  <c r="S2151" i="1"/>
  <c r="Y2151" i="1"/>
  <c r="AH2151" i="1"/>
  <c r="S2152" i="1"/>
  <c r="Y2152" i="1"/>
  <c r="AH2152" i="1"/>
  <c r="S2153" i="1"/>
  <c r="Y2153" i="1"/>
  <c r="AH2153" i="1"/>
  <c r="S2154" i="1"/>
  <c r="Y2154" i="1"/>
  <c r="AH2154" i="1"/>
  <c r="S2155" i="1"/>
  <c r="Y2155" i="1"/>
  <c r="AH2155" i="1"/>
  <c r="S2156" i="1"/>
  <c r="Y2156" i="1"/>
  <c r="AH2156" i="1"/>
  <c r="S2157" i="1"/>
  <c r="Y2157" i="1"/>
  <c r="AH2157" i="1"/>
  <c r="S2158" i="1"/>
  <c r="Y2158" i="1"/>
  <c r="AH2158" i="1"/>
  <c r="S2159" i="1"/>
  <c r="Y2159" i="1"/>
  <c r="AH2159" i="1"/>
  <c r="S2160" i="1"/>
  <c r="Y2160" i="1"/>
  <c r="AH2160" i="1"/>
  <c r="S2161" i="1"/>
  <c r="Y2161" i="1"/>
  <c r="AH2161" i="1"/>
  <c r="S2162" i="1"/>
  <c r="Y2162" i="1"/>
  <c r="AH2162" i="1"/>
  <c r="S2163" i="1"/>
  <c r="Y2163" i="1"/>
  <c r="AH2163" i="1"/>
  <c r="S2164" i="1"/>
  <c r="Y2164" i="1"/>
  <c r="AH2164" i="1"/>
  <c r="S2165" i="1"/>
  <c r="Y2165" i="1"/>
  <c r="AH2165" i="1"/>
  <c r="S2166" i="1"/>
  <c r="Y2166" i="1"/>
  <c r="AH2166" i="1"/>
  <c r="S2167" i="1"/>
  <c r="Y2167" i="1"/>
  <c r="AH2167" i="1"/>
  <c r="S2168" i="1"/>
  <c r="Y2168" i="1"/>
  <c r="AH2168" i="1"/>
  <c r="S2169" i="1"/>
  <c r="Y2169" i="1"/>
  <c r="AH2169" i="1"/>
  <c r="S2170" i="1"/>
  <c r="Y2170" i="1"/>
  <c r="AH2170" i="1"/>
  <c r="S2171" i="1"/>
  <c r="Y2171" i="1"/>
  <c r="AH2171" i="1"/>
  <c r="S2172" i="1"/>
  <c r="Y2172" i="1"/>
  <c r="AH2172" i="1"/>
  <c r="S2173" i="1"/>
  <c r="Y2173" i="1"/>
  <c r="AH2173" i="1"/>
  <c r="S2174" i="1"/>
  <c r="Y2174" i="1"/>
  <c r="AH2174" i="1"/>
  <c r="S2175" i="1"/>
  <c r="Y2175" i="1"/>
  <c r="AH2175" i="1"/>
  <c r="S2176" i="1"/>
  <c r="Y2176" i="1"/>
  <c r="AH2176" i="1"/>
  <c r="S2177" i="1"/>
  <c r="Y2177" i="1"/>
  <c r="AH2177" i="1"/>
  <c r="S2178" i="1"/>
  <c r="Y2178" i="1"/>
  <c r="AH2178" i="1"/>
  <c r="S2179" i="1"/>
  <c r="Y2179" i="1"/>
  <c r="AH2179" i="1"/>
  <c r="S2180" i="1"/>
  <c r="Y2180" i="1"/>
  <c r="AH2180" i="1"/>
  <c r="S2181" i="1"/>
  <c r="Y2181" i="1"/>
  <c r="AH2181" i="1"/>
  <c r="S2182" i="1"/>
  <c r="Y2182" i="1"/>
  <c r="AH2182" i="1"/>
  <c r="S2183" i="1"/>
  <c r="Y2183" i="1"/>
  <c r="AH2183" i="1"/>
  <c r="S2184" i="1"/>
  <c r="Y2184" i="1"/>
  <c r="AH2184" i="1"/>
  <c r="S2185" i="1"/>
  <c r="Y2185" i="1"/>
  <c r="AH2185" i="1"/>
  <c r="S2186" i="1"/>
  <c r="Y2186" i="1"/>
  <c r="AH2186" i="1"/>
  <c r="S2187" i="1"/>
  <c r="Y2187" i="1"/>
  <c r="AH2187" i="1"/>
  <c r="S2188" i="1"/>
  <c r="Y2188" i="1"/>
  <c r="AH2188" i="1"/>
  <c r="S2189" i="1"/>
  <c r="Y2189" i="1"/>
  <c r="AH2189" i="1"/>
  <c r="S2190" i="1"/>
  <c r="Y2190" i="1"/>
  <c r="AH2190" i="1"/>
  <c r="S2191" i="1"/>
  <c r="Y2191" i="1"/>
  <c r="AH2191" i="1"/>
  <c r="S2192" i="1"/>
  <c r="Y2192" i="1"/>
  <c r="AH2192" i="1"/>
  <c r="S2193" i="1"/>
  <c r="Y2193" i="1"/>
  <c r="AH2193" i="1"/>
  <c r="S2194" i="1"/>
  <c r="Y2194" i="1"/>
  <c r="AH2194" i="1"/>
  <c r="S2195" i="1"/>
  <c r="Y2195" i="1"/>
  <c r="AH2195" i="1"/>
  <c r="S2196" i="1"/>
  <c r="Y2196" i="1"/>
  <c r="AH2196" i="1"/>
  <c r="S2197" i="1"/>
  <c r="Y2197" i="1"/>
  <c r="AH2197" i="1"/>
  <c r="S2198" i="1"/>
  <c r="Y2198" i="1"/>
  <c r="AH2198" i="1"/>
  <c r="S2199" i="1"/>
  <c r="Y2199" i="1"/>
  <c r="AH2199" i="1"/>
  <c r="S2200" i="1"/>
  <c r="Y2200" i="1"/>
  <c r="AH2200" i="1"/>
  <c r="S2201" i="1"/>
  <c r="Y2201" i="1"/>
  <c r="AH2201" i="1"/>
  <c r="S2202" i="1"/>
  <c r="Y2202" i="1"/>
  <c r="AH2202" i="1"/>
  <c r="S2203" i="1"/>
  <c r="Y2203" i="1"/>
  <c r="AH2203" i="1"/>
  <c r="S2204" i="1"/>
  <c r="Y2204" i="1"/>
  <c r="AH2204" i="1"/>
  <c r="S2205" i="1"/>
  <c r="Y2205" i="1"/>
  <c r="AH2205" i="1"/>
  <c r="S2206" i="1"/>
  <c r="Y2206" i="1"/>
  <c r="AH2206" i="1"/>
  <c r="S2207" i="1"/>
  <c r="Y2207" i="1"/>
  <c r="AH2207" i="1"/>
  <c r="S2208" i="1"/>
  <c r="Y2208" i="1"/>
  <c r="AH2208" i="1"/>
  <c r="S2209" i="1"/>
  <c r="Y2209" i="1"/>
  <c r="AH2209" i="1"/>
  <c r="S2210" i="1"/>
  <c r="Y2210" i="1"/>
  <c r="AH2210" i="1"/>
  <c r="S2211" i="1"/>
  <c r="Y2211" i="1"/>
  <c r="AH2211" i="1"/>
  <c r="S2212" i="1"/>
  <c r="Y2212" i="1"/>
  <c r="AH2212" i="1"/>
  <c r="S2213" i="1"/>
  <c r="Y2213" i="1"/>
  <c r="AH2213" i="1"/>
  <c r="S2214" i="1"/>
  <c r="Y2214" i="1"/>
  <c r="AH2214" i="1"/>
  <c r="S2215" i="1"/>
  <c r="Y2215" i="1"/>
  <c r="AH2215" i="1"/>
  <c r="S2216" i="1"/>
  <c r="Y2216" i="1"/>
  <c r="AH2216" i="1"/>
  <c r="S2217" i="1"/>
  <c r="Y2217" i="1"/>
  <c r="AH2217" i="1"/>
  <c r="S2218" i="1"/>
  <c r="Y2218" i="1"/>
  <c r="AH2218" i="1"/>
  <c r="S2219" i="1"/>
  <c r="Y2219" i="1"/>
  <c r="AH2219" i="1"/>
  <c r="S2220" i="1"/>
  <c r="Y2220" i="1"/>
  <c r="AH2220" i="1"/>
  <c r="S2221" i="1"/>
  <c r="Y2221" i="1"/>
  <c r="AH2221" i="1"/>
  <c r="S2222" i="1"/>
  <c r="Y2222" i="1"/>
  <c r="AH2222" i="1"/>
  <c r="S2223" i="1"/>
  <c r="Y2223" i="1"/>
  <c r="AH2223" i="1"/>
  <c r="S2224" i="1"/>
  <c r="Y2224" i="1"/>
  <c r="AH2224" i="1"/>
  <c r="S2225" i="1"/>
  <c r="Y2225" i="1"/>
  <c r="AH2225" i="1"/>
  <c r="S2226" i="1"/>
  <c r="Y2226" i="1"/>
  <c r="AH2226" i="1"/>
  <c r="S2227" i="1"/>
  <c r="Y2227" i="1"/>
  <c r="AH2227" i="1"/>
  <c r="S2228" i="1"/>
  <c r="Y2228" i="1"/>
  <c r="AH2228" i="1"/>
  <c r="S2229" i="1"/>
  <c r="Y2229" i="1"/>
  <c r="AH2229" i="1"/>
  <c r="S2230" i="1"/>
  <c r="Y2230" i="1"/>
  <c r="AH2230" i="1"/>
  <c r="S2231" i="1"/>
  <c r="Y2231" i="1"/>
  <c r="AH2231" i="1"/>
  <c r="S2232" i="1"/>
  <c r="Y2232" i="1"/>
  <c r="AH2232" i="1"/>
  <c r="S2233" i="1"/>
  <c r="Y2233" i="1"/>
  <c r="AH2233" i="1"/>
  <c r="S2234" i="1"/>
  <c r="Y2234" i="1"/>
  <c r="AH2234" i="1"/>
  <c r="S2235" i="1"/>
  <c r="Y2235" i="1"/>
  <c r="AH2235" i="1"/>
  <c r="S2236" i="1"/>
  <c r="Y2236" i="1"/>
  <c r="AH2236" i="1"/>
  <c r="S2237" i="1"/>
  <c r="Y2237" i="1"/>
  <c r="AH2237" i="1"/>
  <c r="S2238" i="1"/>
  <c r="Y2238" i="1"/>
  <c r="AH2238" i="1"/>
  <c r="S2239" i="1"/>
  <c r="Y2239" i="1"/>
  <c r="AH2239" i="1"/>
  <c r="S2240" i="1"/>
  <c r="Y2240" i="1"/>
  <c r="AH2240" i="1"/>
  <c r="S2241" i="1"/>
  <c r="Y2241" i="1"/>
  <c r="AH2241" i="1"/>
  <c r="S2242" i="1"/>
  <c r="Y2242" i="1"/>
  <c r="AH2242" i="1"/>
  <c r="S2243" i="1"/>
  <c r="Y2243" i="1"/>
  <c r="AH2243" i="1"/>
  <c r="S2244" i="1"/>
  <c r="Y2244" i="1"/>
  <c r="AH2244" i="1"/>
  <c r="S2245" i="1"/>
  <c r="Y2245" i="1"/>
  <c r="AH2245" i="1"/>
  <c r="S2246" i="1"/>
  <c r="Y2246" i="1"/>
  <c r="AH2246" i="1"/>
  <c r="S2247" i="1"/>
  <c r="Y2247" i="1"/>
  <c r="AH2247" i="1"/>
  <c r="S2248" i="1"/>
  <c r="Y2248" i="1"/>
  <c r="AH2248" i="1"/>
  <c r="S2249" i="1"/>
  <c r="Y2249" i="1"/>
  <c r="AH2249" i="1"/>
  <c r="S2250" i="1"/>
  <c r="Y2250" i="1"/>
  <c r="AH2250" i="1"/>
  <c r="S2251" i="1"/>
  <c r="Y2251" i="1"/>
  <c r="AH2251" i="1"/>
  <c r="S2252" i="1"/>
  <c r="Y2252" i="1"/>
  <c r="AH2252" i="1"/>
  <c r="S2253" i="1"/>
  <c r="Y2253" i="1"/>
  <c r="AH2253" i="1"/>
  <c r="S2254" i="1"/>
  <c r="Y2254" i="1"/>
  <c r="AH2254" i="1"/>
  <c r="S2255" i="1"/>
  <c r="Y2255" i="1"/>
  <c r="AH2255" i="1"/>
  <c r="S2256" i="1"/>
  <c r="Y2256" i="1"/>
  <c r="AH2256" i="1"/>
  <c r="S2257" i="1"/>
  <c r="Y2257" i="1"/>
  <c r="AH2257" i="1"/>
  <c r="S2258" i="1"/>
  <c r="Y2258" i="1"/>
  <c r="AH2258" i="1"/>
  <c r="S2259" i="1"/>
  <c r="Y2259" i="1"/>
  <c r="AH2259" i="1"/>
  <c r="S2260" i="1"/>
  <c r="Y2260" i="1"/>
  <c r="AH2260" i="1"/>
  <c r="S2261" i="1"/>
  <c r="Y2261" i="1"/>
  <c r="AH2261" i="1"/>
  <c r="S2262" i="1"/>
  <c r="Y2262" i="1"/>
  <c r="AH2262" i="1"/>
  <c r="S2263" i="1"/>
  <c r="Y2263" i="1"/>
  <c r="AH2263" i="1"/>
  <c r="S2264" i="1"/>
  <c r="Y2264" i="1"/>
  <c r="AH2264" i="1"/>
  <c r="S2265" i="1"/>
  <c r="Y2265" i="1"/>
  <c r="AH2265" i="1"/>
  <c r="S2266" i="1"/>
  <c r="Y2266" i="1"/>
  <c r="AH2266" i="1"/>
  <c r="S2267" i="1"/>
  <c r="Y2267" i="1"/>
  <c r="AH2267" i="1"/>
  <c r="S2268" i="1"/>
  <c r="Y2268" i="1"/>
  <c r="AH2268" i="1"/>
  <c r="S2269" i="1"/>
  <c r="Y2269" i="1"/>
  <c r="AH2269" i="1"/>
  <c r="S2270" i="1"/>
  <c r="Y2270" i="1"/>
  <c r="AH2270" i="1"/>
  <c r="S2271" i="1"/>
  <c r="Y2271" i="1"/>
  <c r="AH2271" i="1"/>
  <c r="S2272" i="1"/>
  <c r="Y2272" i="1"/>
  <c r="AH2272" i="1"/>
  <c r="S2273" i="1"/>
  <c r="Y2273" i="1"/>
  <c r="AH2273" i="1"/>
  <c r="S2274" i="1"/>
  <c r="Y2274" i="1"/>
  <c r="AH2274" i="1"/>
  <c r="S2275" i="1"/>
  <c r="Y2275" i="1"/>
  <c r="AH2275" i="1"/>
  <c r="S2276" i="1"/>
  <c r="Y2276" i="1"/>
  <c r="AH2276" i="1"/>
  <c r="S2277" i="1"/>
  <c r="Y2277" i="1"/>
  <c r="AH2277" i="1"/>
  <c r="S2278" i="1"/>
  <c r="Y2278" i="1"/>
  <c r="AH2278" i="1"/>
  <c r="S2279" i="1"/>
  <c r="Y2279" i="1"/>
  <c r="AH2279" i="1"/>
  <c r="S2280" i="1"/>
  <c r="Y2280" i="1"/>
  <c r="AH2280" i="1"/>
  <c r="S2281" i="1"/>
  <c r="Y2281" i="1"/>
  <c r="AH2281" i="1"/>
  <c r="S2282" i="1"/>
  <c r="Y2282" i="1"/>
  <c r="AH2282" i="1"/>
  <c r="S2283" i="1"/>
  <c r="Y2283" i="1"/>
  <c r="AH2283" i="1"/>
  <c r="S2284" i="1"/>
  <c r="Y2284" i="1"/>
  <c r="AH2284" i="1"/>
  <c r="S2285" i="1"/>
  <c r="Y2285" i="1"/>
  <c r="AH2285" i="1"/>
  <c r="S2286" i="1"/>
  <c r="Y2286" i="1"/>
  <c r="AH2286" i="1"/>
  <c r="S2287" i="1"/>
  <c r="Y2287" i="1"/>
  <c r="AH2287" i="1"/>
  <c r="S2288" i="1"/>
  <c r="Y2288" i="1"/>
  <c r="AH2288" i="1"/>
  <c r="S2289" i="1"/>
  <c r="Y2289" i="1"/>
  <c r="AH2289" i="1"/>
  <c r="S2290" i="1"/>
  <c r="Y2290" i="1"/>
  <c r="AH2290" i="1"/>
  <c r="S2291" i="1"/>
  <c r="Y2291" i="1"/>
  <c r="AH2291" i="1"/>
  <c r="S2292" i="1"/>
  <c r="Y2292" i="1"/>
  <c r="AH2292" i="1"/>
  <c r="S2293" i="1"/>
  <c r="Y2293" i="1"/>
  <c r="AH2293" i="1"/>
  <c r="S2294" i="1"/>
  <c r="Y2294" i="1"/>
  <c r="AH2294" i="1"/>
  <c r="S2295" i="1"/>
  <c r="Y2295" i="1"/>
  <c r="AH2295" i="1"/>
  <c r="S2296" i="1"/>
  <c r="Y2296" i="1"/>
  <c r="AH2296" i="1"/>
  <c r="S2297" i="1"/>
  <c r="Y2297" i="1"/>
  <c r="AH2297" i="1"/>
  <c r="S2298" i="1"/>
  <c r="Y2298" i="1"/>
  <c r="AH2298" i="1"/>
  <c r="S2299" i="1"/>
  <c r="Y2299" i="1"/>
  <c r="AH2299" i="1"/>
  <c r="S2300" i="1"/>
  <c r="Y2300" i="1"/>
  <c r="AH2300" i="1"/>
  <c r="S2301" i="1"/>
  <c r="Y2301" i="1"/>
  <c r="AH2301" i="1"/>
  <c r="S2302" i="1"/>
  <c r="Y2302" i="1"/>
  <c r="AH2302" i="1"/>
  <c r="S2303" i="1"/>
  <c r="Y2303" i="1"/>
  <c r="AH2303" i="1"/>
  <c r="S2304" i="1"/>
  <c r="Y2304" i="1"/>
  <c r="AH2304" i="1"/>
  <c r="S2305" i="1"/>
  <c r="Y2305" i="1"/>
  <c r="AH2305" i="1"/>
  <c r="AH1" i="1"/>
  <c r="R1" i="1"/>
  <c r="R3" i="1"/>
  <c r="V1" i="1"/>
  <c r="V3" i="1"/>
  <c r="AI3" i="1"/>
  <c r="R4" i="1"/>
  <c r="V4" i="1"/>
  <c r="AI4" i="1"/>
  <c r="R5" i="1"/>
  <c r="V5" i="1"/>
  <c r="AI5" i="1"/>
  <c r="R6" i="1"/>
  <c r="V6" i="1"/>
  <c r="AI6" i="1"/>
  <c r="R7" i="1"/>
  <c r="V7" i="1"/>
  <c r="AI7" i="1"/>
  <c r="R8" i="1"/>
  <c r="V8" i="1"/>
  <c r="AI8" i="1"/>
  <c r="R9" i="1"/>
  <c r="V9" i="1"/>
  <c r="AI9" i="1"/>
  <c r="R10" i="1"/>
  <c r="V10" i="1"/>
  <c r="AI10" i="1"/>
  <c r="R11" i="1"/>
  <c r="V11" i="1"/>
  <c r="AI11" i="1"/>
  <c r="R12" i="1"/>
  <c r="V12" i="1"/>
  <c r="AI12" i="1"/>
  <c r="R13" i="1"/>
  <c r="V13" i="1"/>
  <c r="AI13" i="1"/>
  <c r="R14" i="1"/>
  <c r="V14" i="1"/>
  <c r="AI14" i="1"/>
  <c r="R15" i="1"/>
  <c r="V15" i="1"/>
  <c r="AI15" i="1"/>
  <c r="R16" i="1"/>
  <c r="V16" i="1"/>
  <c r="AI16" i="1"/>
  <c r="R17" i="1"/>
  <c r="V17" i="1"/>
  <c r="AI17" i="1"/>
  <c r="R18" i="1"/>
  <c r="V18" i="1"/>
  <c r="AI18" i="1"/>
  <c r="R19" i="1"/>
  <c r="V19" i="1"/>
  <c r="AI19" i="1"/>
  <c r="R20" i="1"/>
  <c r="V20" i="1"/>
  <c r="AI20" i="1"/>
  <c r="R21" i="1"/>
  <c r="V21" i="1"/>
  <c r="AI21" i="1"/>
  <c r="R22" i="1"/>
  <c r="V22" i="1"/>
  <c r="AI22" i="1"/>
  <c r="R23" i="1"/>
  <c r="V23" i="1"/>
  <c r="AI23" i="1"/>
  <c r="R24" i="1"/>
  <c r="V24" i="1"/>
  <c r="AI24" i="1"/>
  <c r="R25" i="1"/>
  <c r="V25" i="1"/>
  <c r="AI25" i="1"/>
  <c r="R26" i="1"/>
  <c r="V26" i="1"/>
  <c r="AI26" i="1"/>
  <c r="R27" i="1"/>
  <c r="V27" i="1"/>
  <c r="AI27" i="1"/>
  <c r="R28" i="1"/>
  <c r="V28" i="1"/>
  <c r="AI28" i="1"/>
  <c r="R29" i="1"/>
  <c r="V29" i="1"/>
  <c r="AI29" i="1"/>
  <c r="R30" i="1"/>
  <c r="V30" i="1"/>
  <c r="AI30" i="1"/>
  <c r="R31" i="1"/>
  <c r="V31" i="1"/>
  <c r="AI31" i="1"/>
  <c r="R32" i="1"/>
  <c r="V32" i="1"/>
  <c r="AI32" i="1"/>
  <c r="R33" i="1"/>
  <c r="V33" i="1"/>
  <c r="AI33" i="1"/>
  <c r="R34" i="1"/>
  <c r="V34" i="1"/>
  <c r="AI34" i="1"/>
  <c r="R35" i="1"/>
  <c r="V35" i="1"/>
  <c r="AI35" i="1"/>
  <c r="R36" i="1"/>
  <c r="V36" i="1"/>
  <c r="AI36" i="1"/>
  <c r="R37" i="1"/>
  <c r="V37" i="1"/>
  <c r="AI37" i="1"/>
  <c r="R38" i="1"/>
  <c r="V38" i="1"/>
  <c r="AI38" i="1"/>
  <c r="R39" i="1"/>
  <c r="V39" i="1"/>
  <c r="AI39" i="1"/>
  <c r="R40" i="1"/>
  <c r="V40" i="1"/>
  <c r="AI40" i="1"/>
  <c r="R41" i="1"/>
  <c r="V41" i="1"/>
  <c r="AI41" i="1"/>
  <c r="R42" i="1"/>
  <c r="V42" i="1"/>
  <c r="AI42" i="1"/>
  <c r="R43" i="1"/>
  <c r="V43" i="1"/>
  <c r="AI43" i="1"/>
  <c r="R44" i="1"/>
  <c r="V44" i="1"/>
  <c r="AI44" i="1"/>
  <c r="R45" i="1"/>
  <c r="V45" i="1"/>
  <c r="AI45" i="1"/>
  <c r="R46" i="1"/>
  <c r="V46" i="1"/>
  <c r="AI46" i="1"/>
  <c r="R47" i="1"/>
  <c r="V47" i="1"/>
  <c r="AI47" i="1"/>
  <c r="R48" i="1"/>
  <c r="V48" i="1"/>
  <c r="AI48" i="1"/>
  <c r="R49" i="1"/>
  <c r="V49" i="1"/>
  <c r="AI49" i="1"/>
  <c r="R50" i="1"/>
  <c r="V50" i="1"/>
  <c r="AI50" i="1"/>
  <c r="R51" i="1"/>
  <c r="V51" i="1"/>
  <c r="AI51" i="1"/>
  <c r="R52" i="1"/>
  <c r="V52" i="1"/>
  <c r="AI52" i="1"/>
  <c r="R53" i="1"/>
  <c r="V53" i="1"/>
  <c r="AI53" i="1"/>
  <c r="R54" i="1"/>
  <c r="V54" i="1"/>
  <c r="AI54" i="1"/>
  <c r="R55" i="1"/>
  <c r="V55" i="1"/>
  <c r="AI55" i="1"/>
  <c r="R56" i="1"/>
  <c r="V56" i="1"/>
  <c r="AI56" i="1"/>
  <c r="R57" i="1"/>
  <c r="V57" i="1"/>
  <c r="AI57" i="1"/>
  <c r="R58" i="1"/>
  <c r="V58" i="1"/>
  <c r="AI58" i="1"/>
  <c r="R59" i="1"/>
  <c r="V59" i="1"/>
  <c r="AI59" i="1"/>
  <c r="R60" i="1"/>
  <c r="V60" i="1"/>
  <c r="AI60" i="1"/>
  <c r="R61" i="1"/>
  <c r="V61" i="1"/>
  <c r="AI61" i="1"/>
  <c r="R62" i="1"/>
  <c r="V62" i="1"/>
  <c r="AI62" i="1"/>
  <c r="R63" i="1"/>
  <c r="V63" i="1"/>
  <c r="AI63" i="1"/>
  <c r="R64" i="1"/>
  <c r="V64" i="1"/>
  <c r="AI64" i="1"/>
  <c r="R65" i="1"/>
  <c r="V65" i="1"/>
  <c r="AI65" i="1"/>
  <c r="R66" i="1"/>
  <c r="V66" i="1"/>
  <c r="AI66" i="1"/>
  <c r="R67" i="1"/>
  <c r="V67" i="1"/>
  <c r="AI67" i="1"/>
  <c r="R68" i="1"/>
  <c r="V68" i="1"/>
  <c r="AI68" i="1"/>
  <c r="R69" i="1"/>
  <c r="V69" i="1"/>
  <c r="AI69" i="1"/>
  <c r="R70" i="1"/>
  <c r="V70" i="1"/>
  <c r="AI70" i="1"/>
  <c r="R71" i="1"/>
  <c r="V71" i="1"/>
  <c r="AI71" i="1"/>
  <c r="R72" i="1"/>
  <c r="V72" i="1"/>
  <c r="AI72" i="1"/>
  <c r="R73" i="1"/>
  <c r="V73" i="1"/>
  <c r="AI73" i="1"/>
  <c r="R74" i="1"/>
  <c r="V74" i="1"/>
  <c r="AI74" i="1"/>
  <c r="R75" i="1"/>
  <c r="V75" i="1"/>
  <c r="AI75" i="1"/>
  <c r="R76" i="1"/>
  <c r="V76" i="1"/>
  <c r="AI76" i="1"/>
  <c r="R77" i="1"/>
  <c r="V77" i="1"/>
  <c r="AI77" i="1"/>
  <c r="R78" i="1"/>
  <c r="V78" i="1"/>
  <c r="AI78" i="1"/>
  <c r="R79" i="1"/>
  <c r="V79" i="1"/>
  <c r="AI79" i="1"/>
  <c r="R80" i="1"/>
  <c r="V80" i="1"/>
  <c r="AI80" i="1"/>
  <c r="R81" i="1"/>
  <c r="V81" i="1"/>
  <c r="AI81" i="1"/>
  <c r="R82" i="1"/>
  <c r="V82" i="1"/>
  <c r="AI82" i="1"/>
  <c r="R83" i="1"/>
  <c r="V83" i="1"/>
  <c r="AI83" i="1"/>
  <c r="R84" i="1"/>
  <c r="V84" i="1"/>
  <c r="AI84" i="1"/>
  <c r="R85" i="1"/>
  <c r="V85" i="1"/>
  <c r="AI85" i="1"/>
  <c r="R86" i="1"/>
  <c r="V86" i="1"/>
  <c r="AI86" i="1"/>
  <c r="R87" i="1"/>
  <c r="V87" i="1"/>
  <c r="AI87" i="1"/>
  <c r="R88" i="1"/>
  <c r="V88" i="1"/>
  <c r="AI88" i="1"/>
  <c r="R89" i="1"/>
  <c r="V89" i="1"/>
  <c r="AI89" i="1"/>
  <c r="R90" i="1"/>
  <c r="V90" i="1"/>
  <c r="AI90" i="1"/>
  <c r="R91" i="1"/>
  <c r="V91" i="1"/>
  <c r="AI91" i="1"/>
  <c r="R92" i="1"/>
  <c r="V92" i="1"/>
  <c r="AI92" i="1"/>
  <c r="R93" i="1"/>
  <c r="V93" i="1"/>
  <c r="AI93" i="1"/>
  <c r="R94" i="1"/>
  <c r="V94" i="1"/>
  <c r="AI94" i="1"/>
  <c r="R95" i="1"/>
  <c r="V95" i="1"/>
  <c r="AI95" i="1"/>
  <c r="R96" i="1"/>
  <c r="V96" i="1"/>
  <c r="AI96" i="1"/>
  <c r="R97" i="1"/>
  <c r="V97" i="1"/>
  <c r="AI97" i="1"/>
  <c r="R98" i="1"/>
  <c r="V98" i="1"/>
  <c r="AI98" i="1"/>
  <c r="R99" i="1"/>
  <c r="V99" i="1"/>
  <c r="AI99" i="1"/>
  <c r="R100" i="1"/>
  <c r="V100" i="1"/>
  <c r="AI100" i="1"/>
  <c r="R101" i="1"/>
  <c r="V101" i="1"/>
  <c r="AI101" i="1"/>
  <c r="R102" i="1"/>
  <c r="V102" i="1"/>
  <c r="AI102" i="1"/>
  <c r="R103" i="1"/>
  <c r="V103" i="1"/>
  <c r="AI103" i="1"/>
  <c r="R104" i="1"/>
  <c r="V104" i="1"/>
  <c r="AI104" i="1"/>
  <c r="R105" i="1"/>
  <c r="V105" i="1"/>
  <c r="AI105" i="1"/>
  <c r="R106" i="1"/>
  <c r="V106" i="1"/>
  <c r="AI106" i="1"/>
  <c r="R107" i="1"/>
  <c r="V107" i="1"/>
  <c r="AI107" i="1"/>
  <c r="R108" i="1"/>
  <c r="V108" i="1"/>
  <c r="AI108" i="1"/>
  <c r="R109" i="1"/>
  <c r="V109" i="1"/>
  <c r="AI109" i="1"/>
  <c r="R110" i="1"/>
  <c r="V110" i="1"/>
  <c r="AI110" i="1"/>
  <c r="R111" i="1"/>
  <c r="V111" i="1"/>
  <c r="AI111" i="1"/>
  <c r="R112" i="1"/>
  <c r="V112" i="1"/>
  <c r="AI112" i="1"/>
  <c r="R113" i="1"/>
  <c r="V113" i="1"/>
  <c r="AI113" i="1"/>
  <c r="R114" i="1"/>
  <c r="V114" i="1"/>
  <c r="AI114" i="1"/>
  <c r="R115" i="1"/>
  <c r="V115" i="1"/>
  <c r="AI115" i="1"/>
  <c r="R116" i="1"/>
  <c r="V116" i="1"/>
  <c r="AI116" i="1"/>
  <c r="R117" i="1"/>
  <c r="V117" i="1"/>
  <c r="AI117" i="1"/>
  <c r="R118" i="1"/>
  <c r="V118" i="1"/>
  <c r="AI118" i="1"/>
  <c r="R119" i="1"/>
  <c r="V119" i="1"/>
  <c r="AI119" i="1"/>
  <c r="R120" i="1"/>
  <c r="V120" i="1"/>
  <c r="AI120" i="1"/>
  <c r="R121" i="1"/>
  <c r="V121" i="1"/>
  <c r="AI121" i="1"/>
  <c r="R122" i="1"/>
  <c r="V122" i="1"/>
  <c r="AI122" i="1"/>
  <c r="R123" i="1"/>
  <c r="V123" i="1"/>
  <c r="AI123" i="1"/>
  <c r="R124" i="1"/>
  <c r="V124" i="1"/>
  <c r="AI124" i="1"/>
  <c r="R125" i="1"/>
  <c r="V125" i="1"/>
  <c r="AI125" i="1"/>
  <c r="R126" i="1"/>
  <c r="V126" i="1"/>
  <c r="AI126" i="1"/>
  <c r="R127" i="1"/>
  <c r="V127" i="1"/>
  <c r="AI127" i="1"/>
  <c r="R128" i="1"/>
  <c r="V128" i="1"/>
  <c r="AI128" i="1"/>
  <c r="R129" i="1"/>
  <c r="V129" i="1"/>
  <c r="AI129" i="1"/>
  <c r="R130" i="1"/>
  <c r="V130" i="1"/>
  <c r="AI130" i="1"/>
  <c r="R131" i="1"/>
  <c r="V131" i="1"/>
  <c r="AI131" i="1"/>
  <c r="R132" i="1"/>
  <c r="V132" i="1"/>
  <c r="AI132" i="1"/>
  <c r="R133" i="1"/>
  <c r="V133" i="1"/>
  <c r="AI133" i="1"/>
  <c r="R134" i="1"/>
  <c r="V134" i="1"/>
  <c r="AI134" i="1"/>
  <c r="R135" i="1"/>
  <c r="V135" i="1"/>
  <c r="AI135" i="1"/>
  <c r="R136" i="1"/>
  <c r="V136" i="1"/>
  <c r="AI136" i="1"/>
  <c r="R137" i="1"/>
  <c r="V137" i="1"/>
  <c r="AI137" i="1"/>
  <c r="R138" i="1"/>
  <c r="V138" i="1"/>
  <c r="AI138" i="1"/>
  <c r="R139" i="1"/>
  <c r="V139" i="1"/>
  <c r="AI139" i="1"/>
  <c r="R140" i="1"/>
  <c r="V140" i="1"/>
  <c r="AI140" i="1"/>
  <c r="R141" i="1"/>
  <c r="V141" i="1"/>
  <c r="AI141" i="1"/>
  <c r="R142" i="1"/>
  <c r="V142" i="1"/>
  <c r="AI142" i="1"/>
  <c r="R143" i="1"/>
  <c r="V143" i="1"/>
  <c r="AI143" i="1"/>
  <c r="R144" i="1"/>
  <c r="V144" i="1"/>
  <c r="AI144" i="1"/>
  <c r="R145" i="1"/>
  <c r="V145" i="1"/>
  <c r="AI145" i="1"/>
  <c r="R146" i="1"/>
  <c r="V146" i="1"/>
  <c r="AI146" i="1"/>
  <c r="R147" i="1"/>
  <c r="V147" i="1"/>
  <c r="AI147" i="1"/>
  <c r="R148" i="1"/>
  <c r="V148" i="1"/>
  <c r="AI148" i="1"/>
  <c r="R149" i="1"/>
  <c r="V149" i="1"/>
  <c r="AI149" i="1"/>
  <c r="R150" i="1"/>
  <c r="V150" i="1"/>
  <c r="AI150" i="1"/>
  <c r="R151" i="1"/>
  <c r="V151" i="1"/>
  <c r="AI151" i="1"/>
  <c r="R152" i="1"/>
  <c r="V152" i="1"/>
  <c r="AI152" i="1"/>
  <c r="R153" i="1"/>
  <c r="V153" i="1"/>
  <c r="AI153" i="1"/>
  <c r="R154" i="1"/>
  <c r="V154" i="1"/>
  <c r="AI154" i="1"/>
  <c r="R155" i="1"/>
  <c r="V155" i="1"/>
  <c r="AI155" i="1"/>
  <c r="R156" i="1"/>
  <c r="V156" i="1"/>
  <c r="AI156" i="1"/>
  <c r="R157" i="1"/>
  <c r="V157" i="1"/>
  <c r="AI157" i="1"/>
  <c r="R158" i="1"/>
  <c r="V158" i="1"/>
  <c r="AI158" i="1"/>
  <c r="R159" i="1"/>
  <c r="V159" i="1"/>
  <c r="AI159" i="1"/>
  <c r="R160" i="1"/>
  <c r="V160" i="1"/>
  <c r="AI160" i="1"/>
  <c r="R161" i="1"/>
  <c r="V161" i="1"/>
  <c r="AI161" i="1"/>
  <c r="R162" i="1"/>
  <c r="V162" i="1"/>
  <c r="AI162" i="1"/>
  <c r="R163" i="1"/>
  <c r="V163" i="1"/>
  <c r="AI163" i="1"/>
  <c r="R164" i="1"/>
  <c r="V164" i="1"/>
  <c r="AI164" i="1"/>
  <c r="R165" i="1"/>
  <c r="V165" i="1"/>
  <c r="AI165" i="1"/>
  <c r="R166" i="1"/>
  <c r="V166" i="1"/>
  <c r="AI166" i="1"/>
  <c r="R167" i="1"/>
  <c r="V167" i="1"/>
  <c r="AI167" i="1"/>
  <c r="R168" i="1"/>
  <c r="V168" i="1"/>
  <c r="AI168" i="1"/>
  <c r="R169" i="1"/>
  <c r="V169" i="1"/>
  <c r="AI169" i="1"/>
  <c r="R170" i="1"/>
  <c r="V170" i="1"/>
  <c r="AI170" i="1"/>
  <c r="R171" i="1"/>
  <c r="V171" i="1"/>
  <c r="AI171" i="1"/>
  <c r="R172" i="1"/>
  <c r="V172" i="1"/>
  <c r="AI172" i="1"/>
  <c r="R173" i="1"/>
  <c r="V173" i="1"/>
  <c r="AI173" i="1"/>
  <c r="R174" i="1"/>
  <c r="V174" i="1"/>
  <c r="AI174" i="1"/>
  <c r="R175" i="1"/>
  <c r="V175" i="1"/>
  <c r="AI175" i="1"/>
  <c r="R176" i="1"/>
  <c r="V176" i="1"/>
  <c r="AI176" i="1"/>
  <c r="R177" i="1"/>
  <c r="V177" i="1"/>
  <c r="AI177" i="1"/>
  <c r="R178" i="1"/>
  <c r="V178" i="1"/>
  <c r="AI178" i="1"/>
  <c r="R179" i="1"/>
  <c r="V179" i="1"/>
  <c r="AI179" i="1"/>
  <c r="R180" i="1"/>
  <c r="V180" i="1"/>
  <c r="AI180" i="1"/>
  <c r="R181" i="1"/>
  <c r="V181" i="1"/>
  <c r="AI181" i="1"/>
  <c r="R182" i="1"/>
  <c r="V182" i="1"/>
  <c r="AI182" i="1"/>
  <c r="R183" i="1"/>
  <c r="V183" i="1"/>
  <c r="AI183" i="1"/>
  <c r="R184" i="1"/>
  <c r="V184" i="1"/>
  <c r="AI184" i="1"/>
  <c r="R185" i="1"/>
  <c r="V185" i="1"/>
  <c r="AI185" i="1"/>
  <c r="R186" i="1"/>
  <c r="V186" i="1"/>
  <c r="AI186" i="1"/>
  <c r="R187" i="1"/>
  <c r="V187" i="1"/>
  <c r="AI187" i="1"/>
  <c r="R188" i="1"/>
  <c r="V188" i="1"/>
  <c r="AI188" i="1"/>
  <c r="R189" i="1"/>
  <c r="V189" i="1"/>
  <c r="AI189" i="1"/>
  <c r="R190" i="1"/>
  <c r="V190" i="1"/>
  <c r="AI190" i="1"/>
  <c r="R191" i="1"/>
  <c r="V191" i="1"/>
  <c r="AI191" i="1"/>
  <c r="R192" i="1"/>
  <c r="V192" i="1"/>
  <c r="AI192" i="1"/>
  <c r="R193" i="1"/>
  <c r="V193" i="1"/>
  <c r="AI193" i="1"/>
  <c r="R194" i="1"/>
  <c r="V194" i="1"/>
  <c r="AI194" i="1"/>
  <c r="R195" i="1"/>
  <c r="V195" i="1"/>
  <c r="AI195" i="1"/>
  <c r="R196" i="1"/>
  <c r="V196" i="1"/>
  <c r="AI196" i="1"/>
  <c r="R197" i="1"/>
  <c r="V197" i="1"/>
  <c r="AI197" i="1"/>
  <c r="R198" i="1"/>
  <c r="V198" i="1"/>
  <c r="AI198" i="1"/>
  <c r="R199" i="1"/>
  <c r="V199" i="1"/>
  <c r="AI199" i="1"/>
  <c r="R200" i="1"/>
  <c r="V200" i="1"/>
  <c r="AI200" i="1"/>
  <c r="R201" i="1"/>
  <c r="V201" i="1"/>
  <c r="AI201" i="1"/>
  <c r="R202" i="1"/>
  <c r="V202" i="1"/>
  <c r="AI202" i="1"/>
  <c r="R203" i="1"/>
  <c r="V203" i="1"/>
  <c r="AI203" i="1"/>
  <c r="R204" i="1"/>
  <c r="V204" i="1"/>
  <c r="AI204" i="1"/>
  <c r="R205" i="1"/>
  <c r="V205" i="1"/>
  <c r="AI205" i="1"/>
  <c r="R206" i="1"/>
  <c r="V206" i="1"/>
  <c r="AI206" i="1"/>
  <c r="R207" i="1"/>
  <c r="V207" i="1"/>
  <c r="AI207" i="1"/>
  <c r="R208" i="1"/>
  <c r="V208" i="1"/>
  <c r="AI208" i="1"/>
  <c r="R209" i="1"/>
  <c r="V209" i="1"/>
  <c r="AI209" i="1"/>
  <c r="R210" i="1"/>
  <c r="V210" i="1"/>
  <c r="AI210" i="1"/>
  <c r="R211" i="1"/>
  <c r="V211" i="1"/>
  <c r="AI211" i="1"/>
  <c r="R212" i="1"/>
  <c r="V212" i="1"/>
  <c r="AI212" i="1"/>
  <c r="R213" i="1"/>
  <c r="V213" i="1"/>
  <c r="AI213" i="1"/>
  <c r="R214" i="1"/>
  <c r="V214" i="1"/>
  <c r="AI214" i="1"/>
  <c r="R215" i="1"/>
  <c r="V215" i="1"/>
  <c r="AI215" i="1"/>
  <c r="R216" i="1"/>
  <c r="V216" i="1"/>
  <c r="AI216" i="1"/>
  <c r="R217" i="1"/>
  <c r="V217" i="1"/>
  <c r="AI217" i="1"/>
  <c r="R218" i="1"/>
  <c r="V218" i="1"/>
  <c r="AI218" i="1"/>
  <c r="R219" i="1"/>
  <c r="V219" i="1"/>
  <c r="AI219" i="1"/>
  <c r="R220" i="1"/>
  <c r="V220" i="1"/>
  <c r="AI220" i="1"/>
  <c r="R221" i="1"/>
  <c r="V221" i="1"/>
  <c r="AI221" i="1"/>
  <c r="R222" i="1"/>
  <c r="V222" i="1"/>
  <c r="AI222" i="1"/>
  <c r="R223" i="1"/>
  <c r="V223" i="1"/>
  <c r="AI223" i="1"/>
  <c r="R224" i="1"/>
  <c r="V224" i="1"/>
  <c r="AI224" i="1"/>
  <c r="R225" i="1"/>
  <c r="V225" i="1"/>
  <c r="AI225" i="1"/>
  <c r="R226" i="1"/>
  <c r="V226" i="1"/>
  <c r="AI226" i="1"/>
  <c r="R227" i="1"/>
  <c r="V227" i="1"/>
  <c r="AI227" i="1"/>
  <c r="R228" i="1"/>
  <c r="V228" i="1"/>
  <c r="AI228" i="1"/>
  <c r="R229" i="1"/>
  <c r="V229" i="1"/>
  <c r="AI229" i="1"/>
  <c r="R230" i="1"/>
  <c r="V230" i="1"/>
  <c r="AI230" i="1"/>
  <c r="R231" i="1"/>
  <c r="V231" i="1"/>
  <c r="AI231" i="1"/>
  <c r="R232" i="1"/>
  <c r="V232" i="1"/>
  <c r="AI232" i="1"/>
  <c r="R233" i="1"/>
  <c r="V233" i="1"/>
  <c r="AI233" i="1"/>
  <c r="R234" i="1"/>
  <c r="V234" i="1"/>
  <c r="AI234" i="1"/>
  <c r="R235" i="1"/>
  <c r="V235" i="1"/>
  <c r="AI235" i="1"/>
  <c r="R236" i="1"/>
  <c r="V236" i="1"/>
  <c r="AI236" i="1"/>
  <c r="R237" i="1"/>
  <c r="V237" i="1"/>
  <c r="AI237" i="1"/>
  <c r="R238" i="1"/>
  <c r="V238" i="1"/>
  <c r="AI238" i="1"/>
  <c r="R239" i="1"/>
  <c r="V239" i="1"/>
  <c r="AI239" i="1"/>
  <c r="R240" i="1"/>
  <c r="V240" i="1"/>
  <c r="AI240" i="1"/>
  <c r="R241" i="1"/>
  <c r="V241" i="1"/>
  <c r="AI241" i="1"/>
  <c r="R242" i="1"/>
  <c r="V242" i="1"/>
  <c r="AI242" i="1"/>
  <c r="R243" i="1"/>
  <c r="V243" i="1"/>
  <c r="AI243" i="1"/>
  <c r="R244" i="1"/>
  <c r="V244" i="1"/>
  <c r="AI244" i="1"/>
  <c r="R245" i="1"/>
  <c r="V245" i="1"/>
  <c r="AI245" i="1"/>
  <c r="R246" i="1"/>
  <c r="V246" i="1"/>
  <c r="AI246" i="1"/>
  <c r="R247" i="1"/>
  <c r="V247" i="1"/>
  <c r="AI247" i="1"/>
  <c r="R248" i="1"/>
  <c r="V248" i="1"/>
  <c r="AI248" i="1"/>
  <c r="R249" i="1"/>
  <c r="V249" i="1"/>
  <c r="AI249" i="1"/>
  <c r="R250" i="1"/>
  <c r="V250" i="1"/>
  <c r="AI250" i="1"/>
  <c r="R251" i="1"/>
  <c r="V251" i="1"/>
  <c r="AI251" i="1"/>
  <c r="R252" i="1"/>
  <c r="V252" i="1"/>
  <c r="AI252" i="1"/>
  <c r="R253" i="1"/>
  <c r="V253" i="1"/>
  <c r="AI253" i="1"/>
  <c r="R254" i="1"/>
  <c r="V254" i="1"/>
  <c r="AI254" i="1"/>
  <c r="R255" i="1"/>
  <c r="V255" i="1"/>
  <c r="AI255" i="1"/>
  <c r="R256" i="1"/>
  <c r="V256" i="1"/>
  <c r="AI256" i="1"/>
  <c r="R257" i="1"/>
  <c r="V257" i="1"/>
  <c r="AI257" i="1"/>
  <c r="R258" i="1"/>
  <c r="V258" i="1"/>
  <c r="AI258" i="1"/>
  <c r="R259" i="1"/>
  <c r="V259" i="1"/>
  <c r="AI259" i="1"/>
  <c r="R260" i="1"/>
  <c r="V260" i="1"/>
  <c r="AI260" i="1"/>
  <c r="R261" i="1"/>
  <c r="V261" i="1"/>
  <c r="AI261" i="1"/>
  <c r="R262" i="1"/>
  <c r="V262" i="1"/>
  <c r="AI262" i="1"/>
  <c r="R263" i="1"/>
  <c r="V263" i="1"/>
  <c r="AI263" i="1"/>
  <c r="R264" i="1"/>
  <c r="V264" i="1"/>
  <c r="AI264" i="1"/>
  <c r="R265" i="1"/>
  <c r="V265" i="1"/>
  <c r="AI265" i="1"/>
  <c r="R266" i="1"/>
  <c r="V266" i="1"/>
  <c r="AI266" i="1"/>
  <c r="R267" i="1"/>
  <c r="V267" i="1"/>
  <c r="AI267" i="1"/>
  <c r="R268" i="1"/>
  <c r="V268" i="1"/>
  <c r="AI268" i="1"/>
  <c r="R269" i="1"/>
  <c r="V269" i="1"/>
  <c r="AI269" i="1"/>
  <c r="R270" i="1"/>
  <c r="V270" i="1"/>
  <c r="AI270" i="1"/>
  <c r="R271" i="1"/>
  <c r="V271" i="1"/>
  <c r="AI271" i="1"/>
  <c r="R272" i="1"/>
  <c r="V272" i="1"/>
  <c r="AI272" i="1"/>
  <c r="R273" i="1"/>
  <c r="V273" i="1"/>
  <c r="AI273" i="1"/>
  <c r="R274" i="1"/>
  <c r="V274" i="1"/>
  <c r="AI274" i="1"/>
  <c r="R275" i="1"/>
  <c r="V275" i="1"/>
  <c r="AI275" i="1"/>
  <c r="R276" i="1"/>
  <c r="V276" i="1"/>
  <c r="AI276" i="1"/>
  <c r="R277" i="1"/>
  <c r="V277" i="1"/>
  <c r="AI277" i="1"/>
  <c r="R278" i="1"/>
  <c r="V278" i="1"/>
  <c r="AI278" i="1"/>
  <c r="R279" i="1"/>
  <c r="V279" i="1"/>
  <c r="AI279" i="1"/>
  <c r="R280" i="1"/>
  <c r="V280" i="1"/>
  <c r="AI280" i="1"/>
  <c r="R281" i="1"/>
  <c r="V281" i="1"/>
  <c r="AI281" i="1"/>
  <c r="R282" i="1"/>
  <c r="V282" i="1"/>
  <c r="AI282" i="1"/>
  <c r="R283" i="1"/>
  <c r="V283" i="1"/>
  <c r="AI283" i="1"/>
  <c r="R284" i="1"/>
  <c r="V284" i="1"/>
  <c r="AI284" i="1"/>
  <c r="R285" i="1"/>
  <c r="V285" i="1"/>
  <c r="AI285" i="1"/>
  <c r="R286" i="1"/>
  <c r="V286" i="1"/>
  <c r="AI286" i="1"/>
  <c r="R287" i="1"/>
  <c r="V287" i="1"/>
  <c r="AI287" i="1"/>
  <c r="R288" i="1"/>
  <c r="V288" i="1"/>
  <c r="AI288" i="1"/>
  <c r="R289" i="1"/>
  <c r="V289" i="1"/>
  <c r="AI289" i="1"/>
  <c r="R290" i="1"/>
  <c r="V290" i="1"/>
  <c r="AI290" i="1"/>
  <c r="R291" i="1"/>
  <c r="V291" i="1"/>
  <c r="AI291" i="1"/>
  <c r="R292" i="1"/>
  <c r="V292" i="1"/>
  <c r="AI292" i="1"/>
  <c r="R293" i="1"/>
  <c r="V293" i="1"/>
  <c r="AI293" i="1"/>
  <c r="R294" i="1"/>
  <c r="V294" i="1"/>
  <c r="AI294" i="1"/>
  <c r="R295" i="1"/>
  <c r="V295" i="1"/>
  <c r="AI295" i="1"/>
  <c r="R296" i="1"/>
  <c r="V296" i="1"/>
  <c r="AI296" i="1"/>
  <c r="R297" i="1"/>
  <c r="V297" i="1"/>
  <c r="AI297" i="1"/>
  <c r="R298" i="1"/>
  <c r="V298" i="1"/>
  <c r="AI298" i="1"/>
  <c r="R299" i="1"/>
  <c r="V299" i="1"/>
  <c r="AI299" i="1"/>
  <c r="R300" i="1"/>
  <c r="V300" i="1"/>
  <c r="AI300" i="1"/>
  <c r="R301" i="1"/>
  <c r="V301" i="1"/>
  <c r="AI301" i="1"/>
  <c r="R302" i="1"/>
  <c r="V302" i="1"/>
  <c r="AI302" i="1"/>
  <c r="R303" i="1"/>
  <c r="V303" i="1"/>
  <c r="AI303" i="1"/>
  <c r="R304" i="1"/>
  <c r="V304" i="1"/>
  <c r="AI304" i="1"/>
  <c r="R305" i="1"/>
  <c r="V305" i="1"/>
  <c r="AI305" i="1"/>
  <c r="R306" i="1"/>
  <c r="V306" i="1"/>
  <c r="AI306" i="1"/>
  <c r="R307" i="1"/>
  <c r="V307" i="1"/>
  <c r="AI307" i="1"/>
  <c r="R308" i="1"/>
  <c r="V308" i="1"/>
  <c r="AI308" i="1"/>
  <c r="R309" i="1"/>
  <c r="V309" i="1"/>
  <c r="AI309" i="1"/>
  <c r="R310" i="1"/>
  <c r="V310" i="1"/>
  <c r="AI310" i="1"/>
  <c r="R311" i="1"/>
  <c r="V311" i="1"/>
  <c r="AI311" i="1"/>
  <c r="R312" i="1"/>
  <c r="V312" i="1"/>
  <c r="AI312" i="1"/>
  <c r="R313" i="1"/>
  <c r="V313" i="1"/>
  <c r="AI313" i="1"/>
  <c r="R314" i="1"/>
  <c r="V314" i="1"/>
  <c r="AI314" i="1"/>
  <c r="R315" i="1"/>
  <c r="V315" i="1"/>
  <c r="AI315" i="1"/>
  <c r="R316" i="1"/>
  <c r="V316" i="1"/>
  <c r="AI316" i="1"/>
  <c r="R317" i="1"/>
  <c r="V317" i="1"/>
  <c r="AI317" i="1"/>
  <c r="R318" i="1"/>
  <c r="V318" i="1"/>
  <c r="AI318" i="1"/>
  <c r="R319" i="1"/>
  <c r="V319" i="1"/>
  <c r="AI319" i="1"/>
  <c r="R320" i="1"/>
  <c r="V320" i="1"/>
  <c r="AI320" i="1"/>
  <c r="R321" i="1"/>
  <c r="V321" i="1"/>
  <c r="AI321" i="1"/>
  <c r="R322" i="1"/>
  <c r="V322" i="1"/>
  <c r="AI322" i="1"/>
  <c r="R323" i="1"/>
  <c r="V323" i="1"/>
  <c r="AI323" i="1"/>
  <c r="R324" i="1"/>
  <c r="V324" i="1"/>
  <c r="AI324" i="1"/>
  <c r="R325" i="1"/>
  <c r="V325" i="1"/>
  <c r="AI325" i="1"/>
  <c r="R326" i="1"/>
  <c r="V326" i="1"/>
  <c r="AI326" i="1"/>
  <c r="R327" i="1"/>
  <c r="V327" i="1"/>
  <c r="AI327" i="1"/>
  <c r="R328" i="1"/>
  <c r="V328" i="1"/>
  <c r="AI328" i="1"/>
  <c r="R329" i="1"/>
  <c r="V329" i="1"/>
  <c r="AI329" i="1"/>
  <c r="R330" i="1"/>
  <c r="V330" i="1"/>
  <c r="AI330" i="1"/>
  <c r="R331" i="1"/>
  <c r="V331" i="1"/>
  <c r="AI331" i="1"/>
  <c r="R332" i="1"/>
  <c r="V332" i="1"/>
  <c r="AI332" i="1"/>
  <c r="R333" i="1"/>
  <c r="V333" i="1"/>
  <c r="AI333" i="1"/>
  <c r="R334" i="1"/>
  <c r="V334" i="1"/>
  <c r="AI334" i="1"/>
  <c r="R335" i="1"/>
  <c r="V335" i="1"/>
  <c r="AI335" i="1"/>
  <c r="R336" i="1"/>
  <c r="V336" i="1"/>
  <c r="AI336" i="1"/>
  <c r="R337" i="1"/>
  <c r="V337" i="1"/>
  <c r="AI337" i="1"/>
  <c r="R338" i="1"/>
  <c r="V338" i="1"/>
  <c r="AI338" i="1"/>
  <c r="R339" i="1"/>
  <c r="V339" i="1"/>
  <c r="AI339" i="1"/>
  <c r="R340" i="1"/>
  <c r="V340" i="1"/>
  <c r="AI340" i="1"/>
  <c r="R341" i="1"/>
  <c r="V341" i="1"/>
  <c r="AI341" i="1"/>
  <c r="R342" i="1"/>
  <c r="V342" i="1"/>
  <c r="AI342" i="1"/>
  <c r="R343" i="1"/>
  <c r="V343" i="1"/>
  <c r="AI343" i="1"/>
  <c r="R344" i="1"/>
  <c r="V344" i="1"/>
  <c r="AI344" i="1"/>
  <c r="R345" i="1"/>
  <c r="V345" i="1"/>
  <c r="AI345" i="1"/>
  <c r="R346" i="1"/>
  <c r="V346" i="1"/>
  <c r="AI346" i="1"/>
  <c r="R347" i="1"/>
  <c r="V347" i="1"/>
  <c r="AI347" i="1"/>
  <c r="R348" i="1"/>
  <c r="V348" i="1"/>
  <c r="AI348" i="1"/>
  <c r="R349" i="1"/>
  <c r="V349" i="1"/>
  <c r="AI349" i="1"/>
  <c r="R350" i="1"/>
  <c r="V350" i="1"/>
  <c r="AI350" i="1"/>
  <c r="R351" i="1"/>
  <c r="V351" i="1"/>
  <c r="AI351" i="1"/>
  <c r="R352" i="1"/>
  <c r="V352" i="1"/>
  <c r="AI352" i="1"/>
  <c r="R353" i="1"/>
  <c r="V353" i="1"/>
  <c r="AI353" i="1"/>
  <c r="R354" i="1"/>
  <c r="V354" i="1"/>
  <c r="AI354" i="1"/>
  <c r="R355" i="1"/>
  <c r="V355" i="1"/>
  <c r="AI355" i="1"/>
  <c r="R356" i="1"/>
  <c r="V356" i="1"/>
  <c r="AI356" i="1"/>
  <c r="R357" i="1"/>
  <c r="V357" i="1"/>
  <c r="AI357" i="1"/>
  <c r="R358" i="1"/>
  <c r="V358" i="1"/>
  <c r="AI358" i="1"/>
  <c r="R359" i="1"/>
  <c r="V359" i="1"/>
  <c r="AI359" i="1"/>
  <c r="R360" i="1"/>
  <c r="V360" i="1"/>
  <c r="AI360" i="1"/>
  <c r="R361" i="1"/>
  <c r="V361" i="1"/>
  <c r="AI361" i="1"/>
  <c r="R362" i="1"/>
  <c r="V362" i="1"/>
  <c r="AI362" i="1"/>
  <c r="R363" i="1"/>
  <c r="V363" i="1"/>
  <c r="AI363" i="1"/>
  <c r="R364" i="1"/>
  <c r="V364" i="1"/>
  <c r="AI364" i="1"/>
  <c r="R365" i="1"/>
  <c r="V365" i="1"/>
  <c r="AI365" i="1"/>
  <c r="R366" i="1"/>
  <c r="V366" i="1"/>
  <c r="AI366" i="1"/>
  <c r="R367" i="1"/>
  <c r="V367" i="1"/>
  <c r="AI367" i="1"/>
  <c r="R368" i="1"/>
  <c r="V368" i="1"/>
  <c r="AI368" i="1"/>
  <c r="R369" i="1"/>
  <c r="V369" i="1"/>
  <c r="AI369" i="1"/>
  <c r="R370" i="1"/>
  <c r="V370" i="1"/>
  <c r="AI370" i="1"/>
  <c r="R371" i="1"/>
  <c r="V371" i="1"/>
  <c r="AI371" i="1"/>
  <c r="R372" i="1"/>
  <c r="V372" i="1"/>
  <c r="AI372" i="1"/>
  <c r="R373" i="1"/>
  <c r="V373" i="1"/>
  <c r="AI373" i="1"/>
  <c r="R374" i="1"/>
  <c r="V374" i="1"/>
  <c r="AI374" i="1"/>
  <c r="R375" i="1"/>
  <c r="V375" i="1"/>
  <c r="AI375" i="1"/>
  <c r="R376" i="1"/>
  <c r="V376" i="1"/>
  <c r="AI376" i="1"/>
  <c r="R377" i="1"/>
  <c r="V377" i="1"/>
  <c r="AI377" i="1"/>
  <c r="R378" i="1"/>
  <c r="V378" i="1"/>
  <c r="AI378" i="1"/>
  <c r="R379" i="1"/>
  <c r="V379" i="1"/>
  <c r="AI379" i="1"/>
  <c r="R380" i="1"/>
  <c r="V380" i="1"/>
  <c r="AI380" i="1"/>
  <c r="R381" i="1"/>
  <c r="V381" i="1"/>
  <c r="AI381" i="1"/>
  <c r="R382" i="1"/>
  <c r="V382" i="1"/>
  <c r="AI382" i="1"/>
  <c r="R383" i="1"/>
  <c r="V383" i="1"/>
  <c r="AI383" i="1"/>
  <c r="R384" i="1"/>
  <c r="V384" i="1"/>
  <c r="AI384" i="1"/>
  <c r="R385" i="1"/>
  <c r="V385" i="1"/>
  <c r="AI385" i="1"/>
  <c r="R386" i="1"/>
  <c r="V386" i="1"/>
  <c r="AI386" i="1"/>
  <c r="R387" i="1"/>
  <c r="V387" i="1"/>
  <c r="AI387" i="1"/>
  <c r="R388" i="1"/>
  <c r="V388" i="1"/>
  <c r="AI388" i="1"/>
  <c r="R389" i="1"/>
  <c r="V389" i="1"/>
  <c r="AI389" i="1"/>
  <c r="R390" i="1"/>
  <c r="V390" i="1"/>
  <c r="AI390" i="1"/>
  <c r="R391" i="1"/>
  <c r="V391" i="1"/>
  <c r="AI391" i="1"/>
  <c r="R392" i="1"/>
  <c r="V392" i="1"/>
  <c r="AI392" i="1"/>
  <c r="R393" i="1"/>
  <c r="V393" i="1"/>
  <c r="AI393" i="1"/>
  <c r="R394" i="1"/>
  <c r="V394" i="1"/>
  <c r="AI394" i="1"/>
  <c r="R395" i="1"/>
  <c r="V395" i="1"/>
  <c r="AI395" i="1"/>
  <c r="R396" i="1"/>
  <c r="V396" i="1"/>
  <c r="AI396" i="1"/>
  <c r="R397" i="1"/>
  <c r="V397" i="1"/>
  <c r="AI397" i="1"/>
  <c r="R398" i="1"/>
  <c r="V398" i="1"/>
  <c r="AI398" i="1"/>
  <c r="R399" i="1"/>
  <c r="V399" i="1"/>
  <c r="AI399" i="1"/>
  <c r="R400" i="1"/>
  <c r="V400" i="1"/>
  <c r="AI400" i="1"/>
  <c r="R401" i="1"/>
  <c r="V401" i="1"/>
  <c r="AI401" i="1"/>
  <c r="R402" i="1"/>
  <c r="V402" i="1"/>
  <c r="AI402" i="1"/>
  <c r="R403" i="1"/>
  <c r="V403" i="1"/>
  <c r="AI403" i="1"/>
  <c r="R404" i="1"/>
  <c r="V404" i="1"/>
  <c r="AI404" i="1"/>
  <c r="R405" i="1"/>
  <c r="V405" i="1"/>
  <c r="AI405" i="1"/>
  <c r="R406" i="1"/>
  <c r="V406" i="1"/>
  <c r="AI406" i="1"/>
  <c r="R407" i="1"/>
  <c r="V407" i="1"/>
  <c r="AI407" i="1"/>
  <c r="R408" i="1"/>
  <c r="V408" i="1"/>
  <c r="AI408" i="1"/>
  <c r="R409" i="1"/>
  <c r="V409" i="1"/>
  <c r="AI409" i="1"/>
  <c r="R410" i="1"/>
  <c r="V410" i="1"/>
  <c r="AI410" i="1"/>
  <c r="R411" i="1"/>
  <c r="V411" i="1"/>
  <c r="AI411" i="1"/>
  <c r="R412" i="1"/>
  <c r="V412" i="1"/>
  <c r="AI412" i="1"/>
  <c r="R413" i="1"/>
  <c r="V413" i="1"/>
  <c r="AI413" i="1"/>
  <c r="R414" i="1"/>
  <c r="V414" i="1"/>
  <c r="AI414" i="1"/>
  <c r="R415" i="1"/>
  <c r="V415" i="1"/>
  <c r="AI415" i="1"/>
  <c r="R416" i="1"/>
  <c r="V416" i="1"/>
  <c r="AI416" i="1"/>
  <c r="R417" i="1"/>
  <c r="V417" i="1"/>
  <c r="AI417" i="1"/>
  <c r="R418" i="1"/>
  <c r="V418" i="1"/>
  <c r="AI418" i="1"/>
  <c r="R419" i="1"/>
  <c r="V419" i="1"/>
  <c r="AI419" i="1"/>
  <c r="R420" i="1"/>
  <c r="V420" i="1"/>
  <c r="AI420" i="1"/>
  <c r="R421" i="1"/>
  <c r="V421" i="1"/>
  <c r="AI421" i="1"/>
  <c r="R422" i="1"/>
  <c r="V422" i="1"/>
  <c r="AI422" i="1"/>
  <c r="R423" i="1"/>
  <c r="V423" i="1"/>
  <c r="AI423" i="1"/>
  <c r="R424" i="1"/>
  <c r="V424" i="1"/>
  <c r="AI424" i="1"/>
  <c r="R425" i="1"/>
  <c r="V425" i="1"/>
  <c r="AI425" i="1"/>
  <c r="R426" i="1"/>
  <c r="V426" i="1"/>
  <c r="AI426" i="1"/>
  <c r="R427" i="1"/>
  <c r="V427" i="1"/>
  <c r="AI427" i="1"/>
  <c r="R428" i="1"/>
  <c r="V428" i="1"/>
  <c r="AI428" i="1"/>
  <c r="R429" i="1"/>
  <c r="V429" i="1"/>
  <c r="AI429" i="1"/>
  <c r="R430" i="1"/>
  <c r="V430" i="1"/>
  <c r="AI430" i="1"/>
  <c r="R431" i="1"/>
  <c r="V431" i="1"/>
  <c r="AI431" i="1"/>
  <c r="R432" i="1"/>
  <c r="V432" i="1"/>
  <c r="AI432" i="1"/>
  <c r="R433" i="1"/>
  <c r="V433" i="1"/>
  <c r="AI433" i="1"/>
  <c r="R434" i="1"/>
  <c r="V434" i="1"/>
  <c r="AI434" i="1"/>
  <c r="R519" i="1"/>
  <c r="V519" i="1"/>
  <c r="AI519" i="1"/>
  <c r="R520" i="1"/>
  <c r="V520" i="1"/>
  <c r="AI520" i="1"/>
  <c r="R521" i="1"/>
  <c r="V521" i="1"/>
  <c r="AI521" i="1"/>
  <c r="R522" i="1"/>
  <c r="V522" i="1"/>
  <c r="AI522" i="1"/>
  <c r="R523" i="1"/>
  <c r="V523" i="1"/>
  <c r="AI523" i="1"/>
  <c r="R524" i="1"/>
  <c r="V524" i="1"/>
  <c r="AI524" i="1"/>
  <c r="R525" i="1"/>
  <c r="V525" i="1"/>
  <c r="AI525" i="1"/>
  <c r="R526" i="1"/>
  <c r="V526" i="1"/>
  <c r="AI526" i="1"/>
  <c r="R527" i="1"/>
  <c r="V527" i="1"/>
  <c r="AI527" i="1"/>
  <c r="R528" i="1"/>
  <c r="V528" i="1"/>
  <c r="AI528" i="1"/>
  <c r="R529" i="1"/>
  <c r="V529" i="1"/>
  <c r="AI529" i="1"/>
  <c r="R530" i="1"/>
  <c r="V530" i="1"/>
  <c r="AI530" i="1"/>
  <c r="R543" i="1"/>
  <c r="V543" i="1"/>
  <c r="AI543" i="1"/>
  <c r="R544" i="1"/>
  <c r="V544" i="1"/>
  <c r="AI544" i="1"/>
  <c r="R545" i="1"/>
  <c r="V545" i="1"/>
  <c r="AI545" i="1"/>
  <c r="R546" i="1"/>
  <c r="V546" i="1"/>
  <c r="AI546" i="1"/>
  <c r="R547" i="1"/>
  <c r="V547" i="1"/>
  <c r="AI547" i="1"/>
  <c r="R548" i="1"/>
  <c r="V548" i="1"/>
  <c r="AI548" i="1"/>
  <c r="R549" i="1"/>
  <c r="V549" i="1"/>
  <c r="AI549" i="1"/>
  <c r="R550" i="1"/>
  <c r="V550" i="1"/>
  <c r="AI550" i="1"/>
  <c r="R551" i="1"/>
  <c r="V551" i="1"/>
  <c r="AI551" i="1"/>
  <c r="R552" i="1"/>
  <c r="V552" i="1"/>
  <c r="AI552" i="1"/>
  <c r="R553" i="1"/>
  <c r="V553" i="1"/>
  <c r="AI553" i="1"/>
  <c r="R554" i="1"/>
  <c r="V554" i="1"/>
  <c r="AI554" i="1"/>
  <c r="R555" i="1"/>
  <c r="V555" i="1"/>
  <c r="AI555" i="1"/>
  <c r="R556" i="1"/>
  <c r="V556" i="1"/>
  <c r="AI556" i="1"/>
  <c r="R557" i="1"/>
  <c r="V557" i="1"/>
  <c r="AI557" i="1"/>
  <c r="R558" i="1"/>
  <c r="V558" i="1"/>
  <c r="AI558" i="1"/>
  <c r="R559" i="1"/>
  <c r="V559" i="1"/>
  <c r="AI559" i="1"/>
  <c r="R560" i="1"/>
  <c r="V560" i="1"/>
  <c r="AI560" i="1"/>
  <c r="R561" i="1"/>
  <c r="V561" i="1"/>
  <c r="AI561" i="1"/>
  <c r="R562" i="1"/>
  <c r="V562" i="1"/>
  <c r="AI562" i="1"/>
  <c r="R563" i="1"/>
  <c r="V563" i="1"/>
  <c r="AI563" i="1"/>
  <c r="R564" i="1"/>
  <c r="V564" i="1"/>
  <c r="AI564" i="1"/>
  <c r="R565" i="1"/>
  <c r="V565" i="1"/>
  <c r="AI565" i="1"/>
  <c r="R566" i="1"/>
  <c r="V566" i="1"/>
  <c r="AI566" i="1"/>
  <c r="R435" i="1"/>
  <c r="V435" i="1"/>
  <c r="AI435" i="1"/>
  <c r="R436" i="1"/>
  <c r="V436" i="1"/>
  <c r="AI436" i="1"/>
  <c r="R437" i="1"/>
  <c r="V437" i="1"/>
  <c r="AI437" i="1"/>
  <c r="R438" i="1"/>
  <c r="V438" i="1"/>
  <c r="AI438" i="1"/>
  <c r="R439" i="1"/>
  <c r="V439" i="1"/>
  <c r="AI439" i="1"/>
  <c r="R440" i="1"/>
  <c r="V440" i="1"/>
  <c r="AI440" i="1"/>
  <c r="R441" i="1"/>
  <c r="V441" i="1"/>
  <c r="AI441" i="1"/>
  <c r="R442" i="1"/>
  <c r="V442" i="1"/>
  <c r="AI442" i="1"/>
  <c r="R443" i="1"/>
  <c r="V443" i="1"/>
  <c r="AI443" i="1"/>
  <c r="R444" i="1"/>
  <c r="V444" i="1"/>
  <c r="AI444" i="1"/>
  <c r="R445" i="1"/>
  <c r="V445" i="1"/>
  <c r="AI445" i="1"/>
  <c r="R446" i="1"/>
  <c r="V446" i="1"/>
  <c r="AI446" i="1"/>
  <c r="R447" i="1"/>
  <c r="V447" i="1"/>
  <c r="AI447" i="1"/>
  <c r="R448" i="1"/>
  <c r="V448" i="1"/>
  <c r="AI448" i="1"/>
  <c r="R449" i="1"/>
  <c r="V449" i="1"/>
  <c r="AI449" i="1"/>
  <c r="R450" i="1"/>
  <c r="V450" i="1"/>
  <c r="AI450" i="1"/>
  <c r="R451" i="1"/>
  <c r="V451" i="1"/>
  <c r="AI451" i="1"/>
  <c r="R452" i="1"/>
  <c r="V452" i="1"/>
  <c r="AI452" i="1"/>
  <c r="R453" i="1"/>
  <c r="V453" i="1"/>
  <c r="AI453" i="1"/>
  <c r="R454" i="1"/>
  <c r="V454" i="1"/>
  <c r="AI454" i="1"/>
  <c r="R455" i="1"/>
  <c r="V455" i="1"/>
  <c r="AI455" i="1"/>
  <c r="R456" i="1"/>
  <c r="V456" i="1"/>
  <c r="AI456" i="1"/>
  <c r="R457" i="1"/>
  <c r="V457" i="1"/>
  <c r="AI457" i="1"/>
  <c r="R458" i="1"/>
  <c r="V458" i="1"/>
  <c r="AI458" i="1"/>
  <c r="R459" i="1"/>
  <c r="V459" i="1"/>
  <c r="AI459" i="1"/>
  <c r="R460" i="1"/>
  <c r="V460" i="1"/>
  <c r="AI460" i="1"/>
  <c r="R461" i="1"/>
  <c r="V461" i="1"/>
  <c r="AI461" i="1"/>
  <c r="R462" i="1"/>
  <c r="V462" i="1"/>
  <c r="AI462" i="1"/>
  <c r="R463" i="1"/>
  <c r="V463" i="1"/>
  <c r="AI463" i="1"/>
  <c r="R464" i="1"/>
  <c r="V464" i="1"/>
  <c r="AI464" i="1"/>
  <c r="R465" i="1"/>
  <c r="V465" i="1"/>
  <c r="AI465" i="1"/>
  <c r="R466" i="1"/>
  <c r="V466" i="1"/>
  <c r="AI466" i="1"/>
  <c r="R467" i="1"/>
  <c r="V467" i="1"/>
  <c r="AI467" i="1"/>
  <c r="R468" i="1"/>
  <c r="V468" i="1"/>
  <c r="AI468" i="1"/>
  <c r="R469" i="1"/>
  <c r="V469" i="1"/>
  <c r="AI469" i="1"/>
  <c r="R470" i="1"/>
  <c r="V470" i="1"/>
  <c r="AI470" i="1"/>
  <c r="R483" i="1"/>
  <c r="V483" i="1"/>
  <c r="AI483" i="1"/>
  <c r="R484" i="1"/>
  <c r="V484" i="1"/>
  <c r="AI484" i="1"/>
  <c r="R485" i="1"/>
  <c r="V485" i="1"/>
  <c r="AI485" i="1"/>
  <c r="R486" i="1"/>
  <c r="V486" i="1"/>
  <c r="AI486" i="1"/>
  <c r="R487" i="1"/>
  <c r="V487" i="1"/>
  <c r="AI487" i="1"/>
  <c r="R488" i="1"/>
  <c r="V488" i="1"/>
  <c r="AI488" i="1"/>
  <c r="R489" i="1"/>
  <c r="V489" i="1"/>
  <c r="AI489" i="1"/>
  <c r="R490" i="1"/>
  <c r="V490" i="1"/>
  <c r="AI490" i="1"/>
  <c r="R491" i="1"/>
  <c r="V491" i="1"/>
  <c r="AI491" i="1"/>
  <c r="R492" i="1"/>
  <c r="V492" i="1"/>
  <c r="AI492" i="1"/>
  <c r="R493" i="1"/>
  <c r="V493" i="1"/>
  <c r="AI493" i="1"/>
  <c r="R494" i="1"/>
  <c r="V494" i="1"/>
  <c r="AI494" i="1"/>
  <c r="R471" i="1"/>
  <c r="V471" i="1"/>
  <c r="AI471" i="1"/>
  <c r="R472" i="1"/>
  <c r="V472" i="1"/>
  <c r="AI472" i="1"/>
  <c r="R473" i="1"/>
  <c r="V473" i="1"/>
  <c r="AI473" i="1"/>
  <c r="R474" i="1"/>
  <c r="V474" i="1"/>
  <c r="AI474" i="1"/>
  <c r="R475" i="1"/>
  <c r="V475" i="1"/>
  <c r="AI475" i="1"/>
  <c r="R476" i="1"/>
  <c r="V476" i="1"/>
  <c r="AI476" i="1"/>
  <c r="R477" i="1"/>
  <c r="V477" i="1"/>
  <c r="AI477" i="1"/>
  <c r="R478" i="1"/>
  <c r="V478" i="1"/>
  <c r="AI478" i="1"/>
  <c r="R479" i="1"/>
  <c r="V479" i="1"/>
  <c r="AI479" i="1"/>
  <c r="R480" i="1"/>
  <c r="V480" i="1"/>
  <c r="AI480" i="1"/>
  <c r="R481" i="1"/>
  <c r="V481" i="1"/>
  <c r="AI481" i="1"/>
  <c r="R482" i="1"/>
  <c r="V482" i="1"/>
  <c r="AI482" i="1"/>
  <c r="R495" i="1"/>
  <c r="V495" i="1"/>
  <c r="AI495" i="1"/>
  <c r="R496" i="1"/>
  <c r="V496" i="1"/>
  <c r="AI496" i="1"/>
  <c r="R497" i="1"/>
  <c r="V497" i="1"/>
  <c r="AI497" i="1"/>
  <c r="R498" i="1"/>
  <c r="V498" i="1"/>
  <c r="AI498" i="1"/>
  <c r="R499" i="1"/>
  <c r="V499" i="1"/>
  <c r="AI499" i="1"/>
  <c r="R500" i="1"/>
  <c r="V500" i="1"/>
  <c r="AI500" i="1"/>
  <c r="R501" i="1"/>
  <c r="V501" i="1"/>
  <c r="AI501" i="1"/>
  <c r="R502" i="1"/>
  <c r="V502" i="1"/>
  <c r="AI502" i="1"/>
  <c r="R503" i="1"/>
  <c r="V503" i="1"/>
  <c r="AI503" i="1"/>
  <c r="R504" i="1"/>
  <c r="V504" i="1"/>
  <c r="AI504" i="1"/>
  <c r="R505" i="1"/>
  <c r="V505" i="1"/>
  <c r="AI505" i="1"/>
  <c r="R506" i="1"/>
  <c r="V506" i="1"/>
  <c r="AI506" i="1"/>
  <c r="R507" i="1"/>
  <c r="V507" i="1"/>
  <c r="AI507" i="1"/>
  <c r="R508" i="1"/>
  <c r="V508" i="1"/>
  <c r="AI508" i="1"/>
  <c r="R509" i="1"/>
  <c r="V509" i="1"/>
  <c r="AI509" i="1"/>
  <c r="R510" i="1"/>
  <c r="V510" i="1"/>
  <c r="AI510" i="1"/>
  <c r="R511" i="1"/>
  <c r="V511" i="1"/>
  <c r="AI511" i="1"/>
  <c r="R512" i="1"/>
  <c r="V512" i="1"/>
  <c r="AI512" i="1"/>
  <c r="R513" i="1"/>
  <c r="V513" i="1"/>
  <c r="AI513" i="1"/>
  <c r="R514" i="1"/>
  <c r="V514" i="1"/>
  <c r="AI514" i="1"/>
  <c r="R515" i="1"/>
  <c r="V515" i="1"/>
  <c r="AI515" i="1"/>
  <c r="R516" i="1"/>
  <c r="V516" i="1"/>
  <c r="AI516" i="1"/>
  <c r="R517" i="1"/>
  <c r="V517" i="1"/>
  <c r="AI517" i="1"/>
  <c r="R518" i="1"/>
  <c r="V518" i="1"/>
  <c r="AI518" i="1"/>
  <c r="R531" i="1"/>
  <c r="V531" i="1"/>
  <c r="AI531" i="1"/>
  <c r="R532" i="1"/>
  <c r="V532" i="1"/>
  <c r="AI532" i="1"/>
  <c r="R533" i="1"/>
  <c r="V533" i="1"/>
  <c r="AI533" i="1"/>
  <c r="R534" i="1"/>
  <c r="V534" i="1"/>
  <c r="AI534" i="1"/>
  <c r="R535" i="1"/>
  <c r="V535" i="1"/>
  <c r="AI535" i="1"/>
  <c r="R536" i="1"/>
  <c r="V536" i="1"/>
  <c r="AI536" i="1"/>
  <c r="R537" i="1"/>
  <c r="V537" i="1"/>
  <c r="AI537" i="1"/>
  <c r="R538" i="1"/>
  <c r="V538" i="1"/>
  <c r="AI538" i="1"/>
  <c r="R539" i="1"/>
  <c r="V539" i="1"/>
  <c r="AI539" i="1"/>
  <c r="R540" i="1"/>
  <c r="V540" i="1"/>
  <c r="AI540" i="1"/>
  <c r="R541" i="1"/>
  <c r="V541" i="1"/>
  <c r="AI541" i="1"/>
  <c r="R542" i="1"/>
  <c r="V542" i="1"/>
  <c r="AI542" i="1"/>
  <c r="R567" i="1"/>
  <c r="V567" i="1"/>
  <c r="AI567" i="1"/>
  <c r="R568" i="1"/>
  <c r="V568" i="1"/>
  <c r="AI568" i="1"/>
  <c r="R569" i="1"/>
  <c r="V569" i="1"/>
  <c r="AI569" i="1"/>
  <c r="R570" i="1"/>
  <c r="V570" i="1"/>
  <c r="AI570" i="1"/>
  <c r="R571" i="1"/>
  <c r="V571" i="1"/>
  <c r="AI571" i="1"/>
  <c r="R572" i="1"/>
  <c r="V572" i="1"/>
  <c r="AI572" i="1"/>
  <c r="R573" i="1"/>
  <c r="V573" i="1"/>
  <c r="AI573" i="1"/>
  <c r="R574" i="1"/>
  <c r="V574" i="1"/>
  <c r="AI574" i="1"/>
  <c r="R575" i="1"/>
  <c r="V575" i="1"/>
  <c r="AI575" i="1"/>
  <c r="R576" i="1"/>
  <c r="V576" i="1"/>
  <c r="AI576" i="1"/>
  <c r="R577" i="1"/>
  <c r="V577" i="1"/>
  <c r="AI577" i="1"/>
  <c r="R578" i="1"/>
  <c r="V578" i="1"/>
  <c r="AI578" i="1"/>
  <c r="R579" i="1"/>
  <c r="V579" i="1"/>
  <c r="AI579" i="1"/>
  <c r="R580" i="1"/>
  <c r="V580" i="1"/>
  <c r="AI580" i="1"/>
  <c r="R581" i="1"/>
  <c r="V581" i="1"/>
  <c r="AI581" i="1"/>
  <c r="R582" i="1"/>
  <c r="V582" i="1"/>
  <c r="AI582" i="1"/>
  <c r="R583" i="1"/>
  <c r="V583" i="1"/>
  <c r="AI583" i="1"/>
  <c r="R584" i="1"/>
  <c r="V584" i="1"/>
  <c r="AI584" i="1"/>
  <c r="R585" i="1"/>
  <c r="V585" i="1"/>
  <c r="AI585" i="1"/>
  <c r="R586" i="1"/>
  <c r="V586" i="1"/>
  <c r="AI586" i="1"/>
  <c r="R587" i="1"/>
  <c r="V587" i="1"/>
  <c r="AI587" i="1"/>
  <c r="R588" i="1"/>
  <c r="V588" i="1"/>
  <c r="AI588" i="1"/>
  <c r="R589" i="1"/>
  <c r="V589" i="1"/>
  <c r="AI589" i="1"/>
  <c r="R590" i="1"/>
  <c r="V590" i="1"/>
  <c r="AI590" i="1"/>
  <c r="R591" i="1"/>
  <c r="V591" i="1"/>
  <c r="AI591" i="1"/>
  <c r="R592" i="1"/>
  <c r="V592" i="1"/>
  <c r="AI592" i="1"/>
  <c r="R593" i="1"/>
  <c r="V593" i="1"/>
  <c r="AI593" i="1"/>
  <c r="R594" i="1"/>
  <c r="V594" i="1"/>
  <c r="AI594" i="1"/>
  <c r="R595" i="1"/>
  <c r="V595" i="1"/>
  <c r="AI595" i="1"/>
  <c r="R596" i="1"/>
  <c r="V596" i="1"/>
  <c r="AI596" i="1"/>
  <c r="R597" i="1"/>
  <c r="V597" i="1"/>
  <c r="AI597" i="1"/>
  <c r="R598" i="1"/>
  <c r="V598" i="1"/>
  <c r="AI598" i="1"/>
  <c r="R599" i="1"/>
  <c r="V599" i="1"/>
  <c r="AI599" i="1"/>
  <c r="R600" i="1"/>
  <c r="V600" i="1"/>
  <c r="AI600" i="1"/>
  <c r="R601" i="1"/>
  <c r="V601" i="1"/>
  <c r="AI601" i="1"/>
  <c r="R602" i="1"/>
  <c r="V602" i="1"/>
  <c r="AI602" i="1"/>
  <c r="R603" i="1"/>
  <c r="V603" i="1"/>
  <c r="AI603" i="1"/>
  <c r="R604" i="1"/>
  <c r="V604" i="1"/>
  <c r="AI604" i="1"/>
  <c r="R605" i="1"/>
  <c r="V605" i="1"/>
  <c r="AI605" i="1"/>
  <c r="R606" i="1"/>
  <c r="V606" i="1"/>
  <c r="AI606" i="1"/>
  <c r="R607" i="1"/>
  <c r="V607" i="1"/>
  <c r="AI607" i="1"/>
  <c r="R608" i="1"/>
  <c r="V608" i="1"/>
  <c r="AI608" i="1"/>
  <c r="R609" i="1"/>
  <c r="V609" i="1"/>
  <c r="AI609" i="1"/>
  <c r="R610" i="1"/>
  <c r="V610" i="1"/>
  <c r="AI610" i="1"/>
  <c r="R611" i="1"/>
  <c r="V611" i="1"/>
  <c r="AI611" i="1"/>
  <c r="R612" i="1"/>
  <c r="V612" i="1"/>
  <c r="AI612" i="1"/>
  <c r="R613" i="1"/>
  <c r="V613" i="1"/>
  <c r="AI613" i="1"/>
  <c r="R614" i="1"/>
  <c r="V614" i="1"/>
  <c r="AI614" i="1"/>
  <c r="R615" i="1"/>
  <c r="V615" i="1"/>
  <c r="AI615" i="1"/>
  <c r="R616" i="1"/>
  <c r="V616" i="1"/>
  <c r="AI616" i="1"/>
  <c r="R617" i="1"/>
  <c r="V617" i="1"/>
  <c r="AI617" i="1"/>
  <c r="R618" i="1"/>
  <c r="V618" i="1"/>
  <c r="AI618" i="1"/>
  <c r="R619" i="1"/>
  <c r="V619" i="1"/>
  <c r="AI619" i="1"/>
  <c r="R620" i="1"/>
  <c r="V620" i="1"/>
  <c r="AI620" i="1"/>
  <c r="R621" i="1"/>
  <c r="V621" i="1"/>
  <c r="AI621" i="1"/>
  <c r="R622" i="1"/>
  <c r="V622" i="1"/>
  <c r="AI622" i="1"/>
  <c r="R623" i="1"/>
  <c r="V623" i="1"/>
  <c r="AI623" i="1"/>
  <c r="R624" i="1"/>
  <c r="V624" i="1"/>
  <c r="AI624" i="1"/>
  <c r="R625" i="1"/>
  <c r="V625" i="1"/>
  <c r="AI625" i="1"/>
  <c r="R626" i="1"/>
  <c r="V626" i="1"/>
  <c r="AI626" i="1"/>
  <c r="R627" i="1"/>
  <c r="V627" i="1"/>
  <c r="AI627" i="1"/>
  <c r="R628" i="1"/>
  <c r="V628" i="1"/>
  <c r="AI628" i="1"/>
  <c r="R629" i="1"/>
  <c r="V629" i="1"/>
  <c r="AI629" i="1"/>
  <c r="R630" i="1"/>
  <c r="V630" i="1"/>
  <c r="AI630" i="1"/>
  <c r="R631" i="1"/>
  <c r="V631" i="1"/>
  <c r="AI631" i="1"/>
  <c r="R632" i="1"/>
  <c r="V632" i="1"/>
  <c r="AI632" i="1"/>
  <c r="R633" i="1"/>
  <c r="V633" i="1"/>
  <c r="AI633" i="1"/>
  <c r="R634" i="1"/>
  <c r="V634" i="1"/>
  <c r="AI634" i="1"/>
  <c r="R635" i="1"/>
  <c r="V635" i="1"/>
  <c r="AI635" i="1"/>
  <c r="R636" i="1"/>
  <c r="V636" i="1"/>
  <c r="AI636" i="1"/>
  <c r="R637" i="1"/>
  <c r="V637" i="1"/>
  <c r="AI637" i="1"/>
  <c r="R638" i="1"/>
  <c r="V638" i="1"/>
  <c r="AI638" i="1"/>
  <c r="R639" i="1"/>
  <c r="V639" i="1"/>
  <c r="AI639" i="1"/>
  <c r="R640" i="1"/>
  <c r="V640" i="1"/>
  <c r="AI640" i="1"/>
  <c r="R641" i="1"/>
  <c r="V641" i="1"/>
  <c r="AI641" i="1"/>
  <c r="R642" i="1"/>
  <c r="V642" i="1"/>
  <c r="AI642" i="1"/>
  <c r="R643" i="1"/>
  <c r="V643" i="1"/>
  <c r="AI643" i="1"/>
  <c r="R644" i="1"/>
  <c r="V644" i="1"/>
  <c r="AI644" i="1"/>
  <c r="R645" i="1"/>
  <c r="V645" i="1"/>
  <c r="AI645" i="1"/>
  <c r="R646" i="1"/>
  <c r="V646" i="1"/>
  <c r="AI646" i="1"/>
  <c r="R647" i="1"/>
  <c r="V647" i="1"/>
  <c r="AI647" i="1"/>
  <c r="R648" i="1"/>
  <c r="V648" i="1"/>
  <c r="AI648" i="1"/>
  <c r="R649" i="1"/>
  <c r="V649" i="1"/>
  <c r="AI649" i="1"/>
  <c r="R650" i="1"/>
  <c r="V650" i="1"/>
  <c r="AI650" i="1"/>
  <c r="R651" i="1"/>
  <c r="V651" i="1"/>
  <c r="AI651" i="1"/>
  <c r="R652" i="1"/>
  <c r="V652" i="1"/>
  <c r="AI652" i="1"/>
  <c r="R653" i="1"/>
  <c r="V653" i="1"/>
  <c r="AI653" i="1"/>
  <c r="R654" i="1"/>
  <c r="V654" i="1"/>
  <c r="AI654" i="1"/>
  <c r="R655" i="1"/>
  <c r="V655" i="1"/>
  <c r="AI655" i="1"/>
  <c r="R656" i="1"/>
  <c r="V656" i="1"/>
  <c r="AI656" i="1"/>
  <c r="R657" i="1"/>
  <c r="V657" i="1"/>
  <c r="AI657" i="1"/>
  <c r="R658" i="1"/>
  <c r="V658" i="1"/>
  <c r="AI658" i="1"/>
  <c r="R659" i="1"/>
  <c r="V659" i="1"/>
  <c r="AI659" i="1"/>
  <c r="R660" i="1"/>
  <c r="V660" i="1"/>
  <c r="AI660" i="1"/>
  <c r="R661" i="1"/>
  <c r="V661" i="1"/>
  <c r="AI661" i="1"/>
  <c r="R662" i="1"/>
  <c r="V662" i="1"/>
  <c r="AI662" i="1"/>
  <c r="R663" i="1"/>
  <c r="V663" i="1"/>
  <c r="AI663" i="1"/>
  <c r="R664" i="1"/>
  <c r="V664" i="1"/>
  <c r="AI664" i="1"/>
  <c r="R665" i="1"/>
  <c r="V665" i="1"/>
  <c r="AI665" i="1"/>
  <c r="R666" i="1"/>
  <c r="V666" i="1"/>
  <c r="AI666" i="1"/>
  <c r="R667" i="1"/>
  <c r="V667" i="1"/>
  <c r="AI667" i="1"/>
  <c r="R668" i="1"/>
  <c r="V668" i="1"/>
  <c r="AI668" i="1"/>
  <c r="R669" i="1"/>
  <c r="V669" i="1"/>
  <c r="AI669" i="1"/>
  <c r="R670" i="1"/>
  <c r="V670" i="1"/>
  <c r="AI670" i="1"/>
  <c r="R671" i="1"/>
  <c r="V671" i="1"/>
  <c r="AI671" i="1"/>
  <c r="R672" i="1"/>
  <c r="V672" i="1"/>
  <c r="AI672" i="1"/>
  <c r="R673" i="1"/>
  <c r="V673" i="1"/>
  <c r="AI673" i="1"/>
  <c r="R674" i="1"/>
  <c r="V674" i="1"/>
  <c r="AI674" i="1"/>
  <c r="R675" i="1"/>
  <c r="V675" i="1"/>
  <c r="AI675" i="1"/>
  <c r="R676" i="1"/>
  <c r="V676" i="1"/>
  <c r="AI676" i="1"/>
  <c r="R677" i="1"/>
  <c r="V677" i="1"/>
  <c r="AI677" i="1"/>
  <c r="R678" i="1"/>
  <c r="V678" i="1"/>
  <c r="AI678" i="1"/>
  <c r="R679" i="1"/>
  <c r="V679" i="1"/>
  <c r="AI679" i="1"/>
  <c r="R680" i="1"/>
  <c r="V680" i="1"/>
  <c r="AI680" i="1"/>
  <c r="R681" i="1"/>
  <c r="V681" i="1"/>
  <c r="AI681" i="1"/>
  <c r="R682" i="1"/>
  <c r="V682" i="1"/>
  <c r="AI682" i="1"/>
  <c r="R683" i="1"/>
  <c r="V683" i="1"/>
  <c r="AI683" i="1"/>
  <c r="R684" i="1"/>
  <c r="V684" i="1"/>
  <c r="AI684" i="1"/>
  <c r="R685" i="1"/>
  <c r="V685" i="1"/>
  <c r="AI685" i="1"/>
  <c r="R686" i="1"/>
  <c r="V686" i="1"/>
  <c r="AI686" i="1"/>
  <c r="R687" i="1"/>
  <c r="V687" i="1"/>
  <c r="AI687" i="1"/>
  <c r="R688" i="1"/>
  <c r="V688" i="1"/>
  <c r="AI688" i="1"/>
  <c r="R689" i="1"/>
  <c r="V689" i="1"/>
  <c r="AI689" i="1"/>
  <c r="R690" i="1"/>
  <c r="V690" i="1"/>
  <c r="AI690" i="1"/>
  <c r="R691" i="1"/>
  <c r="V691" i="1"/>
  <c r="AI691" i="1"/>
  <c r="R692" i="1"/>
  <c r="V692" i="1"/>
  <c r="AI692" i="1"/>
  <c r="R693" i="1"/>
  <c r="V693" i="1"/>
  <c r="AI693" i="1"/>
  <c r="R694" i="1"/>
  <c r="V694" i="1"/>
  <c r="AI694" i="1"/>
  <c r="R695" i="1"/>
  <c r="V695" i="1"/>
  <c r="AI695" i="1"/>
  <c r="R696" i="1"/>
  <c r="V696" i="1"/>
  <c r="AI696" i="1"/>
  <c r="R697" i="1"/>
  <c r="V697" i="1"/>
  <c r="AI697" i="1"/>
  <c r="R698" i="1"/>
  <c r="V698" i="1"/>
  <c r="AI698" i="1"/>
  <c r="R699" i="1"/>
  <c r="V699" i="1"/>
  <c r="AI699" i="1"/>
  <c r="R700" i="1"/>
  <c r="V700" i="1"/>
  <c r="AI700" i="1"/>
  <c r="R701" i="1"/>
  <c r="V701" i="1"/>
  <c r="AI701" i="1"/>
  <c r="R702" i="1"/>
  <c r="V702" i="1"/>
  <c r="AI702" i="1"/>
  <c r="R703" i="1"/>
  <c r="V703" i="1"/>
  <c r="AI703" i="1"/>
  <c r="R704" i="1"/>
  <c r="V704" i="1"/>
  <c r="AI704" i="1"/>
  <c r="R705" i="1"/>
  <c r="V705" i="1"/>
  <c r="AI705" i="1"/>
  <c r="R706" i="1"/>
  <c r="V706" i="1"/>
  <c r="AI706" i="1"/>
  <c r="R707" i="1"/>
  <c r="V707" i="1"/>
  <c r="AI707" i="1"/>
  <c r="R708" i="1"/>
  <c r="V708" i="1"/>
  <c r="AI708" i="1"/>
  <c r="R709" i="1"/>
  <c r="V709" i="1"/>
  <c r="AI709" i="1"/>
  <c r="R710" i="1"/>
  <c r="V710" i="1"/>
  <c r="AI710" i="1"/>
  <c r="R711" i="1"/>
  <c r="V711" i="1"/>
  <c r="AI711" i="1"/>
  <c r="R712" i="1"/>
  <c r="V712" i="1"/>
  <c r="AI712" i="1"/>
  <c r="R713" i="1"/>
  <c r="V713" i="1"/>
  <c r="AI713" i="1"/>
  <c r="R714" i="1"/>
  <c r="V714" i="1"/>
  <c r="AI714" i="1"/>
  <c r="R715" i="1"/>
  <c r="V715" i="1"/>
  <c r="AI715" i="1"/>
  <c r="R716" i="1"/>
  <c r="V716" i="1"/>
  <c r="AI716" i="1"/>
  <c r="R717" i="1"/>
  <c r="V717" i="1"/>
  <c r="AI717" i="1"/>
  <c r="R718" i="1"/>
  <c r="V718" i="1"/>
  <c r="AI718" i="1"/>
  <c r="R719" i="1"/>
  <c r="V719" i="1"/>
  <c r="AI719" i="1"/>
  <c r="R720" i="1"/>
  <c r="V720" i="1"/>
  <c r="AI720" i="1"/>
  <c r="R721" i="1"/>
  <c r="V721" i="1"/>
  <c r="AI721" i="1"/>
  <c r="R722" i="1"/>
  <c r="V722" i="1"/>
  <c r="AI722" i="1"/>
  <c r="R723" i="1"/>
  <c r="V723" i="1"/>
  <c r="AI723" i="1"/>
  <c r="R724" i="1"/>
  <c r="V724" i="1"/>
  <c r="AI724" i="1"/>
  <c r="R725" i="1"/>
  <c r="V725" i="1"/>
  <c r="AI725" i="1"/>
  <c r="R726" i="1"/>
  <c r="V726" i="1"/>
  <c r="AI726" i="1"/>
  <c r="R727" i="1"/>
  <c r="V727" i="1"/>
  <c r="AI727" i="1"/>
  <c r="R728" i="1"/>
  <c r="V728" i="1"/>
  <c r="AI728" i="1"/>
  <c r="R729" i="1"/>
  <c r="V729" i="1"/>
  <c r="AI729" i="1"/>
  <c r="R730" i="1"/>
  <c r="V730" i="1"/>
  <c r="AI730" i="1"/>
  <c r="R731" i="1"/>
  <c r="V731" i="1"/>
  <c r="AI731" i="1"/>
  <c r="R732" i="1"/>
  <c r="V732" i="1"/>
  <c r="AI732" i="1"/>
  <c r="R733" i="1"/>
  <c r="V733" i="1"/>
  <c r="AI733" i="1"/>
  <c r="R734" i="1"/>
  <c r="V734" i="1"/>
  <c r="AI734" i="1"/>
  <c r="R735" i="1"/>
  <c r="V735" i="1"/>
  <c r="AI735" i="1"/>
  <c r="R736" i="1"/>
  <c r="V736" i="1"/>
  <c r="AI736" i="1"/>
  <c r="R737" i="1"/>
  <c r="V737" i="1"/>
  <c r="AI737" i="1"/>
  <c r="R738" i="1"/>
  <c r="V738" i="1"/>
  <c r="AI738" i="1"/>
  <c r="R739" i="1"/>
  <c r="V739" i="1"/>
  <c r="AI739" i="1"/>
  <c r="R740" i="1"/>
  <c r="V740" i="1"/>
  <c r="AI740" i="1"/>
  <c r="R741" i="1"/>
  <c r="V741" i="1"/>
  <c r="AI741" i="1"/>
  <c r="R742" i="1"/>
  <c r="V742" i="1"/>
  <c r="AI742" i="1"/>
  <c r="R743" i="1"/>
  <c r="V743" i="1"/>
  <c r="AI743" i="1"/>
  <c r="R744" i="1"/>
  <c r="V744" i="1"/>
  <c r="AI744" i="1"/>
  <c r="R745" i="1"/>
  <c r="V745" i="1"/>
  <c r="AI745" i="1"/>
  <c r="R746" i="1"/>
  <c r="V746" i="1"/>
  <c r="AI746" i="1"/>
  <c r="R747" i="1"/>
  <c r="V747" i="1"/>
  <c r="AI747" i="1"/>
  <c r="R748" i="1"/>
  <c r="V748" i="1"/>
  <c r="AI748" i="1"/>
  <c r="R749" i="1"/>
  <c r="V749" i="1"/>
  <c r="AI749" i="1"/>
  <c r="R750" i="1"/>
  <c r="V750" i="1"/>
  <c r="AI750" i="1"/>
  <c r="R751" i="1"/>
  <c r="V751" i="1"/>
  <c r="AI751" i="1"/>
  <c r="R752" i="1"/>
  <c r="V752" i="1"/>
  <c r="AI752" i="1"/>
  <c r="R753" i="1"/>
  <c r="V753" i="1"/>
  <c r="AI753" i="1"/>
  <c r="R754" i="1"/>
  <c r="V754" i="1"/>
  <c r="AI754" i="1"/>
  <c r="R755" i="1"/>
  <c r="V755" i="1"/>
  <c r="AI755" i="1"/>
  <c r="R756" i="1"/>
  <c r="V756" i="1"/>
  <c r="AI756" i="1"/>
  <c r="R757" i="1"/>
  <c r="V757" i="1"/>
  <c r="AI757" i="1"/>
  <c r="R758" i="1"/>
  <c r="V758" i="1"/>
  <c r="AI758" i="1"/>
  <c r="R759" i="1"/>
  <c r="V759" i="1"/>
  <c r="AI759" i="1"/>
  <c r="R760" i="1"/>
  <c r="V760" i="1"/>
  <c r="AI760" i="1"/>
  <c r="R761" i="1"/>
  <c r="V761" i="1"/>
  <c r="AI761" i="1"/>
  <c r="R762" i="1"/>
  <c r="V762" i="1"/>
  <c r="AI762" i="1"/>
  <c r="R763" i="1"/>
  <c r="V763" i="1"/>
  <c r="AI763" i="1"/>
  <c r="R764" i="1"/>
  <c r="V764" i="1"/>
  <c r="AI764" i="1"/>
  <c r="R765" i="1"/>
  <c r="V765" i="1"/>
  <c r="AI765" i="1"/>
  <c r="R766" i="1"/>
  <c r="V766" i="1"/>
  <c r="AI766" i="1"/>
  <c r="R767" i="1"/>
  <c r="V767" i="1"/>
  <c r="AI767" i="1"/>
  <c r="R768" i="1"/>
  <c r="V768" i="1"/>
  <c r="AI768" i="1"/>
  <c r="R769" i="1"/>
  <c r="V769" i="1"/>
  <c r="AI769" i="1"/>
  <c r="R770" i="1"/>
  <c r="V770" i="1"/>
  <c r="AI770" i="1"/>
  <c r="R771" i="1"/>
  <c r="V771" i="1"/>
  <c r="AI771" i="1"/>
  <c r="R772" i="1"/>
  <c r="V772" i="1"/>
  <c r="AI772" i="1"/>
  <c r="R773" i="1"/>
  <c r="V773" i="1"/>
  <c r="AI773" i="1"/>
  <c r="R774" i="1"/>
  <c r="V774" i="1"/>
  <c r="AI774" i="1"/>
  <c r="R775" i="1"/>
  <c r="V775" i="1"/>
  <c r="AI775" i="1"/>
  <c r="R776" i="1"/>
  <c r="V776" i="1"/>
  <c r="AI776" i="1"/>
  <c r="R777" i="1"/>
  <c r="V777" i="1"/>
  <c r="AI777" i="1"/>
  <c r="R778" i="1"/>
  <c r="V778" i="1"/>
  <c r="AI778" i="1"/>
  <c r="R779" i="1"/>
  <c r="V779" i="1"/>
  <c r="AI779" i="1"/>
  <c r="R780" i="1"/>
  <c r="V780" i="1"/>
  <c r="AI780" i="1"/>
  <c r="R781" i="1"/>
  <c r="V781" i="1"/>
  <c r="AI781" i="1"/>
  <c r="R782" i="1"/>
  <c r="V782" i="1"/>
  <c r="AI782" i="1"/>
  <c r="R783" i="1"/>
  <c r="V783" i="1"/>
  <c r="AI783" i="1"/>
  <c r="R784" i="1"/>
  <c r="V784" i="1"/>
  <c r="AI784" i="1"/>
  <c r="R785" i="1"/>
  <c r="V785" i="1"/>
  <c r="AI785" i="1"/>
  <c r="R786" i="1"/>
  <c r="V786" i="1"/>
  <c r="AI786" i="1"/>
  <c r="R787" i="1"/>
  <c r="V787" i="1"/>
  <c r="AI787" i="1"/>
  <c r="R788" i="1"/>
  <c r="V788" i="1"/>
  <c r="AI788" i="1"/>
  <c r="R789" i="1"/>
  <c r="V789" i="1"/>
  <c r="AI789" i="1"/>
  <c r="R790" i="1"/>
  <c r="V790" i="1"/>
  <c r="AI790" i="1"/>
  <c r="R791" i="1"/>
  <c r="V791" i="1"/>
  <c r="AI791" i="1"/>
  <c r="R792" i="1"/>
  <c r="V792" i="1"/>
  <c r="AI792" i="1"/>
  <c r="R793" i="1"/>
  <c r="V793" i="1"/>
  <c r="AI793" i="1"/>
  <c r="R794" i="1"/>
  <c r="V794" i="1"/>
  <c r="AI794" i="1"/>
  <c r="R795" i="1"/>
  <c r="V795" i="1"/>
  <c r="AI795" i="1"/>
  <c r="R796" i="1"/>
  <c r="V796" i="1"/>
  <c r="AI796" i="1"/>
  <c r="R797" i="1"/>
  <c r="V797" i="1"/>
  <c r="AI797" i="1"/>
  <c r="R798" i="1"/>
  <c r="V798" i="1"/>
  <c r="AI798" i="1"/>
  <c r="R799" i="1"/>
  <c r="V799" i="1"/>
  <c r="AI799" i="1"/>
  <c r="R800" i="1"/>
  <c r="V800" i="1"/>
  <c r="AI800" i="1"/>
  <c r="R801" i="1"/>
  <c r="V801" i="1"/>
  <c r="AI801" i="1"/>
  <c r="R802" i="1"/>
  <c r="V802" i="1"/>
  <c r="AI802" i="1"/>
  <c r="R803" i="1"/>
  <c r="V803" i="1"/>
  <c r="AI803" i="1"/>
  <c r="R804" i="1"/>
  <c r="V804" i="1"/>
  <c r="AI804" i="1"/>
  <c r="R805" i="1"/>
  <c r="V805" i="1"/>
  <c r="AI805" i="1"/>
  <c r="R806" i="1"/>
  <c r="V806" i="1"/>
  <c r="AI806" i="1"/>
  <c r="R807" i="1"/>
  <c r="V807" i="1"/>
  <c r="AI807" i="1"/>
  <c r="R808" i="1"/>
  <c r="V808" i="1"/>
  <c r="AI808" i="1"/>
  <c r="R809" i="1"/>
  <c r="V809" i="1"/>
  <c r="AI809" i="1"/>
  <c r="R810" i="1"/>
  <c r="V810" i="1"/>
  <c r="AI810" i="1"/>
  <c r="R811" i="1"/>
  <c r="V811" i="1"/>
  <c r="AI811" i="1"/>
  <c r="R812" i="1"/>
  <c r="V812" i="1"/>
  <c r="AI812" i="1"/>
  <c r="R813" i="1"/>
  <c r="V813" i="1"/>
  <c r="AI813" i="1"/>
  <c r="R814" i="1"/>
  <c r="V814" i="1"/>
  <c r="AI814" i="1"/>
  <c r="R815" i="1"/>
  <c r="V815" i="1"/>
  <c r="AI815" i="1"/>
  <c r="R816" i="1"/>
  <c r="V816" i="1"/>
  <c r="AI816" i="1"/>
  <c r="R817" i="1"/>
  <c r="V817" i="1"/>
  <c r="AI817" i="1"/>
  <c r="R818" i="1"/>
  <c r="V818" i="1"/>
  <c r="AI818" i="1"/>
  <c r="R819" i="1"/>
  <c r="V819" i="1"/>
  <c r="AI819" i="1"/>
  <c r="R820" i="1"/>
  <c r="V820" i="1"/>
  <c r="AI820" i="1"/>
  <c r="R821" i="1"/>
  <c r="V821" i="1"/>
  <c r="AI821" i="1"/>
  <c r="R822" i="1"/>
  <c r="V822" i="1"/>
  <c r="AI822" i="1"/>
  <c r="R823" i="1"/>
  <c r="V823" i="1"/>
  <c r="AI823" i="1"/>
  <c r="R824" i="1"/>
  <c r="V824" i="1"/>
  <c r="AI824" i="1"/>
  <c r="R825" i="1"/>
  <c r="V825" i="1"/>
  <c r="AI825" i="1"/>
  <c r="R826" i="1"/>
  <c r="V826" i="1"/>
  <c r="AI826" i="1"/>
  <c r="R827" i="1"/>
  <c r="V827" i="1"/>
  <c r="AI827" i="1"/>
  <c r="R828" i="1"/>
  <c r="V828" i="1"/>
  <c r="AI828" i="1"/>
  <c r="R829" i="1"/>
  <c r="V829" i="1"/>
  <c r="AI829" i="1"/>
  <c r="R830" i="1"/>
  <c r="V830" i="1"/>
  <c r="AI830" i="1"/>
  <c r="R831" i="1"/>
  <c r="V831" i="1"/>
  <c r="AI831" i="1"/>
  <c r="R832" i="1"/>
  <c r="V832" i="1"/>
  <c r="AI832" i="1"/>
  <c r="R833" i="1"/>
  <c r="V833" i="1"/>
  <c r="AI833" i="1"/>
  <c r="R834" i="1"/>
  <c r="V834" i="1"/>
  <c r="AI834" i="1"/>
  <c r="R835" i="1"/>
  <c r="V835" i="1"/>
  <c r="AI835" i="1"/>
  <c r="R836" i="1"/>
  <c r="V836" i="1"/>
  <c r="AI836" i="1"/>
  <c r="R837" i="1"/>
  <c r="V837" i="1"/>
  <c r="AI837" i="1"/>
  <c r="R838" i="1"/>
  <c r="V838" i="1"/>
  <c r="AI838" i="1"/>
  <c r="R839" i="1"/>
  <c r="V839" i="1"/>
  <c r="AI839" i="1"/>
  <c r="R840" i="1"/>
  <c r="V840" i="1"/>
  <c r="AI840" i="1"/>
  <c r="R841" i="1"/>
  <c r="V841" i="1"/>
  <c r="AI841" i="1"/>
  <c r="R842" i="1"/>
  <c r="V842" i="1"/>
  <c r="AI842" i="1"/>
  <c r="R843" i="1"/>
  <c r="V843" i="1"/>
  <c r="AI843" i="1"/>
  <c r="R844" i="1"/>
  <c r="V844" i="1"/>
  <c r="AI844" i="1"/>
  <c r="R845" i="1"/>
  <c r="V845" i="1"/>
  <c r="AI845" i="1"/>
  <c r="R846" i="1"/>
  <c r="V846" i="1"/>
  <c r="AI846" i="1"/>
  <c r="R847" i="1"/>
  <c r="V847" i="1"/>
  <c r="AI847" i="1"/>
  <c r="R848" i="1"/>
  <c r="V848" i="1"/>
  <c r="AI848" i="1"/>
  <c r="R849" i="1"/>
  <c r="V849" i="1"/>
  <c r="AI849" i="1"/>
  <c r="R850" i="1"/>
  <c r="V850" i="1"/>
  <c r="AI850" i="1"/>
  <c r="R851" i="1"/>
  <c r="V851" i="1"/>
  <c r="AI851" i="1"/>
  <c r="R852" i="1"/>
  <c r="V852" i="1"/>
  <c r="AI852" i="1"/>
  <c r="R853" i="1"/>
  <c r="V853" i="1"/>
  <c r="AI853" i="1"/>
  <c r="R854" i="1"/>
  <c r="V854" i="1"/>
  <c r="AI854" i="1"/>
  <c r="R855" i="1"/>
  <c r="V855" i="1"/>
  <c r="AI855" i="1"/>
  <c r="R856" i="1"/>
  <c r="V856" i="1"/>
  <c r="AI856" i="1"/>
  <c r="R857" i="1"/>
  <c r="V857" i="1"/>
  <c r="AI857" i="1"/>
  <c r="R858" i="1"/>
  <c r="V858" i="1"/>
  <c r="AI858" i="1"/>
  <c r="R859" i="1"/>
  <c r="V859" i="1"/>
  <c r="AI859" i="1"/>
  <c r="R860" i="1"/>
  <c r="V860" i="1"/>
  <c r="AI860" i="1"/>
  <c r="R861" i="1"/>
  <c r="V861" i="1"/>
  <c r="AI861" i="1"/>
  <c r="R862" i="1"/>
  <c r="V862" i="1"/>
  <c r="AI862" i="1"/>
  <c r="R863" i="1"/>
  <c r="V863" i="1"/>
  <c r="AI863" i="1"/>
  <c r="R864" i="1"/>
  <c r="V864" i="1"/>
  <c r="AI864" i="1"/>
  <c r="R865" i="1"/>
  <c r="V865" i="1"/>
  <c r="AI865" i="1"/>
  <c r="R866" i="1"/>
  <c r="V866" i="1"/>
  <c r="AI866" i="1"/>
  <c r="R867" i="1"/>
  <c r="V867" i="1"/>
  <c r="AI867" i="1"/>
  <c r="R868" i="1"/>
  <c r="V868" i="1"/>
  <c r="AI868" i="1"/>
  <c r="R869" i="1"/>
  <c r="V869" i="1"/>
  <c r="AI869" i="1"/>
  <c r="R870" i="1"/>
  <c r="V870" i="1"/>
  <c r="AI870" i="1"/>
  <c r="R871" i="1"/>
  <c r="V871" i="1"/>
  <c r="AI871" i="1"/>
  <c r="R872" i="1"/>
  <c r="V872" i="1"/>
  <c r="AI872" i="1"/>
  <c r="R873" i="1"/>
  <c r="V873" i="1"/>
  <c r="AI873" i="1"/>
  <c r="R874" i="1"/>
  <c r="V874" i="1"/>
  <c r="AI874" i="1"/>
  <c r="R875" i="1"/>
  <c r="V875" i="1"/>
  <c r="AI875" i="1"/>
  <c r="R876" i="1"/>
  <c r="V876" i="1"/>
  <c r="AI876" i="1"/>
  <c r="R877" i="1"/>
  <c r="V877" i="1"/>
  <c r="AI877" i="1"/>
  <c r="R878" i="1"/>
  <c r="V878" i="1"/>
  <c r="AI878" i="1"/>
  <c r="R879" i="1"/>
  <c r="V879" i="1"/>
  <c r="AI879" i="1"/>
  <c r="R880" i="1"/>
  <c r="V880" i="1"/>
  <c r="AI880" i="1"/>
  <c r="R881" i="1"/>
  <c r="V881" i="1"/>
  <c r="AI881" i="1"/>
  <c r="R882" i="1"/>
  <c r="V882" i="1"/>
  <c r="AI882" i="1"/>
  <c r="R883" i="1"/>
  <c r="V883" i="1"/>
  <c r="AI883" i="1"/>
  <c r="R884" i="1"/>
  <c r="V884" i="1"/>
  <c r="AI884" i="1"/>
  <c r="R885" i="1"/>
  <c r="V885" i="1"/>
  <c r="AI885" i="1"/>
  <c r="R886" i="1"/>
  <c r="V886" i="1"/>
  <c r="AI886" i="1"/>
  <c r="R887" i="1"/>
  <c r="V887" i="1"/>
  <c r="AI887" i="1"/>
  <c r="R888" i="1"/>
  <c r="V888" i="1"/>
  <c r="AI888" i="1"/>
  <c r="R889" i="1"/>
  <c r="V889" i="1"/>
  <c r="AI889" i="1"/>
  <c r="R890" i="1"/>
  <c r="V890" i="1"/>
  <c r="AI890" i="1"/>
  <c r="R891" i="1"/>
  <c r="V891" i="1"/>
  <c r="AI891" i="1"/>
  <c r="R892" i="1"/>
  <c r="V892" i="1"/>
  <c r="AI892" i="1"/>
  <c r="R893" i="1"/>
  <c r="V893" i="1"/>
  <c r="AI893" i="1"/>
  <c r="R894" i="1"/>
  <c r="V894" i="1"/>
  <c r="AI894" i="1"/>
  <c r="R895" i="1"/>
  <c r="V895" i="1"/>
  <c r="AI895" i="1"/>
  <c r="R896" i="1"/>
  <c r="V896" i="1"/>
  <c r="AI896" i="1"/>
  <c r="R897" i="1"/>
  <c r="V897" i="1"/>
  <c r="AI897" i="1"/>
  <c r="R898" i="1"/>
  <c r="V898" i="1"/>
  <c r="AI898" i="1"/>
  <c r="R899" i="1"/>
  <c r="V899" i="1"/>
  <c r="AI899" i="1"/>
  <c r="R900" i="1"/>
  <c r="V900" i="1"/>
  <c r="AI900" i="1"/>
  <c r="R901" i="1"/>
  <c r="V901" i="1"/>
  <c r="AI901" i="1"/>
  <c r="R902" i="1"/>
  <c r="V902" i="1"/>
  <c r="AI902" i="1"/>
  <c r="R903" i="1"/>
  <c r="V903" i="1"/>
  <c r="AI903" i="1"/>
  <c r="R904" i="1"/>
  <c r="V904" i="1"/>
  <c r="AI904" i="1"/>
  <c r="R905" i="1"/>
  <c r="V905" i="1"/>
  <c r="AI905" i="1"/>
  <c r="R906" i="1"/>
  <c r="V906" i="1"/>
  <c r="AI906" i="1"/>
  <c r="R907" i="1"/>
  <c r="V907" i="1"/>
  <c r="AI907" i="1"/>
  <c r="R908" i="1"/>
  <c r="V908" i="1"/>
  <c r="AI908" i="1"/>
  <c r="R909" i="1"/>
  <c r="V909" i="1"/>
  <c r="AI909" i="1"/>
  <c r="R910" i="1"/>
  <c r="V910" i="1"/>
  <c r="AI910" i="1"/>
  <c r="R911" i="1"/>
  <c r="V911" i="1"/>
  <c r="AI911" i="1"/>
  <c r="R912" i="1"/>
  <c r="V912" i="1"/>
  <c r="AI912" i="1"/>
  <c r="R913" i="1"/>
  <c r="V913" i="1"/>
  <c r="AI913" i="1"/>
  <c r="R914" i="1"/>
  <c r="V914" i="1"/>
  <c r="AI914" i="1"/>
  <c r="R915" i="1"/>
  <c r="V915" i="1"/>
  <c r="AI915" i="1"/>
  <c r="R916" i="1"/>
  <c r="V916" i="1"/>
  <c r="AI916" i="1"/>
  <c r="R917" i="1"/>
  <c r="V917" i="1"/>
  <c r="AI917" i="1"/>
  <c r="R918" i="1"/>
  <c r="V918" i="1"/>
  <c r="AI918" i="1"/>
  <c r="R919" i="1"/>
  <c r="V919" i="1"/>
  <c r="AI919" i="1"/>
  <c r="R920" i="1"/>
  <c r="V920" i="1"/>
  <c r="AI920" i="1"/>
  <c r="R921" i="1"/>
  <c r="V921" i="1"/>
  <c r="AI921" i="1"/>
  <c r="R922" i="1"/>
  <c r="V922" i="1"/>
  <c r="AI922" i="1"/>
  <c r="R923" i="1"/>
  <c r="V923" i="1"/>
  <c r="AI923" i="1"/>
  <c r="R924" i="1"/>
  <c r="V924" i="1"/>
  <c r="AI924" i="1"/>
  <c r="R925" i="1"/>
  <c r="V925" i="1"/>
  <c r="AI925" i="1"/>
  <c r="R926" i="1"/>
  <c r="V926" i="1"/>
  <c r="AI926" i="1"/>
  <c r="R927" i="1"/>
  <c r="V927" i="1"/>
  <c r="AI927" i="1"/>
  <c r="R928" i="1"/>
  <c r="V928" i="1"/>
  <c r="AI928" i="1"/>
  <c r="R929" i="1"/>
  <c r="V929" i="1"/>
  <c r="AI929" i="1"/>
  <c r="R930" i="1"/>
  <c r="V930" i="1"/>
  <c r="AI930" i="1"/>
  <c r="R931" i="1"/>
  <c r="V931" i="1"/>
  <c r="AI931" i="1"/>
  <c r="R932" i="1"/>
  <c r="V932" i="1"/>
  <c r="AI932" i="1"/>
  <c r="R933" i="1"/>
  <c r="V933" i="1"/>
  <c r="AI933" i="1"/>
  <c r="R934" i="1"/>
  <c r="V934" i="1"/>
  <c r="AI934" i="1"/>
  <c r="R935" i="1"/>
  <c r="V935" i="1"/>
  <c r="AI935" i="1"/>
  <c r="R936" i="1"/>
  <c r="V936" i="1"/>
  <c r="AI936" i="1"/>
  <c r="R937" i="1"/>
  <c r="V937" i="1"/>
  <c r="AI937" i="1"/>
  <c r="R938" i="1"/>
  <c r="V938" i="1"/>
  <c r="AI938" i="1"/>
  <c r="R939" i="1"/>
  <c r="V939" i="1"/>
  <c r="AI939" i="1"/>
  <c r="R940" i="1"/>
  <c r="V940" i="1"/>
  <c r="AI940" i="1"/>
  <c r="R941" i="1"/>
  <c r="V941" i="1"/>
  <c r="AI941" i="1"/>
  <c r="R942" i="1"/>
  <c r="V942" i="1"/>
  <c r="AI942" i="1"/>
  <c r="R943" i="1"/>
  <c r="V943" i="1"/>
  <c r="AI943" i="1"/>
  <c r="R944" i="1"/>
  <c r="V944" i="1"/>
  <c r="AI944" i="1"/>
  <c r="R945" i="1"/>
  <c r="V945" i="1"/>
  <c r="AI945" i="1"/>
  <c r="R946" i="1"/>
  <c r="V946" i="1"/>
  <c r="AI946" i="1"/>
  <c r="R947" i="1"/>
  <c r="V947" i="1"/>
  <c r="AI947" i="1"/>
  <c r="R948" i="1"/>
  <c r="V948" i="1"/>
  <c r="AI948" i="1"/>
  <c r="R949" i="1"/>
  <c r="V949" i="1"/>
  <c r="AI949" i="1"/>
  <c r="R950" i="1"/>
  <c r="V950" i="1"/>
  <c r="AI950" i="1"/>
  <c r="R951" i="1"/>
  <c r="V951" i="1"/>
  <c r="AI951" i="1"/>
  <c r="R952" i="1"/>
  <c r="V952" i="1"/>
  <c r="AI952" i="1"/>
  <c r="R953" i="1"/>
  <c r="V953" i="1"/>
  <c r="AI953" i="1"/>
  <c r="R954" i="1"/>
  <c r="V954" i="1"/>
  <c r="AI954" i="1"/>
  <c r="R955" i="1"/>
  <c r="V955" i="1"/>
  <c r="AI955" i="1"/>
  <c r="R956" i="1"/>
  <c r="V956" i="1"/>
  <c r="AI956" i="1"/>
  <c r="R957" i="1"/>
  <c r="V957" i="1"/>
  <c r="AI957" i="1"/>
  <c r="R958" i="1"/>
  <c r="V958" i="1"/>
  <c r="AI958" i="1"/>
  <c r="R959" i="1"/>
  <c r="V959" i="1"/>
  <c r="AI959" i="1"/>
  <c r="R960" i="1"/>
  <c r="V960" i="1"/>
  <c r="AI960" i="1"/>
  <c r="R961" i="1"/>
  <c r="V961" i="1"/>
  <c r="AI961" i="1"/>
  <c r="R962" i="1"/>
  <c r="V962" i="1"/>
  <c r="AI962" i="1"/>
  <c r="R963" i="1"/>
  <c r="V963" i="1"/>
  <c r="AI963" i="1"/>
  <c r="R964" i="1"/>
  <c r="V964" i="1"/>
  <c r="AI964" i="1"/>
  <c r="R965" i="1"/>
  <c r="V965" i="1"/>
  <c r="AI965" i="1"/>
  <c r="R966" i="1"/>
  <c r="V966" i="1"/>
  <c r="AI966" i="1"/>
  <c r="R967" i="1"/>
  <c r="V967" i="1"/>
  <c r="AI967" i="1"/>
  <c r="R968" i="1"/>
  <c r="V968" i="1"/>
  <c r="AI968" i="1"/>
  <c r="R969" i="1"/>
  <c r="V969" i="1"/>
  <c r="AI969" i="1"/>
  <c r="R970" i="1"/>
  <c r="V970" i="1"/>
  <c r="AI970" i="1"/>
  <c r="R971" i="1"/>
  <c r="V971" i="1"/>
  <c r="AI971" i="1"/>
  <c r="R972" i="1"/>
  <c r="V972" i="1"/>
  <c r="AI972" i="1"/>
  <c r="R973" i="1"/>
  <c r="V973" i="1"/>
  <c r="AI973" i="1"/>
  <c r="R974" i="1"/>
  <c r="V974" i="1"/>
  <c r="AI974" i="1"/>
  <c r="R975" i="1"/>
  <c r="V975" i="1"/>
  <c r="AI975" i="1"/>
  <c r="R976" i="1"/>
  <c r="V976" i="1"/>
  <c r="AI976" i="1"/>
  <c r="R977" i="1"/>
  <c r="V977" i="1"/>
  <c r="AI977" i="1"/>
  <c r="R978" i="1"/>
  <c r="V978" i="1"/>
  <c r="AI978" i="1"/>
  <c r="R979" i="1"/>
  <c r="V979" i="1"/>
  <c r="AI979" i="1"/>
  <c r="R980" i="1"/>
  <c r="V980" i="1"/>
  <c r="AI980" i="1"/>
  <c r="R981" i="1"/>
  <c r="V981" i="1"/>
  <c r="AI981" i="1"/>
  <c r="R982" i="1"/>
  <c r="V982" i="1"/>
  <c r="AI982" i="1"/>
  <c r="R983" i="1"/>
  <c r="V983" i="1"/>
  <c r="AI983" i="1"/>
  <c r="R984" i="1"/>
  <c r="V984" i="1"/>
  <c r="AI984" i="1"/>
  <c r="R985" i="1"/>
  <c r="V985" i="1"/>
  <c r="AI985" i="1"/>
  <c r="R986" i="1"/>
  <c r="V986" i="1"/>
  <c r="AI986" i="1"/>
  <c r="R987" i="1"/>
  <c r="V987" i="1"/>
  <c r="AI987" i="1"/>
  <c r="R988" i="1"/>
  <c r="V988" i="1"/>
  <c r="AI988" i="1"/>
  <c r="R989" i="1"/>
  <c r="V989" i="1"/>
  <c r="AI989" i="1"/>
  <c r="R990" i="1"/>
  <c r="V990" i="1"/>
  <c r="AI990" i="1"/>
  <c r="R991" i="1"/>
  <c r="V991" i="1"/>
  <c r="AI991" i="1"/>
  <c r="R992" i="1"/>
  <c r="V992" i="1"/>
  <c r="AI992" i="1"/>
  <c r="R993" i="1"/>
  <c r="V993" i="1"/>
  <c r="AI993" i="1"/>
  <c r="R994" i="1"/>
  <c r="V994" i="1"/>
  <c r="AI994" i="1"/>
  <c r="R995" i="1"/>
  <c r="V995" i="1"/>
  <c r="AI995" i="1"/>
  <c r="R996" i="1"/>
  <c r="V996" i="1"/>
  <c r="AI996" i="1"/>
  <c r="R997" i="1"/>
  <c r="V997" i="1"/>
  <c r="AI997" i="1"/>
  <c r="R998" i="1"/>
  <c r="V998" i="1"/>
  <c r="AI998" i="1"/>
  <c r="R999" i="1"/>
  <c r="V999" i="1"/>
  <c r="AI999" i="1"/>
  <c r="R1000" i="1"/>
  <c r="V1000" i="1"/>
  <c r="AI1000" i="1"/>
  <c r="R1001" i="1"/>
  <c r="V1001" i="1"/>
  <c r="AI1001" i="1"/>
  <c r="R1002" i="1"/>
  <c r="V1002" i="1"/>
  <c r="AI1002" i="1"/>
  <c r="R1003" i="1"/>
  <c r="V1003" i="1"/>
  <c r="AI1003" i="1"/>
  <c r="R1004" i="1"/>
  <c r="V1004" i="1"/>
  <c r="AI1004" i="1"/>
  <c r="R1005" i="1"/>
  <c r="V1005" i="1"/>
  <c r="AI1005" i="1"/>
  <c r="R1006" i="1"/>
  <c r="V1006" i="1"/>
  <c r="AI1006" i="1"/>
  <c r="R1007" i="1"/>
  <c r="V1007" i="1"/>
  <c r="AI1007" i="1"/>
  <c r="R1008" i="1"/>
  <c r="V1008" i="1"/>
  <c r="AI1008" i="1"/>
  <c r="R1009" i="1"/>
  <c r="V1009" i="1"/>
  <c r="AI1009" i="1"/>
  <c r="R1010" i="1"/>
  <c r="V1010" i="1"/>
  <c r="AI1010" i="1"/>
  <c r="R1011" i="1"/>
  <c r="V1011" i="1"/>
  <c r="AI1011" i="1"/>
  <c r="R1012" i="1"/>
  <c r="V1012" i="1"/>
  <c r="AI1012" i="1"/>
  <c r="R1013" i="1"/>
  <c r="V1013" i="1"/>
  <c r="AI1013" i="1"/>
  <c r="R1014" i="1"/>
  <c r="V1014" i="1"/>
  <c r="AI1014" i="1"/>
  <c r="R1015" i="1"/>
  <c r="V1015" i="1"/>
  <c r="AI1015" i="1"/>
  <c r="R1016" i="1"/>
  <c r="V1016" i="1"/>
  <c r="AI1016" i="1"/>
  <c r="R1017" i="1"/>
  <c r="V1017" i="1"/>
  <c r="AI1017" i="1"/>
  <c r="R1018" i="1"/>
  <c r="V1018" i="1"/>
  <c r="AI1018" i="1"/>
  <c r="R1019" i="1"/>
  <c r="V1019" i="1"/>
  <c r="AI1019" i="1"/>
  <c r="R1020" i="1"/>
  <c r="V1020" i="1"/>
  <c r="AI1020" i="1"/>
  <c r="R1021" i="1"/>
  <c r="V1021" i="1"/>
  <c r="AI1021" i="1"/>
  <c r="R1022" i="1"/>
  <c r="V1022" i="1"/>
  <c r="AI1022" i="1"/>
  <c r="R1023" i="1"/>
  <c r="V1023" i="1"/>
  <c r="AI1023" i="1"/>
  <c r="R1024" i="1"/>
  <c r="V1024" i="1"/>
  <c r="AI1024" i="1"/>
  <c r="R1025" i="1"/>
  <c r="V1025" i="1"/>
  <c r="AI1025" i="1"/>
  <c r="R1026" i="1"/>
  <c r="V1026" i="1"/>
  <c r="AI1026" i="1"/>
  <c r="R1027" i="1"/>
  <c r="V1027" i="1"/>
  <c r="AI1027" i="1"/>
  <c r="R1028" i="1"/>
  <c r="V1028" i="1"/>
  <c r="AI1028" i="1"/>
  <c r="R1029" i="1"/>
  <c r="V1029" i="1"/>
  <c r="AI1029" i="1"/>
  <c r="R1030" i="1"/>
  <c r="V1030" i="1"/>
  <c r="AI1030" i="1"/>
  <c r="R1031" i="1"/>
  <c r="V1031" i="1"/>
  <c r="AI1031" i="1"/>
  <c r="R1032" i="1"/>
  <c r="V1032" i="1"/>
  <c r="AI1032" i="1"/>
  <c r="R1033" i="1"/>
  <c r="V1033" i="1"/>
  <c r="AI1033" i="1"/>
  <c r="R1034" i="1"/>
  <c r="V1034" i="1"/>
  <c r="AI1034" i="1"/>
  <c r="R1035" i="1"/>
  <c r="V1035" i="1"/>
  <c r="AI1035" i="1"/>
  <c r="R1036" i="1"/>
  <c r="V1036" i="1"/>
  <c r="AI1036" i="1"/>
  <c r="R1037" i="1"/>
  <c r="V1037" i="1"/>
  <c r="AI1037" i="1"/>
  <c r="R1038" i="1"/>
  <c r="V1038" i="1"/>
  <c r="AI1038" i="1"/>
  <c r="R1039" i="1"/>
  <c r="V1039" i="1"/>
  <c r="AI1039" i="1"/>
  <c r="R1040" i="1"/>
  <c r="V1040" i="1"/>
  <c r="AI1040" i="1"/>
  <c r="R1041" i="1"/>
  <c r="V1041" i="1"/>
  <c r="AI1041" i="1"/>
  <c r="R1042" i="1"/>
  <c r="V1042" i="1"/>
  <c r="AI1042" i="1"/>
  <c r="R1043" i="1"/>
  <c r="V1043" i="1"/>
  <c r="AI1043" i="1"/>
  <c r="R1044" i="1"/>
  <c r="V1044" i="1"/>
  <c r="AI1044" i="1"/>
  <c r="R1045" i="1"/>
  <c r="V1045" i="1"/>
  <c r="AI1045" i="1"/>
  <c r="R1046" i="1"/>
  <c r="V1046" i="1"/>
  <c r="AI1046" i="1"/>
  <c r="R1047" i="1"/>
  <c r="V1047" i="1"/>
  <c r="AI1047" i="1"/>
  <c r="R1048" i="1"/>
  <c r="V1048" i="1"/>
  <c r="AI1048" i="1"/>
  <c r="R1049" i="1"/>
  <c r="V1049" i="1"/>
  <c r="AI1049" i="1"/>
  <c r="R1050" i="1"/>
  <c r="V1050" i="1"/>
  <c r="AI1050" i="1"/>
  <c r="R1051" i="1"/>
  <c r="V1051" i="1"/>
  <c r="AI1051" i="1"/>
  <c r="R1052" i="1"/>
  <c r="V1052" i="1"/>
  <c r="AI1052" i="1"/>
  <c r="R1053" i="1"/>
  <c r="V1053" i="1"/>
  <c r="AI1053" i="1"/>
  <c r="R1054" i="1"/>
  <c r="V1054" i="1"/>
  <c r="AI1054" i="1"/>
  <c r="R1055" i="1"/>
  <c r="V1055" i="1"/>
  <c r="AI1055" i="1"/>
  <c r="R1056" i="1"/>
  <c r="V1056" i="1"/>
  <c r="AI1056" i="1"/>
  <c r="R1057" i="1"/>
  <c r="V1057" i="1"/>
  <c r="AI1057" i="1"/>
  <c r="R1058" i="1"/>
  <c r="V1058" i="1"/>
  <c r="AI1058" i="1"/>
  <c r="R1059" i="1"/>
  <c r="V1059" i="1"/>
  <c r="AI1059" i="1"/>
  <c r="R1060" i="1"/>
  <c r="V1060" i="1"/>
  <c r="AI1060" i="1"/>
  <c r="R1061" i="1"/>
  <c r="V1061" i="1"/>
  <c r="AI1061" i="1"/>
  <c r="R1062" i="1"/>
  <c r="V1062" i="1"/>
  <c r="AI1062" i="1"/>
  <c r="R1063" i="1"/>
  <c r="V1063" i="1"/>
  <c r="AI1063" i="1"/>
  <c r="R1064" i="1"/>
  <c r="V1064" i="1"/>
  <c r="AI1064" i="1"/>
  <c r="R1065" i="1"/>
  <c r="V1065" i="1"/>
  <c r="AI1065" i="1"/>
  <c r="R1066" i="1"/>
  <c r="V1066" i="1"/>
  <c r="AI1066" i="1"/>
  <c r="R1067" i="1"/>
  <c r="V1067" i="1"/>
  <c r="AI1067" i="1"/>
  <c r="R1068" i="1"/>
  <c r="V1068" i="1"/>
  <c r="AI1068" i="1"/>
  <c r="R1069" i="1"/>
  <c r="V1069" i="1"/>
  <c r="AI1069" i="1"/>
  <c r="R1070" i="1"/>
  <c r="V1070" i="1"/>
  <c r="AI1070" i="1"/>
  <c r="R1071" i="1"/>
  <c r="V1071" i="1"/>
  <c r="AI1071" i="1"/>
  <c r="R1072" i="1"/>
  <c r="V1072" i="1"/>
  <c r="AI1072" i="1"/>
  <c r="R1073" i="1"/>
  <c r="V1073" i="1"/>
  <c r="AI1073" i="1"/>
  <c r="R1074" i="1"/>
  <c r="V1074" i="1"/>
  <c r="AI1074" i="1"/>
  <c r="R1075" i="1"/>
  <c r="V1075" i="1"/>
  <c r="AI1075" i="1"/>
  <c r="R1076" i="1"/>
  <c r="V1076" i="1"/>
  <c r="AI1076" i="1"/>
  <c r="R1077" i="1"/>
  <c r="V1077" i="1"/>
  <c r="AI1077" i="1"/>
  <c r="R1078" i="1"/>
  <c r="V1078" i="1"/>
  <c r="AI1078" i="1"/>
  <c r="R1079" i="1"/>
  <c r="V1079" i="1"/>
  <c r="AI1079" i="1"/>
  <c r="R1080" i="1"/>
  <c r="V1080" i="1"/>
  <c r="AI1080" i="1"/>
  <c r="R1081" i="1"/>
  <c r="V1081" i="1"/>
  <c r="AI1081" i="1"/>
  <c r="R1082" i="1"/>
  <c r="V1082" i="1"/>
  <c r="AI1082" i="1"/>
  <c r="R1083" i="1"/>
  <c r="V1083" i="1"/>
  <c r="AI1083" i="1"/>
  <c r="R1084" i="1"/>
  <c r="V1084" i="1"/>
  <c r="AI1084" i="1"/>
  <c r="R1085" i="1"/>
  <c r="V1085" i="1"/>
  <c r="AI1085" i="1"/>
  <c r="R1086" i="1"/>
  <c r="V1086" i="1"/>
  <c r="AI1086" i="1"/>
  <c r="R1087" i="1"/>
  <c r="V1087" i="1"/>
  <c r="AI1087" i="1"/>
  <c r="R1088" i="1"/>
  <c r="V1088" i="1"/>
  <c r="AI1088" i="1"/>
  <c r="R1089" i="1"/>
  <c r="V1089" i="1"/>
  <c r="AI1089" i="1"/>
  <c r="R1090" i="1"/>
  <c r="V1090" i="1"/>
  <c r="AI1090" i="1"/>
  <c r="R1091" i="1"/>
  <c r="V1091" i="1"/>
  <c r="AI1091" i="1"/>
  <c r="R1092" i="1"/>
  <c r="V1092" i="1"/>
  <c r="AI1092" i="1"/>
  <c r="R1093" i="1"/>
  <c r="V1093" i="1"/>
  <c r="AI1093" i="1"/>
  <c r="R1094" i="1"/>
  <c r="V1094" i="1"/>
  <c r="AI1094" i="1"/>
  <c r="R1095" i="1"/>
  <c r="V1095" i="1"/>
  <c r="AI1095" i="1"/>
  <c r="R1096" i="1"/>
  <c r="V1096" i="1"/>
  <c r="AI1096" i="1"/>
  <c r="R1097" i="1"/>
  <c r="V1097" i="1"/>
  <c r="AI1097" i="1"/>
  <c r="R1098" i="1"/>
  <c r="V1098" i="1"/>
  <c r="AI1098" i="1"/>
  <c r="R1099" i="1"/>
  <c r="V1099" i="1"/>
  <c r="AI1099" i="1"/>
  <c r="R1100" i="1"/>
  <c r="V1100" i="1"/>
  <c r="AI1100" i="1"/>
  <c r="R1101" i="1"/>
  <c r="V1101" i="1"/>
  <c r="AI1101" i="1"/>
  <c r="R1102" i="1"/>
  <c r="V1102" i="1"/>
  <c r="AI1102" i="1"/>
  <c r="R1103" i="1"/>
  <c r="V1103" i="1"/>
  <c r="AI1103" i="1"/>
  <c r="R1104" i="1"/>
  <c r="V1104" i="1"/>
  <c r="AI1104" i="1"/>
  <c r="R1105" i="1"/>
  <c r="V1105" i="1"/>
  <c r="AI1105" i="1"/>
  <c r="R1106" i="1"/>
  <c r="V1106" i="1"/>
  <c r="AI1106" i="1"/>
  <c r="R1107" i="1"/>
  <c r="V1107" i="1"/>
  <c r="AI1107" i="1"/>
  <c r="R1108" i="1"/>
  <c r="V1108" i="1"/>
  <c r="AI1108" i="1"/>
  <c r="R1109" i="1"/>
  <c r="V1109" i="1"/>
  <c r="AI1109" i="1"/>
  <c r="R1110" i="1"/>
  <c r="V1110" i="1"/>
  <c r="AI1110" i="1"/>
  <c r="R1111" i="1"/>
  <c r="V1111" i="1"/>
  <c r="AI1111" i="1"/>
  <c r="R1112" i="1"/>
  <c r="V1112" i="1"/>
  <c r="AI1112" i="1"/>
  <c r="R1113" i="1"/>
  <c r="V1113" i="1"/>
  <c r="AI1113" i="1"/>
  <c r="R1114" i="1"/>
  <c r="V1114" i="1"/>
  <c r="AI1114" i="1"/>
  <c r="R1115" i="1"/>
  <c r="V1115" i="1"/>
  <c r="AI1115" i="1"/>
  <c r="R1116" i="1"/>
  <c r="V1116" i="1"/>
  <c r="AI1116" i="1"/>
  <c r="R1117" i="1"/>
  <c r="V1117" i="1"/>
  <c r="AI1117" i="1"/>
  <c r="R1118" i="1"/>
  <c r="V1118" i="1"/>
  <c r="AI1118" i="1"/>
  <c r="R1119" i="1"/>
  <c r="V1119" i="1"/>
  <c r="AI1119" i="1"/>
  <c r="R1120" i="1"/>
  <c r="V1120" i="1"/>
  <c r="AI1120" i="1"/>
  <c r="R1121" i="1"/>
  <c r="V1121" i="1"/>
  <c r="AI1121" i="1"/>
  <c r="R1122" i="1"/>
  <c r="V1122" i="1"/>
  <c r="AI1122" i="1"/>
  <c r="R1123" i="1"/>
  <c r="V1123" i="1"/>
  <c r="AI1123" i="1"/>
  <c r="R1124" i="1"/>
  <c r="V1124" i="1"/>
  <c r="AI1124" i="1"/>
  <c r="R1125" i="1"/>
  <c r="V1125" i="1"/>
  <c r="AI1125" i="1"/>
  <c r="R1126" i="1"/>
  <c r="V1126" i="1"/>
  <c r="AI1126" i="1"/>
  <c r="R1127" i="1"/>
  <c r="V1127" i="1"/>
  <c r="AI1127" i="1"/>
  <c r="R1128" i="1"/>
  <c r="V1128" i="1"/>
  <c r="AI1128" i="1"/>
  <c r="R1129" i="1"/>
  <c r="V1129" i="1"/>
  <c r="AI1129" i="1"/>
  <c r="R1130" i="1"/>
  <c r="V1130" i="1"/>
  <c r="AI1130" i="1"/>
  <c r="R1131" i="1"/>
  <c r="V1131" i="1"/>
  <c r="AI1131" i="1"/>
  <c r="R1132" i="1"/>
  <c r="V1132" i="1"/>
  <c r="AI1132" i="1"/>
  <c r="R1133" i="1"/>
  <c r="V1133" i="1"/>
  <c r="AI1133" i="1"/>
  <c r="R1134" i="1"/>
  <c r="V1134" i="1"/>
  <c r="AI1134" i="1"/>
  <c r="R1135" i="1"/>
  <c r="V1135" i="1"/>
  <c r="AI1135" i="1"/>
  <c r="R1136" i="1"/>
  <c r="V1136" i="1"/>
  <c r="AI1136" i="1"/>
  <c r="R1137" i="1"/>
  <c r="V1137" i="1"/>
  <c r="AI1137" i="1"/>
  <c r="R1138" i="1"/>
  <c r="V1138" i="1"/>
  <c r="AI1138" i="1"/>
  <c r="R1139" i="1"/>
  <c r="V1139" i="1"/>
  <c r="AI1139" i="1"/>
  <c r="R1140" i="1"/>
  <c r="V1140" i="1"/>
  <c r="AI1140" i="1"/>
  <c r="R1141" i="1"/>
  <c r="V1141" i="1"/>
  <c r="AI1141" i="1"/>
  <c r="R1142" i="1"/>
  <c r="V1142" i="1"/>
  <c r="AI1142" i="1"/>
  <c r="R1143" i="1"/>
  <c r="V1143" i="1"/>
  <c r="AI1143" i="1"/>
  <c r="R1144" i="1"/>
  <c r="V1144" i="1"/>
  <c r="AI1144" i="1"/>
  <c r="R1145" i="1"/>
  <c r="V1145" i="1"/>
  <c r="AI1145" i="1"/>
  <c r="R1146" i="1"/>
  <c r="V1146" i="1"/>
  <c r="AI1146" i="1"/>
  <c r="R1147" i="1"/>
  <c r="V1147" i="1"/>
  <c r="AI1147" i="1"/>
  <c r="R1148" i="1"/>
  <c r="V1148" i="1"/>
  <c r="AI1148" i="1"/>
  <c r="R1149" i="1"/>
  <c r="V1149" i="1"/>
  <c r="AI1149" i="1"/>
  <c r="R1150" i="1"/>
  <c r="V1150" i="1"/>
  <c r="AI1150" i="1"/>
  <c r="R1151" i="1"/>
  <c r="V1151" i="1"/>
  <c r="AI1151" i="1"/>
  <c r="R1152" i="1"/>
  <c r="V1152" i="1"/>
  <c r="AI1152" i="1"/>
  <c r="R1153" i="1"/>
  <c r="V1153" i="1"/>
  <c r="AI1153" i="1"/>
  <c r="R1154" i="1"/>
  <c r="V1154" i="1"/>
  <c r="AI1154" i="1"/>
  <c r="R1155" i="1"/>
  <c r="V1155" i="1"/>
  <c r="AI1155" i="1"/>
  <c r="R1156" i="1"/>
  <c r="V1156" i="1"/>
  <c r="AI1156" i="1"/>
  <c r="R1157" i="1"/>
  <c r="V1157" i="1"/>
  <c r="AI1157" i="1"/>
  <c r="R1158" i="1"/>
  <c r="V1158" i="1"/>
  <c r="AI1158" i="1"/>
  <c r="R1159" i="1"/>
  <c r="V1159" i="1"/>
  <c r="AI1159" i="1"/>
  <c r="R1160" i="1"/>
  <c r="V1160" i="1"/>
  <c r="AI1160" i="1"/>
  <c r="R1161" i="1"/>
  <c r="V1161" i="1"/>
  <c r="AI1161" i="1"/>
  <c r="R1162" i="1"/>
  <c r="V1162" i="1"/>
  <c r="AI1162" i="1"/>
  <c r="R1163" i="1"/>
  <c r="V1163" i="1"/>
  <c r="AI1163" i="1"/>
  <c r="R1164" i="1"/>
  <c r="V1164" i="1"/>
  <c r="AI1164" i="1"/>
  <c r="R1165" i="1"/>
  <c r="V1165" i="1"/>
  <c r="AI1165" i="1"/>
  <c r="R1166" i="1"/>
  <c r="V1166" i="1"/>
  <c r="AI1166" i="1"/>
  <c r="R1167" i="1"/>
  <c r="V1167" i="1"/>
  <c r="AI1167" i="1"/>
  <c r="R1168" i="1"/>
  <c r="V1168" i="1"/>
  <c r="AI1168" i="1"/>
  <c r="R1169" i="1"/>
  <c r="V1169" i="1"/>
  <c r="AI1169" i="1"/>
  <c r="R1170" i="1"/>
  <c r="V1170" i="1"/>
  <c r="AI1170" i="1"/>
  <c r="R1171" i="1"/>
  <c r="V1171" i="1"/>
  <c r="AI1171" i="1"/>
  <c r="R1172" i="1"/>
  <c r="V1172" i="1"/>
  <c r="AI1172" i="1"/>
  <c r="R1173" i="1"/>
  <c r="V1173" i="1"/>
  <c r="AI1173" i="1"/>
  <c r="R1174" i="1"/>
  <c r="V1174" i="1"/>
  <c r="AI1174" i="1"/>
  <c r="R1175" i="1"/>
  <c r="V1175" i="1"/>
  <c r="AI1175" i="1"/>
  <c r="R1176" i="1"/>
  <c r="V1176" i="1"/>
  <c r="AI1176" i="1"/>
  <c r="R1177" i="1"/>
  <c r="V1177" i="1"/>
  <c r="AI1177" i="1"/>
  <c r="R1178" i="1"/>
  <c r="V1178" i="1"/>
  <c r="AI1178" i="1"/>
  <c r="R1179" i="1"/>
  <c r="V1179" i="1"/>
  <c r="AI1179" i="1"/>
  <c r="R1180" i="1"/>
  <c r="V1180" i="1"/>
  <c r="AI1180" i="1"/>
  <c r="R1181" i="1"/>
  <c r="V1181" i="1"/>
  <c r="AI1181" i="1"/>
  <c r="R1182" i="1"/>
  <c r="V1182" i="1"/>
  <c r="AI1182" i="1"/>
  <c r="R1183" i="1"/>
  <c r="V1183" i="1"/>
  <c r="AI1183" i="1"/>
  <c r="R1184" i="1"/>
  <c r="V1184" i="1"/>
  <c r="AI1184" i="1"/>
  <c r="R1185" i="1"/>
  <c r="V1185" i="1"/>
  <c r="AI1185" i="1"/>
  <c r="R1186" i="1"/>
  <c r="V1186" i="1"/>
  <c r="AI1186" i="1"/>
  <c r="R1187" i="1"/>
  <c r="V1187" i="1"/>
  <c r="AI1187" i="1"/>
  <c r="R1188" i="1"/>
  <c r="V1188" i="1"/>
  <c r="AI1188" i="1"/>
  <c r="R1189" i="1"/>
  <c r="V1189" i="1"/>
  <c r="AI1189" i="1"/>
  <c r="R1190" i="1"/>
  <c r="V1190" i="1"/>
  <c r="AI1190" i="1"/>
  <c r="R1191" i="1"/>
  <c r="V1191" i="1"/>
  <c r="AI1191" i="1"/>
  <c r="R1192" i="1"/>
  <c r="V1192" i="1"/>
  <c r="AI1192" i="1"/>
  <c r="R1193" i="1"/>
  <c r="V1193" i="1"/>
  <c r="AI1193" i="1"/>
  <c r="R1194" i="1"/>
  <c r="V1194" i="1"/>
  <c r="AI1194" i="1"/>
  <c r="R1195" i="1"/>
  <c r="V1195" i="1"/>
  <c r="AI1195" i="1"/>
  <c r="R1196" i="1"/>
  <c r="V1196" i="1"/>
  <c r="AI1196" i="1"/>
  <c r="R1197" i="1"/>
  <c r="V1197" i="1"/>
  <c r="AI1197" i="1"/>
  <c r="R1198" i="1"/>
  <c r="V1198" i="1"/>
  <c r="AI1198" i="1"/>
  <c r="R1199" i="1"/>
  <c r="V1199" i="1"/>
  <c r="AI1199" i="1"/>
  <c r="R1200" i="1"/>
  <c r="V1200" i="1"/>
  <c r="AI1200" i="1"/>
  <c r="R1201" i="1"/>
  <c r="V1201" i="1"/>
  <c r="AI1201" i="1"/>
  <c r="R1202" i="1"/>
  <c r="V1202" i="1"/>
  <c r="AI1202" i="1"/>
  <c r="R1203" i="1"/>
  <c r="V1203" i="1"/>
  <c r="AI1203" i="1"/>
  <c r="R1204" i="1"/>
  <c r="V1204" i="1"/>
  <c r="AI1204" i="1"/>
  <c r="R1205" i="1"/>
  <c r="V1205" i="1"/>
  <c r="AI1205" i="1"/>
  <c r="R1206" i="1"/>
  <c r="V1206" i="1"/>
  <c r="AI1206" i="1"/>
  <c r="R1207" i="1"/>
  <c r="V1207" i="1"/>
  <c r="AI1207" i="1"/>
  <c r="R1208" i="1"/>
  <c r="V1208" i="1"/>
  <c r="AI1208" i="1"/>
  <c r="R1209" i="1"/>
  <c r="V1209" i="1"/>
  <c r="AI1209" i="1"/>
  <c r="R1210" i="1"/>
  <c r="V1210" i="1"/>
  <c r="AI1210" i="1"/>
  <c r="R1211" i="1"/>
  <c r="V1211" i="1"/>
  <c r="AI1211" i="1"/>
  <c r="R1212" i="1"/>
  <c r="V1212" i="1"/>
  <c r="AI1212" i="1"/>
  <c r="R1213" i="1"/>
  <c r="V1213" i="1"/>
  <c r="AI1213" i="1"/>
  <c r="R1214" i="1"/>
  <c r="V1214" i="1"/>
  <c r="AI1214" i="1"/>
  <c r="R1215" i="1"/>
  <c r="V1215" i="1"/>
  <c r="AI1215" i="1"/>
  <c r="R1216" i="1"/>
  <c r="V1216" i="1"/>
  <c r="AI1216" i="1"/>
  <c r="R1217" i="1"/>
  <c r="V1217" i="1"/>
  <c r="AI1217" i="1"/>
  <c r="R1218" i="1"/>
  <c r="V1218" i="1"/>
  <c r="AI1218" i="1"/>
  <c r="R1219" i="1"/>
  <c r="V1219" i="1"/>
  <c r="AI1219" i="1"/>
  <c r="R1220" i="1"/>
  <c r="V1220" i="1"/>
  <c r="AI1220" i="1"/>
  <c r="R1221" i="1"/>
  <c r="V1221" i="1"/>
  <c r="AI1221" i="1"/>
  <c r="R1222" i="1"/>
  <c r="V1222" i="1"/>
  <c r="AI1222" i="1"/>
  <c r="R1223" i="1"/>
  <c r="V1223" i="1"/>
  <c r="AI1223" i="1"/>
  <c r="R1224" i="1"/>
  <c r="V1224" i="1"/>
  <c r="AI1224" i="1"/>
  <c r="R1225" i="1"/>
  <c r="V1225" i="1"/>
  <c r="AI1225" i="1"/>
  <c r="R1226" i="1"/>
  <c r="V1226" i="1"/>
  <c r="AI1226" i="1"/>
  <c r="R1227" i="1"/>
  <c r="V1227" i="1"/>
  <c r="AI1227" i="1"/>
  <c r="R1228" i="1"/>
  <c r="V1228" i="1"/>
  <c r="AI1228" i="1"/>
  <c r="R1229" i="1"/>
  <c r="V1229" i="1"/>
  <c r="AI1229" i="1"/>
  <c r="R1230" i="1"/>
  <c r="V1230" i="1"/>
  <c r="AI1230" i="1"/>
  <c r="R1231" i="1"/>
  <c r="V1231" i="1"/>
  <c r="AI1231" i="1"/>
  <c r="R1232" i="1"/>
  <c r="V1232" i="1"/>
  <c r="AI1232" i="1"/>
  <c r="R1233" i="1"/>
  <c r="V1233" i="1"/>
  <c r="AI1233" i="1"/>
  <c r="R1234" i="1"/>
  <c r="V1234" i="1"/>
  <c r="AI1234" i="1"/>
  <c r="R1235" i="1"/>
  <c r="V1235" i="1"/>
  <c r="AI1235" i="1"/>
  <c r="R1236" i="1"/>
  <c r="V1236" i="1"/>
  <c r="AI1236" i="1"/>
  <c r="R1237" i="1"/>
  <c r="V1237" i="1"/>
  <c r="AI1237" i="1"/>
  <c r="R1238" i="1"/>
  <c r="V1238" i="1"/>
  <c r="AI1238" i="1"/>
  <c r="R1239" i="1"/>
  <c r="V1239" i="1"/>
  <c r="AI1239" i="1"/>
  <c r="R1240" i="1"/>
  <c r="V1240" i="1"/>
  <c r="AI1240" i="1"/>
  <c r="R1241" i="1"/>
  <c r="V1241" i="1"/>
  <c r="AI1241" i="1"/>
  <c r="R1242" i="1"/>
  <c r="V1242" i="1"/>
  <c r="AI1242" i="1"/>
  <c r="R1243" i="1"/>
  <c r="V1243" i="1"/>
  <c r="AI1243" i="1"/>
  <c r="R1244" i="1"/>
  <c r="V1244" i="1"/>
  <c r="AI1244" i="1"/>
  <c r="R1245" i="1"/>
  <c r="V1245" i="1"/>
  <c r="AI1245" i="1"/>
  <c r="R1246" i="1"/>
  <c r="V1246" i="1"/>
  <c r="AI1246" i="1"/>
  <c r="R1247" i="1"/>
  <c r="V1247" i="1"/>
  <c r="AI1247" i="1"/>
  <c r="R1248" i="1"/>
  <c r="V1248" i="1"/>
  <c r="AI1248" i="1"/>
  <c r="R1249" i="1"/>
  <c r="V1249" i="1"/>
  <c r="AI1249" i="1"/>
  <c r="R1250" i="1"/>
  <c r="V1250" i="1"/>
  <c r="AI1250" i="1"/>
  <c r="R1251" i="1"/>
  <c r="V1251" i="1"/>
  <c r="AI1251" i="1"/>
  <c r="R1252" i="1"/>
  <c r="V1252" i="1"/>
  <c r="AI1252" i="1"/>
  <c r="R1253" i="1"/>
  <c r="V1253" i="1"/>
  <c r="AI1253" i="1"/>
  <c r="R1254" i="1"/>
  <c r="V1254" i="1"/>
  <c r="AI1254" i="1"/>
  <c r="R1255" i="1"/>
  <c r="V1255" i="1"/>
  <c r="AI1255" i="1"/>
  <c r="R1256" i="1"/>
  <c r="V1256" i="1"/>
  <c r="AI1256" i="1"/>
  <c r="R1257" i="1"/>
  <c r="V1257" i="1"/>
  <c r="AI1257" i="1"/>
  <c r="R1258" i="1"/>
  <c r="V1258" i="1"/>
  <c r="AI1258" i="1"/>
  <c r="R1259" i="1"/>
  <c r="V1259" i="1"/>
  <c r="AI1259" i="1"/>
  <c r="R1260" i="1"/>
  <c r="V1260" i="1"/>
  <c r="AI1260" i="1"/>
  <c r="R1261" i="1"/>
  <c r="V1261" i="1"/>
  <c r="AI1261" i="1"/>
  <c r="R1262" i="1"/>
  <c r="V1262" i="1"/>
  <c r="AI1262" i="1"/>
  <c r="R1263" i="1"/>
  <c r="V1263" i="1"/>
  <c r="AI1263" i="1"/>
  <c r="R1264" i="1"/>
  <c r="V1264" i="1"/>
  <c r="AI1264" i="1"/>
  <c r="R1265" i="1"/>
  <c r="V1265" i="1"/>
  <c r="AI1265" i="1"/>
  <c r="R1266" i="1"/>
  <c r="V1266" i="1"/>
  <c r="AI1266" i="1"/>
  <c r="R1267" i="1"/>
  <c r="V1267" i="1"/>
  <c r="AI1267" i="1"/>
  <c r="R1268" i="1"/>
  <c r="V1268" i="1"/>
  <c r="AI1268" i="1"/>
  <c r="R1269" i="1"/>
  <c r="V1269" i="1"/>
  <c r="AI1269" i="1"/>
  <c r="R1270" i="1"/>
  <c r="V1270" i="1"/>
  <c r="AI1270" i="1"/>
  <c r="R1271" i="1"/>
  <c r="V1271" i="1"/>
  <c r="AI1271" i="1"/>
  <c r="R1272" i="1"/>
  <c r="V1272" i="1"/>
  <c r="AI1272" i="1"/>
  <c r="R1273" i="1"/>
  <c r="V1273" i="1"/>
  <c r="AI1273" i="1"/>
  <c r="R1274" i="1"/>
  <c r="V1274" i="1"/>
  <c r="AI1274" i="1"/>
  <c r="R1275" i="1"/>
  <c r="V1275" i="1"/>
  <c r="AI1275" i="1"/>
  <c r="R1276" i="1"/>
  <c r="V1276" i="1"/>
  <c r="AI1276" i="1"/>
  <c r="R1277" i="1"/>
  <c r="V1277" i="1"/>
  <c r="AI1277" i="1"/>
  <c r="R1278" i="1"/>
  <c r="V1278" i="1"/>
  <c r="AI1278" i="1"/>
  <c r="R1279" i="1"/>
  <c r="V1279" i="1"/>
  <c r="AI1279" i="1"/>
  <c r="R1280" i="1"/>
  <c r="V1280" i="1"/>
  <c r="AI1280" i="1"/>
  <c r="R1281" i="1"/>
  <c r="V1281" i="1"/>
  <c r="AI1281" i="1"/>
  <c r="R1282" i="1"/>
  <c r="V1282" i="1"/>
  <c r="AI1282" i="1"/>
  <c r="R1283" i="1"/>
  <c r="V1283" i="1"/>
  <c r="AI1283" i="1"/>
  <c r="R1284" i="1"/>
  <c r="V1284" i="1"/>
  <c r="AI1284" i="1"/>
  <c r="R1285" i="1"/>
  <c r="V1285" i="1"/>
  <c r="AI1285" i="1"/>
  <c r="R1286" i="1"/>
  <c r="V1286" i="1"/>
  <c r="AI1286" i="1"/>
  <c r="R1287" i="1"/>
  <c r="V1287" i="1"/>
  <c r="AI1287" i="1"/>
  <c r="R1288" i="1"/>
  <c r="V1288" i="1"/>
  <c r="AI1288" i="1"/>
  <c r="R1289" i="1"/>
  <c r="V1289" i="1"/>
  <c r="AI1289" i="1"/>
  <c r="R1290" i="1"/>
  <c r="V1290" i="1"/>
  <c r="AI1290" i="1"/>
  <c r="R1291" i="1"/>
  <c r="V1291" i="1"/>
  <c r="AI1291" i="1"/>
  <c r="R1292" i="1"/>
  <c r="V1292" i="1"/>
  <c r="AI1292" i="1"/>
  <c r="R1293" i="1"/>
  <c r="V1293" i="1"/>
  <c r="AI1293" i="1"/>
  <c r="R1294" i="1"/>
  <c r="V1294" i="1"/>
  <c r="AI1294" i="1"/>
  <c r="R1295" i="1"/>
  <c r="V1295" i="1"/>
  <c r="AI1295" i="1"/>
  <c r="R1296" i="1"/>
  <c r="V1296" i="1"/>
  <c r="AI1296" i="1"/>
  <c r="R1297" i="1"/>
  <c r="V1297" i="1"/>
  <c r="AI1297" i="1"/>
  <c r="R1298" i="1"/>
  <c r="V1298" i="1"/>
  <c r="AI1298" i="1"/>
  <c r="R1299" i="1"/>
  <c r="V1299" i="1"/>
  <c r="AI1299" i="1"/>
  <c r="R1300" i="1"/>
  <c r="V1300" i="1"/>
  <c r="AI1300" i="1"/>
  <c r="R1301" i="1"/>
  <c r="V1301" i="1"/>
  <c r="AI1301" i="1"/>
  <c r="R1302" i="1"/>
  <c r="V1302" i="1"/>
  <c r="AI1302" i="1"/>
  <c r="R1303" i="1"/>
  <c r="V1303" i="1"/>
  <c r="AI1303" i="1"/>
  <c r="R1304" i="1"/>
  <c r="V1304" i="1"/>
  <c r="AI1304" i="1"/>
  <c r="R1305" i="1"/>
  <c r="V1305" i="1"/>
  <c r="AI1305" i="1"/>
  <c r="R1306" i="1"/>
  <c r="V1306" i="1"/>
  <c r="AI1306" i="1"/>
  <c r="R1307" i="1"/>
  <c r="V1307" i="1"/>
  <c r="AI1307" i="1"/>
  <c r="R1308" i="1"/>
  <c r="V1308" i="1"/>
  <c r="AI1308" i="1"/>
  <c r="R1309" i="1"/>
  <c r="V1309" i="1"/>
  <c r="AI1309" i="1"/>
  <c r="R1310" i="1"/>
  <c r="V1310" i="1"/>
  <c r="AI1310" i="1"/>
  <c r="R1311" i="1"/>
  <c r="V1311" i="1"/>
  <c r="AI1311" i="1"/>
  <c r="R1312" i="1"/>
  <c r="V1312" i="1"/>
  <c r="AI1312" i="1"/>
  <c r="R1313" i="1"/>
  <c r="V1313" i="1"/>
  <c r="AI1313" i="1"/>
  <c r="R1314" i="1"/>
  <c r="V1314" i="1"/>
  <c r="AI1314" i="1"/>
  <c r="R1315" i="1"/>
  <c r="V1315" i="1"/>
  <c r="AI1315" i="1"/>
  <c r="R1316" i="1"/>
  <c r="V1316" i="1"/>
  <c r="AI1316" i="1"/>
  <c r="R1317" i="1"/>
  <c r="V1317" i="1"/>
  <c r="AI1317" i="1"/>
  <c r="R1318" i="1"/>
  <c r="V1318" i="1"/>
  <c r="AI1318" i="1"/>
  <c r="R1319" i="1"/>
  <c r="V1319" i="1"/>
  <c r="AI1319" i="1"/>
  <c r="R1320" i="1"/>
  <c r="V1320" i="1"/>
  <c r="AI1320" i="1"/>
  <c r="R1321" i="1"/>
  <c r="V1321" i="1"/>
  <c r="AI1321" i="1"/>
  <c r="R1322" i="1"/>
  <c r="V1322" i="1"/>
  <c r="AI1322" i="1"/>
  <c r="R1323" i="1"/>
  <c r="V1323" i="1"/>
  <c r="AI1323" i="1"/>
  <c r="R1324" i="1"/>
  <c r="V1324" i="1"/>
  <c r="AI1324" i="1"/>
  <c r="R1325" i="1"/>
  <c r="V1325" i="1"/>
  <c r="AI1325" i="1"/>
  <c r="R1326" i="1"/>
  <c r="V1326" i="1"/>
  <c r="AI1326" i="1"/>
  <c r="R1327" i="1"/>
  <c r="V1327" i="1"/>
  <c r="AI1327" i="1"/>
  <c r="R1328" i="1"/>
  <c r="V1328" i="1"/>
  <c r="AI1328" i="1"/>
  <c r="R1329" i="1"/>
  <c r="V1329" i="1"/>
  <c r="AI1329" i="1"/>
  <c r="R1330" i="1"/>
  <c r="V1330" i="1"/>
  <c r="AI1330" i="1"/>
  <c r="R1331" i="1"/>
  <c r="V1331" i="1"/>
  <c r="AI1331" i="1"/>
  <c r="R1332" i="1"/>
  <c r="V1332" i="1"/>
  <c r="AI1332" i="1"/>
  <c r="R1333" i="1"/>
  <c r="V1333" i="1"/>
  <c r="AI1333" i="1"/>
  <c r="R1334" i="1"/>
  <c r="V1334" i="1"/>
  <c r="AI1334" i="1"/>
  <c r="R1335" i="1"/>
  <c r="V1335" i="1"/>
  <c r="AI1335" i="1"/>
  <c r="R1336" i="1"/>
  <c r="V1336" i="1"/>
  <c r="AI1336" i="1"/>
  <c r="R1337" i="1"/>
  <c r="V1337" i="1"/>
  <c r="AI1337" i="1"/>
  <c r="R1338" i="1"/>
  <c r="V1338" i="1"/>
  <c r="AI1338" i="1"/>
  <c r="R1339" i="1"/>
  <c r="V1339" i="1"/>
  <c r="AI1339" i="1"/>
  <c r="R1340" i="1"/>
  <c r="V1340" i="1"/>
  <c r="AI1340" i="1"/>
  <c r="R1341" i="1"/>
  <c r="V1341" i="1"/>
  <c r="AI1341" i="1"/>
  <c r="R1342" i="1"/>
  <c r="V1342" i="1"/>
  <c r="AI1342" i="1"/>
  <c r="R1343" i="1"/>
  <c r="V1343" i="1"/>
  <c r="AI1343" i="1"/>
  <c r="R1344" i="1"/>
  <c r="V1344" i="1"/>
  <c r="AI1344" i="1"/>
  <c r="R1345" i="1"/>
  <c r="V1345" i="1"/>
  <c r="AI1345" i="1"/>
  <c r="R1346" i="1"/>
  <c r="V1346" i="1"/>
  <c r="AI1346" i="1"/>
  <c r="R1347" i="1"/>
  <c r="V1347" i="1"/>
  <c r="AI1347" i="1"/>
  <c r="R1348" i="1"/>
  <c r="V1348" i="1"/>
  <c r="AI1348" i="1"/>
  <c r="R1349" i="1"/>
  <c r="V1349" i="1"/>
  <c r="AI1349" i="1"/>
  <c r="R1350" i="1"/>
  <c r="V1350" i="1"/>
  <c r="AI1350" i="1"/>
  <c r="R1351" i="1"/>
  <c r="V1351" i="1"/>
  <c r="AI1351" i="1"/>
  <c r="R1352" i="1"/>
  <c r="V1352" i="1"/>
  <c r="AI1352" i="1"/>
  <c r="R1353" i="1"/>
  <c r="V1353" i="1"/>
  <c r="AI1353" i="1"/>
  <c r="R1354" i="1"/>
  <c r="V1354" i="1"/>
  <c r="AI1354" i="1"/>
  <c r="R1355" i="1"/>
  <c r="V1355" i="1"/>
  <c r="AI1355" i="1"/>
  <c r="R1356" i="1"/>
  <c r="V1356" i="1"/>
  <c r="AI1356" i="1"/>
  <c r="R1357" i="1"/>
  <c r="V1357" i="1"/>
  <c r="AI1357" i="1"/>
  <c r="R1358" i="1"/>
  <c r="V1358" i="1"/>
  <c r="AI1358" i="1"/>
  <c r="R1359" i="1"/>
  <c r="V1359" i="1"/>
  <c r="AI1359" i="1"/>
  <c r="R1360" i="1"/>
  <c r="V1360" i="1"/>
  <c r="AI1360" i="1"/>
  <c r="R1361" i="1"/>
  <c r="V1361" i="1"/>
  <c r="AI1361" i="1"/>
  <c r="R1362" i="1"/>
  <c r="V1362" i="1"/>
  <c r="AI1362" i="1"/>
  <c r="R1363" i="1"/>
  <c r="V1363" i="1"/>
  <c r="AI1363" i="1"/>
  <c r="R1364" i="1"/>
  <c r="V1364" i="1"/>
  <c r="AI1364" i="1"/>
  <c r="R1365" i="1"/>
  <c r="V1365" i="1"/>
  <c r="AI1365" i="1"/>
  <c r="R1366" i="1"/>
  <c r="V1366" i="1"/>
  <c r="AI1366" i="1"/>
  <c r="R1367" i="1"/>
  <c r="V1367" i="1"/>
  <c r="AI1367" i="1"/>
  <c r="R1368" i="1"/>
  <c r="V1368" i="1"/>
  <c r="AI1368" i="1"/>
  <c r="R1369" i="1"/>
  <c r="V1369" i="1"/>
  <c r="AI1369" i="1"/>
  <c r="R1370" i="1"/>
  <c r="V1370" i="1"/>
  <c r="AI1370" i="1"/>
  <c r="R1371" i="1"/>
  <c r="V1371" i="1"/>
  <c r="AI1371" i="1"/>
  <c r="R1372" i="1"/>
  <c r="V1372" i="1"/>
  <c r="AI1372" i="1"/>
  <c r="R1373" i="1"/>
  <c r="V1373" i="1"/>
  <c r="AI1373" i="1"/>
  <c r="R1374" i="1"/>
  <c r="V1374" i="1"/>
  <c r="AI1374" i="1"/>
  <c r="R1375" i="1"/>
  <c r="V1375" i="1"/>
  <c r="AI1375" i="1"/>
  <c r="R1376" i="1"/>
  <c r="V1376" i="1"/>
  <c r="AI1376" i="1"/>
  <c r="R1377" i="1"/>
  <c r="V1377" i="1"/>
  <c r="AI1377" i="1"/>
  <c r="R1378" i="1"/>
  <c r="V1378" i="1"/>
  <c r="AI1378" i="1"/>
  <c r="R1379" i="1"/>
  <c r="V1379" i="1"/>
  <c r="AI1379" i="1"/>
  <c r="R1380" i="1"/>
  <c r="V1380" i="1"/>
  <c r="AI1380" i="1"/>
  <c r="R1381" i="1"/>
  <c r="V1381" i="1"/>
  <c r="AI1381" i="1"/>
  <c r="R1382" i="1"/>
  <c r="V1382" i="1"/>
  <c r="AI1382" i="1"/>
  <c r="R1383" i="1"/>
  <c r="V1383" i="1"/>
  <c r="AI1383" i="1"/>
  <c r="R1384" i="1"/>
  <c r="V1384" i="1"/>
  <c r="AI1384" i="1"/>
  <c r="R1385" i="1"/>
  <c r="V1385" i="1"/>
  <c r="AI1385" i="1"/>
  <c r="R1386" i="1"/>
  <c r="V1386" i="1"/>
  <c r="AI1386" i="1"/>
  <c r="R1387" i="1"/>
  <c r="V1387" i="1"/>
  <c r="AI1387" i="1"/>
  <c r="R1388" i="1"/>
  <c r="V1388" i="1"/>
  <c r="AI1388" i="1"/>
  <c r="R1389" i="1"/>
  <c r="V1389" i="1"/>
  <c r="AI1389" i="1"/>
  <c r="R1390" i="1"/>
  <c r="V1390" i="1"/>
  <c r="AI1390" i="1"/>
  <c r="R1391" i="1"/>
  <c r="V1391" i="1"/>
  <c r="AI1391" i="1"/>
  <c r="R1392" i="1"/>
  <c r="V1392" i="1"/>
  <c r="AI1392" i="1"/>
  <c r="R1393" i="1"/>
  <c r="V1393" i="1"/>
  <c r="AI1393" i="1"/>
  <c r="R1394" i="1"/>
  <c r="V1394" i="1"/>
  <c r="AI1394" i="1"/>
  <c r="R1395" i="1"/>
  <c r="V1395" i="1"/>
  <c r="AI1395" i="1"/>
  <c r="R1396" i="1"/>
  <c r="V1396" i="1"/>
  <c r="AI1396" i="1"/>
  <c r="R1397" i="1"/>
  <c r="V1397" i="1"/>
  <c r="AI1397" i="1"/>
  <c r="R1398" i="1"/>
  <c r="V1398" i="1"/>
  <c r="AI1398" i="1"/>
  <c r="R1399" i="1"/>
  <c r="V1399" i="1"/>
  <c r="AI1399" i="1"/>
  <c r="R1400" i="1"/>
  <c r="V1400" i="1"/>
  <c r="AI1400" i="1"/>
  <c r="R1401" i="1"/>
  <c r="V1401" i="1"/>
  <c r="AI1401" i="1"/>
  <c r="R1402" i="1"/>
  <c r="V1402" i="1"/>
  <c r="AI1402" i="1"/>
  <c r="R1403" i="1"/>
  <c r="V1403" i="1"/>
  <c r="AI1403" i="1"/>
  <c r="R1404" i="1"/>
  <c r="V1404" i="1"/>
  <c r="AI1404" i="1"/>
  <c r="R1405" i="1"/>
  <c r="V1405" i="1"/>
  <c r="AI1405" i="1"/>
  <c r="R1406" i="1"/>
  <c r="V1406" i="1"/>
  <c r="AI1406" i="1"/>
  <c r="R1407" i="1"/>
  <c r="V1407" i="1"/>
  <c r="AI1407" i="1"/>
  <c r="R1408" i="1"/>
  <c r="V1408" i="1"/>
  <c r="AI1408" i="1"/>
  <c r="R1409" i="1"/>
  <c r="V1409" i="1"/>
  <c r="AI1409" i="1"/>
  <c r="R1410" i="1"/>
  <c r="V1410" i="1"/>
  <c r="AI1410" i="1"/>
  <c r="R1411" i="1"/>
  <c r="V1411" i="1"/>
  <c r="AI1411" i="1"/>
  <c r="R1412" i="1"/>
  <c r="V1412" i="1"/>
  <c r="AI1412" i="1"/>
  <c r="R1413" i="1"/>
  <c r="V1413" i="1"/>
  <c r="AI1413" i="1"/>
  <c r="R1414" i="1"/>
  <c r="V1414" i="1"/>
  <c r="AI1414" i="1"/>
  <c r="R1415" i="1"/>
  <c r="V1415" i="1"/>
  <c r="AI1415" i="1"/>
  <c r="R1416" i="1"/>
  <c r="V1416" i="1"/>
  <c r="AI1416" i="1"/>
  <c r="R1417" i="1"/>
  <c r="V1417" i="1"/>
  <c r="AI1417" i="1"/>
  <c r="R1418" i="1"/>
  <c r="V1418" i="1"/>
  <c r="AI1418" i="1"/>
  <c r="R1419" i="1"/>
  <c r="V1419" i="1"/>
  <c r="AI1419" i="1"/>
  <c r="R1420" i="1"/>
  <c r="V1420" i="1"/>
  <c r="AI1420" i="1"/>
  <c r="R1421" i="1"/>
  <c r="V1421" i="1"/>
  <c r="AI1421" i="1"/>
  <c r="R1422" i="1"/>
  <c r="V1422" i="1"/>
  <c r="AI1422" i="1"/>
  <c r="R1423" i="1"/>
  <c r="V1423" i="1"/>
  <c r="AI1423" i="1"/>
  <c r="R1424" i="1"/>
  <c r="V1424" i="1"/>
  <c r="AI1424" i="1"/>
  <c r="R1425" i="1"/>
  <c r="V1425" i="1"/>
  <c r="AI1425" i="1"/>
  <c r="R1426" i="1"/>
  <c r="V1426" i="1"/>
  <c r="AI1426" i="1"/>
  <c r="R1427" i="1"/>
  <c r="V1427" i="1"/>
  <c r="AI1427" i="1"/>
  <c r="R1428" i="1"/>
  <c r="V1428" i="1"/>
  <c r="AI1428" i="1"/>
  <c r="R1429" i="1"/>
  <c r="V1429" i="1"/>
  <c r="AI1429" i="1"/>
  <c r="R1430" i="1"/>
  <c r="V1430" i="1"/>
  <c r="AI1430" i="1"/>
  <c r="R1431" i="1"/>
  <c r="V1431" i="1"/>
  <c r="AI1431" i="1"/>
  <c r="R1432" i="1"/>
  <c r="V1432" i="1"/>
  <c r="AI1432" i="1"/>
  <c r="R1433" i="1"/>
  <c r="V1433" i="1"/>
  <c r="AI1433" i="1"/>
  <c r="R1434" i="1"/>
  <c r="V1434" i="1"/>
  <c r="AI1434" i="1"/>
  <c r="R1435" i="1"/>
  <c r="V1435" i="1"/>
  <c r="AI1435" i="1"/>
  <c r="R1436" i="1"/>
  <c r="V1436" i="1"/>
  <c r="AI1436" i="1"/>
  <c r="R1437" i="1"/>
  <c r="V1437" i="1"/>
  <c r="AI1437" i="1"/>
  <c r="R1438" i="1"/>
  <c r="V1438" i="1"/>
  <c r="AI1438" i="1"/>
  <c r="R1439" i="1"/>
  <c r="V1439" i="1"/>
  <c r="AI1439" i="1"/>
  <c r="R1440" i="1"/>
  <c r="V1440" i="1"/>
  <c r="AI1440" i="1"/>
  <c r="R1441" i="1"/>
  <c r="V1441" i="1"/>
  <c r="AI1441" i="1"/>
  <c r="R1442" i="1"/>
  <c r="V1442" i="1"/>
  <c r="AI1442" i="1"/>
  <c r="R1443" i="1"/>
  <c r="V1443" i="1"/>
  <c r="AI1443" i="1"/>
  <c r="R1444" i="1"/>
  <c r="V1444" i="1"/>
  <c r="AI1444" i="1"/>
  <c r="R1445" i="1"/>
  <c r="V1445" i="1"/>
  <c r="AI1445" i="1"/>
  <c r="R1446" i="1"/>
  <c r="V1446" i="1"/>
  <c r="AI1446" i="1"/>
  <c r="R1447" i="1"/>
  <c r="V1447" i="1"/>
  <c r="AI1447" i="1"/>
  <c r="R1448" i="1"/>
  <c r="V1448" i="1"/>
  <c r="AI1448" i="1"/>
  <c r="R1449" i="1"/>
  <c r="V1449" i="1"/>
  <c r="AI1449" i="1"/>
  <c r="R1450" i="1"/>
  <c r="V1450" i="1"/>
  <c r="AI1450" i="1"/>
  <c r="R1451" i="1"/>
  <c r="V1451" i="1"/>
  <c r="AI1451" i="1"/>
  <c r="R1452" i="1"/>
  <c r="V1452" i="1"/>
  <c r="AI1452" i="1"/>
  <c r="R1453" i="1"/>
  <c r="V1453" i="1"/>
  <c r="AI1453" i="1"/>
  <c r="R1454" i="1"/>
  <c r="V1454" i="1"/>
  <c r="AI1454" i="1"/>
  <c r="R1455" i="1"/>
  <c r="V1455" i="1"/>
  <c r="AI1455" i="1"/>
  <c r="R1456" i="1"/>
  <c r="V1456" i="1"/>
  <c r="AI1456" i="1"/>
  <c r="R1457" i="1"/>
  <c r="V1457" i="1"/>
  <c r="AI1457" i="1"/>
  <c r="R1458" i="1"/>
  <c r="V1458" i="1"/>
  <c r="AI1458" i="1"/>
  <c r="R1459" i="1"/>
  <c r="V1459" i="1"/>
  <c r="AI1459" i="1"/>
  <c r="R1460" i="1"/>
  <c r="V1460" i="1"/>
  <c r="AI1460" i="1"/>
  <c r="R1461" i="1"/>
  <c r="V1461" i="1"/>
  <c r="AI1461" i="1"/>
  <c r="R1462" i="1"/>
  <c r="V1462" i="1"/>
  <c r="AI1462" i="1"/>
  <c r="R1463" i="1"/>
  <c r="V1463" i="1"/>
  <c r="AI1463" i="1"/>
  <c r="R1464" i="1"/>
  <c r="V1464" i="1"/>
  <c r="AI1464" i="1"/>
  <c r="R1465" i="1"/>
  <c r="V1465" i="1"/>
  <c r="AI1465" i="1"/>
  <c r="R1466" i="1"/>
  <c r="V1466" i="1"/>
  <c r="AI1466" i="1"/>
  <c r="R1467" i="1"/>
  <c r="V1467" i="1"/>
  <c r="AI1467" i="1"/>
  <c r="R1468" i="1"/>
  <c r="V1468" i="1"/>
  <c r="AI1468" i="1"/>
  <c r="R1469" i="1"/>
  <c r="V1469" i="1"/>
  <c r="AI1469" i="1"/>
  <c r="R1470" i="1"/>
  <c r="V1470" i="1"/>
  <c r="AI1470" i="1"/>
  <c r="R1471" i="1"/>
  <c r="V1471" i="1"/>
  <c r="AI1471" i="1"/>
  <c r="R1472" i="1"/>
  <c r="V1472" i="1"/>
  <c r="AI1472" i="1"/>
  <c r="R1473" i="1"/>
  <c r="V1473" i="1"/>
  <c r="AI1473" i="1"/>
  <c r="R1474" i="1"/>
  <c r="V1474" i="1"/>
  <c r="AI1474" i="1"/>
  <c r="R1475" i="1"/>
  <c r="V1475" i="1"/>
  <c r="AI1475" i="1"/>
  <c r="R1476" i="1"/>
  <c r="V1476" i="1"/>
  <c r="AI1476" i="1"/>
  <c r="R1477" i="1"/>
  <c r="V1477" i="1"/>
  <c r="AI1477" i="1"/>
  <c r="R1478" i="1"/>
  <c r="V1478" i="1"/>
  <c r="AI1478" i="1"/>
  <c r="R1479" i="1"/>
  <c r="V1479" i="1"/>
  <c r="AI1479" i="1"/>
  <c r="R1480" i="1"/>
  <c r="V1480" i="1"/>
  <c r="AI1480" i="1"/>
  <c r="R1481" i="1"/>
  <c r="V1481" i="1"/>
  <c r="AI1481" i="1"/>
  <c r="R1482" i="1"/>
  <c r="V1482" i="1"/>
  <c r="AI1482" i="1"/>
  <c r="R1483" i="1"/>
  <c r="V1483" i="1"/>
  <c r="AI1483" i="1"/>
  <c r="R1484" i="1"/>
  <c r="V1484" i="1"/>
  <c r="AI1484" i="1"/>
  <c r="R1485" i="1"/>
  <c r="V1485" i="1"/>
  <c r="AI1485" i="1"/>
  <c r="R1486" i="1"/>
  <c r="V1486" i="1"/>
  <c r="AI1486" i="1"/>
  <c r="R1487" i="1"/>
  <c r="V1487" i="1"/>
  <c r="AI1487" i="1"/>
  <c r="R1488" i="1"/>
  <c r="V1488" i="1"/>
  <c r="AI1488" i="1"/>
  <c r="R1489" i="1"/>
  <c r="V1489" i="1"/>
  <c r="AI1489" i="1"/>
  <c r="R1490" i="1"/>
  <c r="V1490" i="1"/>
  <c r="AI1490" i="1"/>
  <c r="R1491" i="1"/>
  <c r="V1491" i="1"/>
  <c r="AI1491" i="1"/>
  <c r="R1492" i="1"/>
  <c r="V1492" i="1"/>
  <c r="AI1492" i="1"/>
  <c r="R1493" i="1"/>
  <c r="V1493" i="1"/>
  <c r="AI1493" i="1"/>
  <c r="R1494" i="1"/>
  <c r="V1494" i="1"/>
  <c r="AI1494" i="1"/>
  <c r="R1495" i="1"/>
  <c r="V1495" i="1"/>
  <c r="AI1495" i="1"/>
  <c r="R1496" i="1"/>
  <c r="V1496" i="1"/>
  <c r="AI1496" i="1"/>
  <c r="R1497" i="1"/>
  <c r="V1497" i="1"/>
  <c r="AI1497" i="1"/>
  <c r="R1498" i="1"/>
  <c r="V1498" i="1"/>
  <c r="AI1498" i="1"/>
  <c r="R1499" i="1"/>
  <c r="V1499" i="1"/>
  <c r="AI1499" i="1"/>
  <c r="R1500" i="1"/>
  <c r="V1500" i="1"/>
  <c r="AI1500" i="1"/>
  <c r="R1501" i="1"/>
  <c r="V1501" i="1"/>
  <c r="AI1501" i="1"/>
  <c r="R1502" i="1"/>
  <c r="V1502" i="1"/>
  <c r="AI1502" i="1"/>
  <c r="R1503" i="1"/>
  <c r="V1503" i="1"/>
  <c r="AI1503" i="1"/>
  <c r="R1504" i="1"/>
  <c r="V1504" i="1"/>
  <c r="AI1504" i="1"/>
  <c r="R1505" i="1"/>
  <c r="V1505" i="1"/>
  <c r="AI1505" i="1"/>
  <c r="R1506" i="1"/>
  <c r="V1506" i="1"/>
  <c r="AI1506" i="1"/>
  <c r="R1507" i="1"/>
  <c r="V1507" i="1"/>
  <c r="AI1507" i="1"/>
  <c r="R1508" i="1"/>
  <c r="V1508" i="1"/>
  <c r="AI1508" i="1"/>
  <c r="R1509" i="1"/>
  <c r="V1509" i="1"/>
  <c r="AI1509" i="1"/>
  <c r="R1510" i="1"/>
  <c r="V1510" i="1"/>
  <c r="AI1510" i="1"/>
  <c r="R1511" i="1"/>
  <c r="V1511" i="1"/>
  <c r="AI1511" i="1"/>
  <c r="R1512" i="1"/>
  <c r="V1512" i="1"/>
  <c r="AI1512" i="1"/>
  <c r="R1513" i="1"/>
  <c r="V1513" i="1"/>
  <c r="AI1513" i="1"/>
  <c r="R1514" i="1"/>
  <c r="V1514" i="1"/>
  <c r="AI1514" i="1"/>
  <c r="R1515" i="1"/>
  <c r="V1515" i="1"/>
  <c r="AI1515" i="1"/>
  <c r="R1516" i="1"/>
  <c r="V1516" i="1"/>
  <c r="AI1516" i="1"/>
  <c r="R1517" i="1"/>
  <c r="V1517" i="1"/>
  <c r="AI1517" i="1"/>
  <c r="R1518" i="1"/>
  <c r="V1518" i="1"/>
  <c r="AI1518" i="1"/>
  <c r="R1519" i="1"/>
  <c r="V1519" i="1"/>
  <c r="AI1519" i="1"/>
  <c r="R1520" i="1"/>
  <c r="V1520" i="1"/>
  <c r="AI1520" i="1"/>
  <c r="R1521" i="1"/>
  <c r="V1521" i="1"/>
  <c r="AI1521" i="1"/>
  <c r="R1522" i="1"/>
  <c r="V1522" i="1"/>
  <c r="AI1522" i="1"/>
  <c r="R1523" i="1"/>
  <c r="V1523" i="1"/>
  <c r="AI1523" i="1"/>
  <c r="R1524" i="1"/>
  <c r="V1524" i="1"/>
  <c r="AI1524" i="1"/>
  <c r="R1525" i="1"/>
  <c r="V1525" i="1"/>
  <c r="AI1525" i="1"/>
  <c r="R1526" i="1"/>
  <c r="V1526" i="1"/>
  <c r="AI1526" i="1"/>
  <c r="R1527" i="1"/>
  <c r="V1527" i="1"/>
  <c r="AI1527" i="1"/>
  <c r="R1528" i="1"/>
  <c r="V1528" i="1"/>
  <c r="AI1528" i="1"/>
  <c r="R1529" i="1"/>
  <c r="V1529" i="1"/>
  <c r="AI1529" i="1"/>
  <c r="R1530" i="1"/>
  <c r="V1530" i="1"/>
  <c r="AI1530" i="1"/>
  <c r="R1531" i="1"/>
  <c r="V1531" i="1"/>
  <c r="AI1531" i="1"/>
  <c r="R1532" i="1"/>
  <c r="V1532" i="1"/>
  <c r="AI1532" i="1"/>
  <c r="R1533" i="1"/>
  <c r="V1533" i="1"/>
  <c r="AI1533" i="1"/>
  <c r="R1534" i="1"/>
  <c r="V1534" i="1"/>
  <c r="AI1534" i="1"/>
  <c r="R1535" i="1"/>
  <c r="V1535" i="1"/>
  <c r="AI1535" i="1"/>
  <c r="R1536" i="1"/>
  <c r="V1536" i="1"/>
  <c r="AI1536" i="1"/>
  <c r="R1537" i="1"/>
  <c r="V1537" i="1"/>
  <c r="AI1537" i="1"/>
  <c r="R1538" i="1"/>
  <c r="V1538" i="1"/>
  <c r="AI1538" i="1"/>
  <c r="R1539" i="1"/>
  <c r="V1539" i="1"/>
  <c r="AI1539" i="1"/>
  <c r="R1540" i="1"/>
  <c r="V1540" i="1"/>
  <c r="AI1540" i="1"/>
  <c r="R1541" i="1"/>
  <c r="V1541" i="1"/>
  <c r="AI1541" i="1"/>
  <c r="R1542" i="1"/>
  <c r="V1542" i="1"/>
  <c r="AI1542" i="1"/>
  <c r="R1543" i="1"/>
  <c r="V1543" i="1"/>
  <c r="AI1543" i="1"/>
  <c r="R1544" i="1"/>
  <c r="V1544" i="1"/>
  <c r="AI1544" i="1"/>
  <c r="R1545" i="1"/>
  <c r="V1545" i="1"/>
  <c r="AI1545" i="1"/>
  <c r="R1546" i="1"/>
  <c r="V1546" i="1"/>
  <c r="AI1546" i="1"/>
  <c r="R1547" i="1"/>
  <c r="V1547" i="1"/>
  <c r="AI1547" i="1"/>
  <c r="R1548" i="1"/>
  <c r="V1548" i="1"/>
  <c r="AI1548" i="1"/>
  <c r="R1549" i="1"/>
  <c r="V1549" i="1"/>
  <c r="AI1549" i="1"/>
  <c r="R1550" i="1"/>
  <c r="V1550" i="1"/>
  <c r="AI1550" i="1"/>
  <c r="R1551" i="1"/>
  <c r="V1551" i="1"/>
  <c r="AI1551" i="1"/>
  <c r="R1552" i="1"/>
  <c r="V1552" i="1"/>
  <c r="AI1552" i="1"/>
  <c r="R1553" i="1"/>
  <c r="V1553" i="1"/>
  <c r="AI1553" i="1"/>
  <c r="R1554" i="1"/>
  <c r="V1554" i="1"/>
  <c r="AI1554" i="1"/>
  <c r="R1555" i="1"/>
  <c r="V1555" i="1"/>
  <c r="AI1555" i="1"/>
  <c r="R1556" i="1"/>
  <c r="V1556" i="1"/>
  <c r="AI1556" i="1"/>
  <c r="R1557" i="1"/>
  <c r="V1557" i="1"/>
  <c r="AI1557" i="1"/>
  <c r="R1558" i="1"/>
  <c r="V1558" i="1"/>
  <c r="AI1558" i="1"/>
  <c r="R1559" i="1"/>
  <c r="V1559" i="1"/>
  <c r="AI1559" i="1"/>
  <c r="R1560" i="1"/>
  <c r="V1560" i="1"/>
  <c r="AI1560" i="1"/>
  <c r="R1561" i="1"/>
  <c r="V1561" i="1"/>
  <c r="AI1561" i="1"/>
  <c r="R1562" i="1"/>
  <c r="V1562" i="1"/>
  <c r="AI1562" i="1"/>
  <c r="R1563" i="1"/>
  <c r="V1563" i="1"/>
  <c r="AI1563" i="1"/>
  <c r="R1564" i="1"/>
  <c r="V1564" i="1"/>
  <c r="AI1564" i="1"/>
  <c r="R1565" i="1"/>
  <c r="V1565" i="1"/>
  <c r="AI1565" i="1"/>
  <c r="R1566" i="1"/>
  <c r="V1566" i="1"/>
  <c r="AI1566" i="1"/>
  <c r="R1567" i="1"/>
  <c r="V1567" i="1"/>
  <c r="AI1567" i="1"/>
  <c r="R1568" i="1"/>
  <c r="V1568" i="1"/>
  <c r="AI1568" i="1"/>
  <c r="R1569" i="1"/>
  <c r="V1569" i="1"/>
  <c r="AI1569" i="1"/>
  <c r="R1570" i="1"/>
  <c r="V1570" i="1"/>
  <c r="AI1570" i="1"/>
  <c r="R1571" i="1"/>
  <c r="V1571" i="1"/>
  <c r="AI1571" i="1"/>
  <c r="R1572" i="1"/>
  <c r="V1572" i="1"/>
  <c r="AI1572" i="1"/>
  <c r="R1573" i="1"/>
  <c r="V1573" i="1"/>
  <c r="AI1573" i="1"/>
  <c r="R1574" i="1"/>
  <c r="V1574" i="1"/>
  <c r="AI1574" i="1"/>
  <c r="R1575" i="1"/>
  <c r="V1575" i="1"/>
  <c r="AI1575" i="1"/>
  <c r="R1576" i="1"/>
  <c r="V1576" i="1"/>
  <c r="AI1576" i="1"/>
  <c r="R1577" i="1"/>
  <c r="V1577" i="1"/>
  <c r="AI1577" i="1"/>
  <c r="R1578" i="1"/>
  <c r="V1578" i="1"/>
  <c r="AI1578" i="1"/>
  <c r="R1579" i="1"/>
  <c r="V1579" i="1"/>
  <c r="AI1579" i="1"/>
  <c r="R1580" i="1"/>
  <c r="V1580" i="1"/>
  <c r="AI1580" i="1"/>
  <c r="R1581" i="1"/>
  <c r="V1581" i="1"/>
  <c r="AI1581" i="1"/>
  <c r="R1582" i="1"/>
  <c r="V1582" i="1"/>
  <c r="AI1582" i="1"/>
  <c r="R1583" i="1"/>
  <c r="V1583" i="1"/>
  <c r="AI1583" i="1"/>
  <c r="R1584" i="1"/>
  <c r="V1584" i="1"/>
  <c r="AI1584" i="1"/>
  <c r="R1585" i="1"/>
  <c r="V1585" i="1"/>
  <c r="AI1585" i="1"/>
  <c r="R1586" i="1"/>
  <c r="V1586" i="1"/>
  <c r="AI1586" i="1"/>
  <c r="R1587" i="1"/>
  <c r="V1587" i="1"/>
  <c r="AI1587" i="1"/>
  <c r="R1588" i="1"/>
  <c r="V1588" i="1"/>
  <c r="AI1588" i="1"/>
  <c r="R1589" i="1"/>
  <c r="V1589" i="1"/>
  <c r="AI1589" i="1"/>
  <c r="R1590" i="1"/>
  <c r="V1590" i="1"/>
  <c r="AI1590" i="1"/>
  <c r="R1591" i="1"/>
  <c r="V1591" i="1"/>
  <c r="AI1591" i="1"/>
  <c r="R1592" i="1"/>
  <c r="V1592" i="1"/>
  <c r="AI1592" i="1"/>
  <c r="R1593" i="1"/>
  <c r="V1593" i="1"/>
  <c r="AI1593" i="1"/>
  <c r="R1594" i="1"/>
  <c r="V1594" i="1"/>
  <c r="AI1594" i="1"/>
  <c r="R1595" i="1"/>
  <c r="V1595" i="1"/>
  <c r="AI1595" i="1"/>
  <c r="R1596" i="1"/>
  <c r="V1596" i="1"/>
  <c r="AI1596" i="1"/>
  <c r="R1597" i="1"/>
  <c r="V1597" i="1"/>
  <c r="AI1597" i="1"/>
  <c r="R1598" i="1"/>
  <c r="V1598" i="1"/>
  <c r="AI1598" i="1"/>
  <c r="R1599" i="1"/>
  <c r="V1599" i="1"/>
  <c r="AI1599" i="1"/>
  <c r="R1600" i="1"/>
  <c r="V1600" i="1"/>
  <c r="AI1600" i="1"/>
  <c r="R1601" i="1"/>
  <c r="V1601" i="1"/>
  <c r="AI1601" i="1"/>
  <c r="R1602" i="1"/>
  <c r="V1602" i="1"/>
  <c r="AI1602" i="1"/>
  <c r="R1603" i="1"/>
  <c r="V1603" i="1"/>
  <c r="AI1603" i="1"/>
  <c r="R1604" i="1"/>
  <c r="V1604" i="1"/>
  <c r="AI1604" i="1"/>
  <c r="R1605" i="1"/>
  <c r="V1605" i="1"/>
  <c r="AI1605" i="1"/>
  <c r="R1606" i="1"/>
  <c r="V1606" i="1"/>
  <c r="AI1606" i="1"/>
  <c r="R1607" i="1"/>
  <c r="V1607" i="1"/>
  <c r="AI1607" i="1"/>
  <c r="R1608" i="1"/>
  <c r="V1608" i="1"/>
  <c r="AI1608" i="1"/>
  <c r="R1609" i="1"/>
  <c r="V1609" i="1"/>
  <c r="AI1609" i="1"/>
  <c r="R1610" i="1"/>
  <c r="V1610" i="1"/>
  <c r="AI1610" i="1"/>
  <c r="R1611" i="1"/>
  <c r="V1611" i="1"/>
  <c r="AI1611" i="1"/>
  <c r="R1612" i="1"/>
  <c r="V1612" i="1"/>
  <c r="AI1612" i="1"/>
  <c r="R1613" i="1"/>
  <c r="V1613" i="1"/>
  <c r="AI1613" i="1"/>
  <c r="R1614" i="1"/>
  <c r="V1614" i="1"/>
  <c r="AI1614" i="1"/>
  <c r="R1615" i="1"/>
  <c r="V1615" i="1"/>
  <c r="AI1615" i="1"/>
  <c r="R1616" i="1"/>
  <c r="V1616" i="1"/>
  <c r="AI1616" i="1"/>
  <c r="R1617" i="1"/>
  <c r="V1617" i="1"/>
  <c r="AI1617" i="1"/>
  <c r="R1618" i="1"/>
  <c r="V1618" i="1"/>
  <c r="AI1618" i="1"/>
  <c r="R1619" i="1"/>
  <c r="V1619" i="1"/>
  <c r="AI1619" i="1"/>
  <c r="R1620" i="1"/>
  <c r="V1620" i="1"/>
  <c r="AI1620" i="1"/>
  <c r="R1621" i="1"/>
  <c r="V1621" i="1"/>
  <c r="AI1621" i="1"/>
  <c r="R1622" i="1"/>
  <c r="V1622" i="1"/>
  <c r="AI1622" i="1"/>
  <c r="R1623" i="1"/>
  <c r="V1623" i="1"/>
  <c r="AI1623" i="1"/>
  <c r="R1624" i="1"/>
  <c r="V1624" i="1"/>
  <c r="AI1624" i="1"/>
  <c r="R1625" i="1"/>
  <c r="V1625" i="1"/>
  <c r="AI1625" i="1"/>
  <c r="R1626" i="1"/>
  <c r="V1626" i="1"/>
  <c r="AI1626" i="1"/>
  <c r="R1627" i="1"/>
  <c r="V1627" i="1"/>
  <c r="AI1627" i="1"/>
  <c r="R1628" i="1"/>
  <c r="V1628" i="1"/>
  <c r="AI1628" i="1"/>
  <c r="R1629" i="1"/>
  <c r="V1629" i="1"/>
  <c r="AI1629" i="1"/>
  <c r="R1630" i="1"/>
  <c r="V1630" i="1"/>
  <c r="AI1630" i="1"/>
  <c r="R1631" i="1"/>
  <c r="V1631" i="1"/>
  <c r="AI1631" i="1"/>
  <c r="R1632" i="1"/>
  <c r="V1632" i="1"/>
  <c r="AI1632" i="1"/>
  <c r="R1633" i="1"/>
  <c r="V1633" i="1"/>
  <c r="AI1633" i="1"/>
  <c r="R1634" i="1"/>
  <c r="V1634" i="1"/>
  <c r="AI1634" i="1"/>
  <c r="R1635" i="1"/>
  <c r="V1635" i="1"/>
  <c r="AI1635" i="1"/>
  <c r="R1636" i="1"/>
  <c r="V1636" i="1"/>
  <c r="AI1636" i="1"/>
  <c r="R1637" i="1"/>
  <c r="V1637" i="1"/>
  <c r="AI1637" i="1"/>
  <c r="R1638" i="1"/>
  <c r="V1638" i="1"/>
  <c r="AI1638" i="1"/>
  <c r="R1639" i="1"/>
  <c r="V1639" i="1"/>
  <c r="AI1639" i="1"/>
  <c r="R1640" i="1"/>
  <c r="V1640" i="1"/>
  <c r="AI1640" i="1"/>
  <c r="R1641" i="1"/>
  <c r="V1641" i="1"/>
  <c r="AI1641" i="1"/>
  <c r="R1642" i="1"/>
  <c r="V1642" i="1"/>
  <c r="AI1642" i="1"/>
  <c r="R1643" i="1"/>
  <c r="V1643" i="1"/>
  <c r="AI1643" i="1"/>
  <c r="R1644" i="1"/>
  <c r="V1644" i="1"/>
  <c r="AI1644" i="1"/>
  <c r="R1645" i="1"/>
  <c r="V1645" i="1"/>
  <c r="AI1645" i="1"/>
  <c r="R1646" i="1"/>
  <c r="V1646" i="1"/>
  <c r="AI1646" i="1"/>
  <c r="R1647" i="1"/>
  <c r="V1647" i="1"/>
  <c r="AI1647" i="1"/>
  <c r="R1648" i="1"/>
  <c r="V1648" i="1"/>
  <c r="AI1648" i="1"/>
  <c r="R1649" i="1"/>
  <c r="V1649" i="1"/>
  <c r="AI1649" i="1"/>
  <c r="R1650" i="1"/>
  <c r="V1650" i="1"/>
  <c r="AI1650" i="1"/>
  <c r="R1651" i="1"/>
  <c r="V1651" i="1"/>
  <c r="AI1651" i="1"/>
  <c r="R1652" i="1"/>
  <c r="V1652" i="1"/>
  <c r="AI1652" i="1"/>
  <c r="R1653" i="1"/>
  <c r="V1653" i="1"/>
  <c r="AI1653" i="1"/>
  <c r="R1654" i="1"/>
  <c r="V1654" i="1"/>
  <c r="AI1654" i="1"/>
  <c r="R1655" i="1"/>
  <c r="V1655" i="1"/>
  <c r="AI1655" i="1"/>
  <c r="R1656" i="1"/>
  <c r="V1656" i="1"/>
  <c r="AI1656" i="1"/>
  <c r="R1657" i="1"/>
  <c r="V1657" i="1"/>
  <c r="AI1657" i="1"/>
  <c r="R1658" i="1"/>
  <c r="V1658" i="1"/>
  <c r="AI1658" i="1"/>
  <c r="R1659" i="1"/>
  <c r="V1659" i="1"/>
  <c r="AI1659" i="1"/>
  <c r="R1660" i="1"/>
  <c r="V1660" i="1"/>
  <c r="AI1660" i="1"/>
  <c r="R1661" i="1"/>
  <c r="V1661" i="1"/>
  <c r="AI1661" i="1"/>
  <c r="R1662" i="1"/>
  <c r="V1662" i="1"/>
  <c r="AI1662" i="1"/>
  <c r="R1663" i="1"/>
  <c r="V1663" i="1"/>
  <c r="AI1663" i="1"/>
  <c r="R1664" i="1"/>
  <c r="V1664" i="1"/>
  <c r="AI1664" i="1"/>
  <c r="R1665" i="1"/>
  <c r="V1665" i="1"/>
  <c r="AI1665" i="1"/>
  <c r="R1666" i="1"/>
  <c r="V1666" i="1"/>
  <c r="AI1666" i="1"/>
  <c r="R1667" i="1"/>
  <c r="V1667" i="1"/>
  <c r="AI1667" i="1"/>
  <c r="R1668" i="1"/>
  <c r="V1668" i="1"/>
  <c r="AI1668" i="1"/>
  <c r="R1669" i="1"/>
  <c r="V1669" i="1"/>
  <c r="AI1669" i="1"/>
  <c r="R1670" i="1"/>
  <c r="V1670" i="1"/>
  <c r="AI1670" i="1"/>
  <c r="R1671" i="1"/>
  <c r="V1671" i="1"/>
  <c r="AI1671" i="1"/>
  <c r="R1672" i="1"/>
  <c r="V1672" i="1"/>
  <c r="AI1672" i="1"/>
  <c r="R1673" i="1"/>
  <c r="V1673" i="1"/>
  <c r="AI1673" i="1"/>
  <c r="R1674" i="1"/>
  <c r="V1674" i="1"/>
  <c r="AI1674" i="1"/>
  <c r="R1675" i="1"/>
  <c r="V1675" i="1"/>
  <c r="AI1675" i="1"/>
  <c r="R1676" i="1"/>
  <c r="V1676" i="1"/>
  <c r="AI1676" i="1"/>
  <c r="R1677" i="1"/>
  <c r="V1677" i="1"/>
  <c r="AI1677" i="1"/>
  <c r="R1678" i="1"/>
  <c r="V1678" i="1"/>
  <c r="AI1678" i="1"/>
  <c r="R1679" i="1"/>
  <c r="V1679" i="1"/>
  <c r="AI1679" i="1"/>
  <c r="R1680" i="1"/>
  <c r="V1680" i="1"/>
  <c r="AI1680" i="1"/>
  <c r="R1681" i="1"/>
  <c r="V1681" i="1"/>
  <c r="AI1681" i="1"/>
  <c r="R1682" i="1"/>
  <c r="V1682" i="1"/>
  <c r="AI1682" i="1"/>
  <c r="R1683" i="1"/>
  <c r="V1683" i="1"/>
  <c r="AI1683" i="1"/>
  <c r="R1684" i="1"/>
  <c r="V1684" i="1"/>
  <c r="AI1684" i="1"/>
  <c r="R1685" i="1"/>
  <c r="V1685" i="1"/>
  <c r="AI1685" i="1"/>
  <c r="R1686" i="1"/>
  <c r="V1686" i="1"/>
  <c r="AI1686" i="1"/>
  <c r="R1687" i="1"/>
  <c r="V1687" i="1"/>
  <c r="AI1687" i="1"/>
  <c r="R1688" i="1"/>
  <c r="V1688" i="1"/>
  <c r="AI1688" i="1"/>
  <c r="R1689" i="1"/>
  <c r="V1689" i="1"/>
  <c r="AI1689" i="1"/>
  <c r="R1690" i="1"/>
  <c r="V1690" i="1"/>
  <c r="AI1690" i="1"/>
  <c r="R1691" i="1"/>
  <c r="V1691" i="1"/>
  <c r="AI1691" i="1"/>
  <c r="R1692" i="1"/>
  <c r="V1692" i="1"/>
  <c r="AI1692" i="1"/>
  <c r="R1693" i="1"/>
  <c r="V1693" i="1"/>
  <c r="AI1693" i="1"/>
  <c r="R1694" i="1"/>
  <c r="V1694" i="1"/>
  <c r="AI1694" i="1"/>
  <c r="R1695" i="1"/>
  <c r="V1695" i="1"/>
  <c r="AI1695" i="1"/>
  <c r="R1696" i="1"/>
  <c r="V1696" i="1"/>
  <c r="AI1696" i="1"/>
  <c r="R1697" i="1"/>
  <c r="V1697" i="1"/>
  <c r="AI1697" i="1"/>
  <c r="R1698" i="1"/>
  <c r="V1698" i="1"/>
  <c r="AI1698" i="1"/>
  <c r="R1699" i="1"/>
  <c r="V1699" i="1"/>
  <c r="AI1699" i="1"/>
  <c r="R1700" i="1"/>
  <c r="V1700" i="1"/>
  <c r="AI1700" i="1"/>
  <c r="R1701" i="1"/>
  <c r="V1701" i="1"/>
  <c r="AI1701" i="1"/>
  <c r="R1702" i="1"/>
  <c r="V1702" i="1"/>
  <c r="AI1702" i="1"/>
  <c r="R1703" i="1"/>
  <c r="V1703" i="1"/>
  <c r="AI1703" i="1"/>
  <c r="R1704" i="1"/>
  <c r="V1704" i="1"/>
  <c r="AI1704" i="1"/>
  <c r="R1705" i="1"/>
  <c r="V1705" i="1"/>
  <c r="AI1705" i="1"/>
  <c r="R1706" i="1"/>
  <c r="V1706" i="1"/>
  <c r="AI1706" i="1"/>
  <c r="R1707" i="1"/>
  <c r="V1707" i="1"/>
  <c r="AI1707" i="1"/>
  <c r="R1708" i="1"/>
  <c r="V1708" i="1"/>
  <c r="AI1708" i="1"/>
  <c r="R1709" i="1"/>
  <c r="V1709" i="1"/>
  <c r="AI1709" i="1"/>
  <c r="R1710" i="1"/>
  <c r="V1710" i="1"/>
  <c r="AI1710" i="1"/>
  <c r="R1711" i="1"/>
  <c r="V1711" i="1"/>
  <c r="AI1711" i="1"/>
  <c r="R1712" i="1"/>
  <c r="V1712" i="1"/>
  <c r="AI1712" i="1"/>
  <c r="R1713" i="1"/>
  <c r="V1713" i="1"/>
  <c r="AI1713" i="1"/>
  <c r="R1714" i="1"/>
  <c r="V1714" i="1"/>
  <c r="AI1714" i="1"/>
  <c r="R1715" i="1"/>
  <c r="V1715" i="1"/>
  <c r="AI1715" i="1"/>
  <c r="R1716" i="1"/>
  <c r="V1716" i="1"/>
  <c r="AI1716" i="1"/>
  <c r="R1717" i="1"/>
  <c r="V1717" i="1"/>
  <c r="AI1717" i="1"/>
  <c r="R1718" i="1"/>
  <c r="V1718" i="1"/>
  <c r="AI1718" i="1"/>
  <c r="R1719" i="1"/>
  <c r="V1719" i="1"/>
  <c r="AI1719" i="1"/>
  <c r="R1720" i="1"/>
  <c r="V1720" i="1"/>
  <c r="AI1720" i="1"/>
  <c r="R1721" i="1"/>
  <c r="V1721" i="1"/>
  <c r="AI1721" i="1"/>
  <c r="R1722" i="1"/>
  <c r="V1722" i="1"/>
  <c r="AI1722" i="1"/>
  <c r="R1723" i="1"/>
  <c r="V1723" i="1"/>
  <c r="AI1723" i="1"/>
  <c r="R1724" i="1"/>
  <c r="V1724" i="1"/>
  <c r="AI1724" i="1"/>
  <c r="R1725" i="1"/>
  <c r="V1725" i="1"/>
  <c r="AI1725" i="1"/>
  <c r="R1726" i="1"/>
  <c r="V1726" i="1"/>
  <c r="AI1726" i="1"/>
  <c r="R1727" i="1"/>
  <c r="V1727" i="1"/>
  <c r="AI1727" i="1"/>
  <c r="R1728" i="1"/>
  <c r="V1728" i="1"/>
  <c r="AI1728" i="1"/>
  <c r="R1729" i="1"/>
  <c r="V1729" i="1"/>
  <c r="AI1729" i="1"/>
  <c r="R1730" i="1"/>
  <c r="V1730" i="1"/>
  <c r="AI1730" i="1"/>
  <c r="R1731" i="1"/>
  <c r="V1731" i="1"/>
  <c r="AI1731" i="1"/>
  <c r="R1732" i="1"/>
  <c r="V1732" i="1"/>
  <c r="AI1732" i="1"/>
  <c r="R1733" i="1"/>
  <c r="V1733" i="1"/>
  <c r="AI1733" i="1"/>
  <c r="R1734" i="1"/>
  <c r="V1734" i="1"/>
  <c r="AI1734" i="1"/>
  <c r="R1735" i="1"/>
  <c r="V1735" i="1"/>
  <c r="AI1735" i="1"/>
  <c r="R1736" i="1"/>
  <c r="V1736" i="1"/>
  <c r="AI1736" i="1"/>
  <c r="R1737" i="1"/>
  <c r="V1737" i="1"/>
  <c r="AI1737" i="1"/>
  <c r="R1738" i="1"/>
  <c r="V1738" i="1"/>
  <c r="AI1738" i="1"/>
  <c r="R1739" i="1"/>
  <c r="V1739" i="1"/>
  <c r="AI1739" i="1"/>
  <c r="R1740" i="1"/>
  <c r="V1740" i="1"/>
  <c r="AI1740" i="1"/>
  <c r="R1741" i="1"/>
  <c r="V1741" i="1"/>
  <c r="AI1741" i="1"/>
  <c r="R1742" i="1"/>
  <c r="V1742" i="1"/>
  <c r="AI1742" i="1"/>
  <c r="R1743" i="1"/>
  <c r="V1743" i="1"/>
  <c r="AI1743" i="1"/>
  <c r="R1744" i="1"/>
  <c r="V1744" i="1"/>
  <c r="AI1744" i="1"/>
  <c r="R1745" i="1"/>
  <c r="V1745" i="1"/>
  <c r="AI1745" i="1"/>
  <c r="R1746" i="1"/>
  <c r="V1746" i="1"/>
  <c r="AI1746" i="1"/>
  <c r="R1747" i="1"/>
  <c r="V1747" i="1"/>
  <c r="AI1747" i="1"/>
  <c r="R1748" i="1"/>
  <c r="V1748" i="1"/>
  <c r="AI1748" i="1"/>
  <c r="R1749" i="1"/>
  <c r="V1749" i="1"/>
  <c r="AI1749" i="1"/>
  <c r="R1750" i="1"/>
  <c r="V1750" i="1"/>
  <c r="AI1750" i="1"/>
  <c r="R1751" i="1"/>
  <c r="V1751" i="1"/>
  <c r="AI1751" i="1"/>
  <c r="R1752" i="1"/>
  <c r="V1752" i="1"/>
  <c r="AI1752" i="1"/>
  <c r="R1753" i="1"/>
  <c r="V1753" i="1"/>
  <c r="AI1753" i="1"/>
  <c r="R1754" i="1"/>
  <c r="V1754" i="1"/>
  <c r="AI1754" i="1"/>
  <c r="R1755" i="1"/>
  <c r="V1755" i="1"/>
  <c r="AI1755" i="1"/>
  <c r="R1756" i="1"/>
  <c r="V1756" i="1"/>
  <c r="AI1756" i="1"/>
  <c r="R1757" i="1"/>
  <c r="V1757" i="1"/>
  <c r="AI1757" i="1"/>
  <c r="R1758" i="1"/>
  <c r="V1758" i="1"/>
  <c r="AI1758" i="1"/>
  <c r="R1759" i="1"/>
  <c r="V1759" i="1"/>
  <c r="AI1759" i="1"/>
  <c r="R1760" i="1"/>
  <c r="V1760" i="1"/>
  <c r="AI1760" i="1"/>
  <c r="R1761" i="1"/>
  <c r="V1761" i="1"/>
  <c r="AI1761" i="1"/>
  <c r="R1762" i="1"/>
  <c r="V1762" i="1"/>
  <c r="AI1762" i="1"/>
  <c r="R1763" i="1"/>
  <c r="V1763" i="1"/>
  <c r="AI1763" i="1"/>
  <c r="R1764" i="1"/>
  <c r="V1764" i="1"/>
  <c r="AI1764" i="1"/>
  <c r="R1765" i="1"/>
  <c r="V1765" i="1"/>
  <c r="AI1765" i="1"/>
  <c r="R1766" i="1"/>
  <c r="V1766" i="1"/>
  <c r="AI1766" i="1"/>
  <c r="R1767" i="1"/>
  <c r="V1767" i="1"/>
  <c r="AI1767" i="1"/>
  <c r="R1768" i="1"/>
  <c r="V1768" i="1"/>
  <c r="AI1768" i="1"/>
  <c r="R1769" i="1"/>
  <c r="V1769" i="1"/>
  <c r="AI1769" i="1"/>
  <c r="R1770" i="1"/>
  <c r="V1770" i="1"/>
  <c r="AI1770" i="1"/>
  <c r="R1771" i="1"/>
  <c r="V1771" i="1"/>
  <c r="AI1771" i="1"/>
  <c r="R1772" i="1"/>
  <c r="V1772" i="1"/>
  <c r="AI1772" i="1"/>
  <c r="R1773" i="1"/>
  <c r="V1773" i="1"/>
  <c r="AI1773" i="1"/>
  <c r="R1774" i="1"/>
  <c r="V1774" i="1"/>
  <c r="AI1774" i="1"/>
  <c r="R1775" i="1"/>
  <c r="V1775" i="1"/>
  <c r="AI1775" i="1"/>
  <c r="R1776" i="1"/>
  <c r="V1776" i="1"/>
  <c r="AI1776" i="1"/>
  <c r="R1777" i="1"/>
  <c r="V1777" i="1"/>
  <c r="AI1777" i="1"/>
  <c r="R1778" i="1"/>
  <c r="V1778" i="1"/>
  <c r="AI1778" i="1"/>
  <c r="R1779" i="1"/>
  <c r="V1779" i="1"/>
  <c r="AI1779" i="1"/>
  <c r="R1780" i="1"/>
  <c r="V1780" i="1"/>
  <c r="AI1780" i="1"/>
  <c r="R1781" i="1"/>
  <c r="V1781" i="1"/>
  <c r="AI1781" i="1"/>
  <c r="R1782" i="1"/>
  <c r="V1782" i="1"/>
  <c r="AI1782" i="1"/>
  <c r="R1783" i="1"/>
  <c r="V1783" i="1"/>
  <c r="AI1783" i="1"/>
  <c r="R1784" i="1"/>
  <c r="V1784" i="1"/>
  <c r="AI1784" i="1"/>
  <c r="R1785" i="1"/>
  <c r="V1785" i="1"/>
  <c r="AI1785" i="1"/>
  <c r="R1786" i="1"/>
  <c r="V1786" i="1"/>
  <c r="AI1786" i="1"/>
  <c r="R1787" i="1"/>
  <c r="V1787" i="1"/>
  <c r="AI1787" i="1"/>
  <c r="R1788" i="1"/>
  <c r="V1788" i="1"/>
  <c r="AI1788" i="1"/>
  <c r="R1789" i="1"/>
  <c r="V1789" i="1"/>
  <c r="AI1789" i="1"/>
  <c r="R1790" i="1"/>
  <c r="V1790" i="1"/>
  <c r="AI1790" i="1"/>
  <c r="R1791" i="1"/>
  <c r="V1791" i="1"/>
  <c r="AI1791" i="1"/>
  <c r="R1792" i="1"/>
  <c r="V1792" i="1"/>
  <c r="AI1792" i="1"/>
  <c r="R1793" i="1"/>
  <c r="V1793" i="1"/>
  <c r="AI1793" i="1"/>
  <c r="R1794" i="1"/>
  <c r="V1794" i="1"/>
  <c r="AI1794" i="1"/>
  <c r="R1795" i="1"/>
  <c r="V1795" i="1"/>
  <c r="AI1795" i="1"/>
  <c r="R1796" i="1"/>
  <c r="V1796" i="1"/>
  <c r="AI1796" i="1"/>
  <c r="R1797" i="1"/>
  <c r="V1797" i="1"/>
  <c r="AI1797" i="1"/>
  <c r="R1798" i="1"/>
  <c r="V1798" i="1"/>
  <c r="AI1798" i="1"/>
  <c r="R1799" i="1"/>
  <c r="V1799" i="1"/>
  <c r="AI1799" i="1"/>
  <c r="R1800" i="1"/>
  <c r="V1800" i="1"/>
  <c r="AI1800" i="1"/>
  <c r="R1801" i="1"/>
  <c r="V1801" i="1"/>
  <c r="AI1801" i="1"/>
  <c r="R1802" i="1"/>
  <c r="V1802" i="1"/>
  <c r="AI1802" i="1"/>
  <c r="R1803" i="1"/>
  <c r="V1803" i="1"/>
  <c r="AI1803" i="1"/>
  <c r="R1804" i="1"/>
  <c r="V1804" i="1"/>
  <c r="AI1804" i="1"/>
  <c r="R1805" i="1"/>
  <c r="V1805" i="1"/>
  <c r="AI1805" i="1"/>
  <c r="R1806" i="1"/>
  <c r="V1806" i="1"/>
  <c r="AI1806" i="1"/>
  <c r="R1807" i="1"/>
  <c r="V1807" i="1"/>
  <c r="AI1807" i="1"/>
  <c r="R1808" i="1"/>
  <c r="V1808" i="1"/>
  <c r="AI1808" i="1"/>
  <c r="R1809" i="1"/>
  <c r="V1809" i="1"/>
  <c r="AI1809" i="1"/>
  <c r="R1810" i="1"/>
  <c r="V1810" i="1"/>
  <c r="AI1810" i="1"/>
  <c r="R1811" i="1"/>
  <c r="V1811" i="1"/>
  <c r="AI1811" i="1"/>
  <c r="R1812" i="1"/>
  <c r="V1812" i="1"/>
  <c r="AI1812" i="1"/>
  <c r="R1813" i="1"/>
  <c r="V1813" i="1"/>
  <c r="AI1813" i="1"/>
  <c r="R1814" i="1"/>
  <c r="V1814" i="1"/>
  <c r="AI1814" i="1"/>
  <c r="R1815" i="1"/>
  <c r="V1815" i="1"/>
  <c r="AI1815" i="1"/>
  <c r="R1816" i="1"/>
  <c r="V1816" i="1"/>
  <c r="AI1816" i="1"/>
  <c r="R1817" i="1"/>
  <c r="V1817" i="1"/>
  <c r="AI1817" i="1"/>
  <c r="R1818" i="1"/>
  <c r="V1818" i="1"/>
  <c r="AI1818" i="1"/>
  <c r="R1819" i="1"/>
  <c r="V1819" i="1"/>
  <c r="AI1819" i="1"/>
  <c r="R1820" i="1"/>
  <c r="V1820" i="1"/>
  <c r="AI1820" i="1"/>
  <c r="R1821" i="1"/>
  <c r="V1821" i="1"/>
  <c r="AI1821" i="1"/>
  <c r="R1822" i="1"/>
  <c r="V1822" i="1"/>
  <c r="AI1822" i="1"/>
  <c r="R1823" i="1"/>
  <c r="V1823" i="1"/>
  <c r="AI1823" i="1"/>
  <c r="R1824" i="1"/>
  <c r="V1824" i="1"/>
  <c r="AI1824" i="1"/>
  <c r="R1825" i="1"/>
  <c r="V1825" i="1"/>
  <c r="AI1825" i="1"/>
  <c r="R1826" i="1"/>
  <c r="V1826" i="1"/>
  <c r="AI1826" i="1"/>
  <c r="R1827" i="1"/>
  <c r="V1827" i="1"/>
  <c r="AI1827" i="1"/>
  <c r="R1828" i="1"/>
  <c r="V1828" i="1"/>
  <c r="AI1828" i="1"/>
  <c r="R1829" i="1"/>
  <c r="V1829" i="1"/>
  <c r="AI1829" i="1"/>
  <c r="R1830" i="1"/>
  <c r="V1830" i="1"/>
  <c r="AI1830" i="1"/>
  <c r="R1831" i="1"/>
  <c r="V1831" i="1"/>
  <c r="AI1831" i="1"/>
  <c r="R1832" i="1"/>
  <c r="V1832" i="1"/>
  <c r="AI1832" i="1"/>
  <c r="R1833" i="1"/>
  <c r="V1833" i="1"/>
  <c r="AI1833" i="1"/>
  <c r="R1834" i="1"/>
  <c r="V1834" i="1"/>
  <c r="AI1834" i="1"/>
  <c r="R1835" i="1"/>
  <c r="V1835" i="1"/>
  <c r="AI1835" i="1"/>
  <c r="R1836" i="1"/>
  <c r="V1836" i="1"/>
  <c r="AI1836" i="1"/>
  <c r="R1837" i="1"/>
  <c r="V1837" i="1"/>
  <c r="AI1837" i="1"/>
  <c r="R1838" i="1"/>
  <c r="V1838" i="1"/>
  <c r="AI1838" i="1"/>
  <c r="R1839" i="1"/>
  <c r="V1839" i="1"/>
  <c r="AI1839" i="1"/>
  <c r="R1840" i="1"/>
  <c r="V1840" i="1"/>
  <c r="AI1840" i="1"/>
  <c r="R1841" i="1"/>
  <c r="V1841" i="1"/>
  <c r="AI1841" i="1"/>
  <c r="R1842" i="1"/>
  <c r="V1842" i="1"/>
  <c r="AI1842" i="1"/>
  <c r="R1843" i="1"/>
  <c r="V1843" i="1"/>
  <c r="AI1843" i="1"/>
  <c r="R1844" i="1"/>
  <c r="V1844" i="1"/>
  <c r="AI1844" i="1"/>
  <c r="R1845" i="1"/>
  <c r="V1845" i="1"/>
  <c r="AI1845" i="1"/>
  <c r="R1846" i="1"/>
  <c r="V1846" i="1"/>
  <c r="AI1846" i="1"/>
  <c r="R1847" i="1"/>
  <c r="V1847" i="1"/>
  <c r="AI1847" i="1"/>
  <c r="R1848" i="1"/>
  <c r="V1848" i="1"/>
  <c r="AI1848" i="1"/>
  <c r="R1849" i="1"/>
  <c r="V1849" i="1"/>
  <c r="AI1849" i="1"/>
  <c r="R1850" i="1"/>
  <c r="V1850" i="1"/>
  <c r="AI1850" i="1"/>
  <c r="R1851" i="1"/>
  <c r="V1851" i="1"/>
  <c r="AI1851" i="1"/>
  <c r="R1852" i="1"/>
  <c r="V1852" i="1"/>
  <c r="AI1852" i="1"/>
  <c r="R1853" i="1"/>
  <c r="V1853" i="1"/>
  <c r="AI1853" i="1"/>
  <c r="R1854" i="1"/>
  <c r="V1854" i="1"/>
  <c r="AI1854" i="1"/>
  <c r="R1855" i="1"/>
  <c r="V1855" i="1"/>
  <c r="AI1855" i="1"/>
  <c r="R1856" i="1"/>
  <c r="V1856" i="1"/>
  <c r="AI1856" i="1"/>
  <c r="R1857" i="1"/>
  <c r="V1857" i="1"/>
  <c r="AI1857" i="1"/>
  <c r="R1858" i="1"/>
  <c r="V1858" i="1"/>
  <c r="AI1858" i="1"/>
  <c r="R1859" i="1"/>
  <c r="V1859" i="1"/>
  <c r="AI1859" i="1"/>
  <c r="R1860" i="1"/>
  <c r="V1860" i="1"/>
  <c r="AI1860" i="1"/>
  <c r="R1861" i="1"/>
  <c r="V1861" i="1"/>
  <c r="AI1861" i="1"/>
  <c r="R1862" i="1"/>
  <c r="V1862" i="1"/>
  <c r="AI1862" i="1"/>
  <c r="R1863" i="1"/>
  <c r="V1863" i="1"/>
  <c r="AI1863" i="1"/>
  <c r="R1864" i="1"/>
  <c r="V1864" i="1"/>
  <c r="AI1864" i="1"/>
  <c r="R1865" i="1"/>
  <c r="V1865" i="1"/>
  <c r="AI1865" i="1"/>
  <c r="R1866" i="1"/>
  <c r="V1866" i="1"/>
  <c r="AI1866" i="1"/>
  <c r="R1867" i="1"/>
  <c r="V1867" i="1"/>
  <c r="AI1867" i="1"/>
  <c r="R1868" i="1"/>
  <c r="V1868" i="1"/>
  <c r="AI1868" i="1"/>
  <c r="R1869" i="1"/>
  <c r="V1869" i="1"/>
  <c r="AI1869" i="1"/>
  <c r="R1870" i="1"/>
  <c r="V1870" i="1"/>
  <c r="AI1870" i="1"/>
  <c r="R1871" i="1"/>
  <c r="V1871" i="1"/>
  <c r="AI1871" i="1"/>
  <c r="R1872" i="1"/>
  <c r="V1872" i="1"/>
  <c r="AI1872" i="1"/>
  <c r="R1873" i="1"/>
  <c r="V1873" i="1"/>
  <c r="AI1873" i="1"/>
  <c r="R1874" i="1"/>
  <c r="V1874" i="1"/>
  <c r="AI1874" i="1"/>
  <c r="R1875" i="1"/>
  <c r="V1875" i="1"/>
  <c r="AI1875" i="1"/>
  <c r="R1876" i="1"/>
  <c r="V1876" i="1"/>
  <c r="AI1876" i="1"/>
  <c r="R1877" i="1"/>
  <c r="V1877" i="1"/>
  <c r="AI1877" i="1"/>
  <c r="R1878" i="1"/>
  <c r="V1878" i="1"/>
  <c r="AI1878" i="1"/>
  <c r="R1879" i="1"/>
  <c r="V1879" i="1"/>
  <c r="AI1879" i="1"/>
  <c r="R1880" i="1"/>
  <c r="V1880" i="1"/>
  <c r="AI1880" i="1"/>
  <c r="R1881" i="1"/>
  <c r="V1881" i="1"/>
  <c r="AI1881" i="1"/>
  <c r="R1882" i="1"/>
  <c r="V1882" i="1"/>
  <c r="AI1882" i="1"/>
  <c r="R1883" i="1"/>
  <c r="V1883" i="1"/>
  <c r="AI1883" i="1"/>
  <c r="R1884" i="1"/>
  <c r="V1884" i="1"/>
  <c r="AI1884" i="1"/>
  <c r="R1885" i="1"/>
  <c r="V1885" i="1"/>
  <c r="AI1885" i="1"/>
  <c r="R1886" i="1"/>
  <c r="V1886" i="1"/>
  <c r="AI1886" i="1"/>
  <c r="R1887" i="1"/>
  <c r="V1887" i="1"/>
  <c r="AI1887" i="1"/>
  <c r="R1888" i="1"/>
  <c r="V1888" i="1"/>
  <c r="AI1888" i="1"/>
  <c r="R1889" i="1"/>
  <c r="V1889" i="1"/>
  <c r="AI1889" i="1"/>
  <c r="R1890" i="1"/>
  <c r="V1890" i="1"/>
  <c r="AI1890" i="1"/>
  <c r="R1891" i="1"/>
  <c r="V1891" i="1"/>
  <c r="AI1891" i="1"/>
  <c r="R1892" i="1"/>
  <c r="V1892" i="1"/>
  <c r="AI1892" i="1"/>
  <c r="R1893" i="1"/>
  <c r="V1893" i="1"/>
  <c r="AI1893" i="1"/>
  <c r="R1894" i="1"/>
  <c r="V1894" i="1"/>
  <c r="AI1894" i="1"/>
  <c r="R1895" i="1"/>
  <c r="V1895" i="1"/>
  <c r="AI1895" i="1"/>
  <c r="R1896" i="1"/>
  <c r="V1896" i="1"/>
  <c r="AI1896" i="1"/>
  <c r="R1897" i="1"/>
  <c r="V1897" i="1"/>
  <c r="AI1897" i="1"/>
  <c r="R1898" i="1"/>
  <c r="V1898" i="1"/>
  <c r="AI1898" i="1"/>
  <c r="R1899" i="1"/>
  <c r="V1899" i="1"/>
  <c r="AI1899" i="1"/>
  <c r="R1900" i="1"/>
  <c r="V1900" i="1"/>
  <c r="AI1900" i="1"/>
  <c r="R1901" i="1"/>
  <c r="V1901" i="1"/>
  <c r="AI1901" i="1"/>
  <c r="R1902" i="1"/>
  <c r="V1902" i="1"/>
  <c r="AI1902" i="1"/>
  <c r="R1903" i="1"/>
  <c r="V1903" i="1"/>
  <c r="AI1903" i="1"/>
  <c r="R1904" i="1"/>
  <c r="V1904" i="1"/>
  <c r="AI1904" i="1"/>
  <c r="R1905" i="1"/>
  <c r="V1905" i="1"/>
  <c r="AI1905" i="1"/>
  <c r="R1906" i="1"/>
  <c r="V1906" i="1"/>
  <c r="AI1906" i="1"/>
  <c r="R1907" i="1"/>
  <c r="V1907" i="1"/>
  <c r="AI1907" i="1"/>
  <c r="R1908" i="1"/>
  <c r="V1908" i="1"/>
  <c r="AI1908" i="1"/>
  <c r="R1909" i="1"/>
  <c r="V1909" i="1"/>
  <c r="AI1909" i="1"/>
  <c r="R1910" i="1"/>
  <c r="V1910" i="1"/>
  <c r="AI1910" i="1"/>
  <c r="R1911" i="1"/>
  <c r="V1911" i="1"/>
  <c r="AI1911" i="1"/>
  <c r="R1912" i="1"/>
  <c r="V1912" i="1"/>
  <c r="AI1912" i="1"/>
  <c r="R1913" i="1"/>
  <c r="V1913" i="1"/>
  <c r="AI1913" i="1"/>
  <c r="R1914" i="1"/>
  <c r="V1914" i="1"/>
  <c r="AI1914" i="1"/>
  <c r="R1915" i="1"/>
  <c r="V1915" i="1"/>
  <c r="AI1915" i="1"/>
  <c r="R1916" i="1"/>
  <c r="V1916" i="1"/>
  <c r="AI1916" i="1"/>
  <c r="R1917" i="1"/>
  <c r="V1917" i="1"/>
  <c r="AI1917" i="1"/>
  <c r="R1918" i="1"/>
  <c r="V1918" i="1"/>
  <c r="AI1918" i="1"/>
  <c r="R1919" i="1"/>
  <c r="V1919" i="1"/>
  <c r="AI1919" i="1"/>
  <c r="R1920" i="1"/>
  <c r="V1920" i="1"/>
  <c r="AI1920" i="1"/>
  <c r="R1921" i="1"/>
  <c r="V1921" i="1"/>
  <c r="AI1921" i="1"/>
  <c r="R1922" i="1"/>
  <c r="V1922" i="1"/>
  <c r="AI1922" i="1"/>
  <c r="R1923" i="1"/>
  <c r="V1923" i="1"/>
  <c r="AI1923" i="1"/>
  <c r="R1924" i="1"/>
  <c r="V1924" i="1"/>
  <c r="AI1924" i="1"/>
  <c r="R1925" i="1"/>
  <c r="V1925" i="1"/>
  <c r="AI1925" i="1"/>
  <c r="R1926" i="1"/>
  <c r="V1926" i="1"/>
  <c r="AI1926" i="1"/>
  <c r="R1927" i="1"/>
  <c r="V1927" i="1"/>
  <c r="AI1927" i="1"/>
  <c r="R1928" i="1"/>
  <c r="V1928" i="1"/>
  <c r="AI1928" i="1"/>
  <c r="R1929" i="1"/>
  <c r="V1929" i="1"/>
  <c r="AI1929" i="1"/>
  <c r="R1930" i="1"/>
  <c r="V1930" i="1"/>
  <c r="AI1930" i="1"/>
  <c r="R1931" i="1"/>
  <c r="V1931" i="1"/>
  <c r="AI1931" i="1"/>
  <c r="R1932" i="1"/>
  <c r="V1932" i="1"/>
  <c r="AI1932" i="1"/>
  <c r="R1933" i="1"/>
  <c r="V1933" i="1"/>
  <c r="AI1933" i="1"/>
  <c r="R1934" i="1"/>
  <c r="V1934" i="1"/>
  <c r="AI1934" i="1"/>
  <c r="R1935" i="1"/>
  <c r="V1935" i="1"/>
  <c r="AI1935" i="1"/>
  <c r="R1936" i="1"/>
  <c r="V1936" i="1"/>
  <c r="AI1936" i="1"/>
  <c r="R1937" i="1"/>
  <c r="V1937" i="1"/>
  <c r="AI1937" i="1"/>
  <c r="R1938" i="1"/>
  <c r="V1938" i="1"/>
  <c r="AI1938" i="1"/>
  <c r="R1939" i="1"/>
  <c r="V1939" i="1"/>
  <c r="AI1939" i="1"/>
  <c r="R1940" i="1"/>
  <c r="V1940" i="1"/>
  <c r="AI1940" i="1"/>
  <c r="R1941" i="1"/>
  <c r="V1941" i="1"/>
  <c r="AI1941" i="1"/>
  <c r="R1942" i="1"/>
  <c r="V1942" i="1"/>
  <c r="AI1942" i="1"/>
  <c r="R1943" i="1"/>
  <c r="V1943" i="1"/>
  <c r="AI1943" i="1"/>
  <c r="R1944" i="1"/>
  <c r="V1944" i="1"/>
  <c r="AI1944" i="1"/>
  <c r="R1945" i="1"/>
  <c r="V1945" i="1"/>
  <c r="AI1945" i="1"/>
  <c r="R1946" i="1"/>
  <c r="V1946" i="1"/>
  <c r="AI1946" i="1"/>
  <c r="R1947" i="1"/>
  <c r="V1947" i="1"/>
  <c r="AI1947" i="1"/>
  <c r="R1948" i="1"/>
  <c r="V1948" i="1"/>
  <c r="AI1948" i="1"/>
  <c r="R1949" i="1"/>
  <c r="V1949" i="1"/>
  <c r="AI1949" i="1"/>
  <c r="R1950" i="1"/>
  <c r="V1950" i="1"/>
  <c r="AI1950" i="1"/>
  <c r="R1951" i="1"/>
  <c r="V1951" i="1"/>
  <c r="AI1951" i="1"/>
  <c r="R1952" i="1"/>
  <c r="V1952" i="1"/>
  <c r="AI1952" i="1"/>
  <c r="R1953" i="1"/>
  <c r="V1953" i="1"/>
  <c r="AI1953" i="1"/>
  <c r="R1954" i="1"/>
  <c r="V1954" i="1"/>
  <c r="AI1954" i="1"/>
  <c r="R1955" i="1"/>
  <c r="V1955" i="1"/>
  <c r="AI1955" i="1"/>
  <c r="R1956" i="1"/>
  <c r="V1956" i="1"/>
  <c r="AI1956" i="1"/>
  <c r="R1957" i="1"/>
  <c r="V1957" i="1"/>
  <c r="AI1957" i="1"/>
  <c r="R1958" i="1"/>
  <c r="V1958" i="1"/>
  <c r="AI1958" i="1"/>
  <c r="R1959" i="1"/>
  <c r="V1959" i="1"/>
  <c r="AI1959" i="1"/>
  <c r="R1960" i="1"/>
  <c r="V1960" i="1"/>
  <c r="AI1960" i="1"/>
  <c r="R1961" i="1"/>
  <c r="V1961" i="1"/>
  <c r="AI1961" i="1"/>
  <c r="R1962" i="1"/>
  <c r="V1962" i="1"/>
  <c r="AI1962" i="1"/>
  <c r="R1963" i="1"/>
  <c r="V1963" i="1"/>
  <c r="AI1963" i="1"/>
  <c r="R1964" i="1"/>
  <c r="V1964" i="1"/>
  <c r="AI1964" i="1"/>
  <c r="R1965" i="1"/>
  <c r="V1965" i="1"/>
  <c r="AI1965" i="1"/>
  <c r="R1966" i="1"/>
  <c r="V1966" i="1"/>
  <c r="AI1966" i="1"/>
  <c r="R1967" i="1"/>
  <c r="V1967" i="1"/>
  <c r="AI1967" i="1"/>
  <c r="R1968" i="1"/>
  <c r="V1968" i="1"/>
  <c r="AI1968" i="1"/>
  <c r="R1969" i="1"/>
  <c r="V1969" i="1"/>
  <c r="AI1969" i="1"/>
  <c r="R1970" i="1"/>
  <c r="V1970" i="1"/>
  <c r="AI1970" i="1"/>
  <c r="R1971" i="1"/>
  <c r="V1971" i="1"/>
  <c r="AI1971" i="1"/>
  <c r="R1972" i="1"/>
  <c r="V1972" i="1"/>
  <c r="AI1972" i="1"/>
  <c r="R1973" i="1"/>
  <c r="V1973" i="1"/>
  <c r="AI1973" i="1"/>
  <c r="R1974" i="1"/>
  <c r="V1974" i="1"/>
  <c r="AI1974" i="1"/>
  <c r="R1975" i="1"/>
  <c r="V1975" i="1"/>
  <c r="AI1975" i="1"/>
  <c r="R1976" i="1"/>
  <c r="V1976" i="1"/>
  <c r="AI1976" i="1"/>
  <c r="R1977" i="1"/>
  <c r="V1977" i="1"/>
  <c r="AI1977" i="1"/>
  <c r="R1978" i="1"/>
  <c r="V1978" i="1"/>
  <c r="AI1978" i="1"/>
  <c r="R1979" i="1"/>
  <c r="V1979" i="1"/>
  <c r="AI1979" i="1"/>
  <c r="R1980" i="1"/>
  <c r="V1980" i="1"/>
  <c r="AI1980" i="1"/>
  <c r="R1981" i="1"/>
  <c r="V1981" i="1"/>
  <c r="AI1981" i="1"/>
  <c r="R1982" i="1"/>
  <c r="V1982" i="1"/>
  <c r="AI1982" i="1"/>
  <c r="R1983" i="1"/>
  <c r="V1983" i="1"/>
  <c r="AI1983" i="1"/>
  <c r="R1984" i="1"/>
  <c r="V1984" i="1"/>
  <c r="AI1984" i="1"/>
  <c r="R1985" i="1"/>
  <c r="V1985" i="1"/>
  <c r="AI1985" i="1"/>
  <c r="R1986" i="1"/>
  <c r="V1986" i="1"/>
  <c r="AI1986" i="1"/>
  <c r="R1987" i="1"/>
  <c r="V1987" i="1"/>
  <c r="AI1987" i="1"/>
  <c r="R1988" i="1"/>
  <c r="V1988" i="1"/>
  <c r="AI1988" i="1"/>
  <c r="R1989" i="1"/>
  <c r="V1989" i="1"/>
  <c r="AI1989" i="1"/>
  <c r="R1990" i="1"/>
  <c r="V1990" i="1"/>
  <c r="AI1990" i="1"/>
  <c r="R1991" i="1"/>
  <c r="V1991" i="1"/>
  <c r="AI1991" i="1"/>
  <c r="R1992" i="1"/>
  <c r="V1992" i="1"/>
  <c r="AI1992" i="1"/>
  <c r="R1993" i="1"/>
  <c r="V1993" i="1"/>
  <c r="AI1993" i="1"/>
  <c r="R1994" i="1"/>
  <c r="V1994" i="1"/>
  <c r="AI1994" i="1"/>
  <c r="R1995" i="1"/>
  <c r="V1995" i="1"/>
  <c r="AI1995" i="1"/>
  <c r="R1996" i="1"/>
  <c r="V1996" i="1"/>
  <c r="AI1996" i="1"/>
  <c r="R1997" i="1"/>
  <c r="V1997" i="1"/>
  <c r="AI1997" i="1"/>
  <c r="R1998" i="1"/>
  <c r="V1998" i="1"/>
  <c r="AI1998" i="1"/>
  <c r="R1999" i="1"/>
  <c r="V1999" i="1"/>
  <c r="AI1999" i="1"/>
  <c r="R2000" i="1"/>
  <c r="V2000" i="1"/>
  <c r="AI2000" i="1"/>
  <c r="R2001" i="1"/>
  <c r="V2001" i="1"/>
  <c r="AI2001" i="1"/>
  <c r="R2002" i="1"/>
  <c r="V2002" i="1"/>
  <c r="AI2002" i="1"/>
  <c r="R2003" i="1"/>
  <c r="V2003" i="1"/>
  <c r="AI2003" i="1"/>
  <c r="R2004" i="1"/>
  <c r="V2004" i="1"/>
  <c r="AI2004" i="1"/>
  <c r="R2005" i="1"/>
  <c r="V2005" i="1"/>
  <c r="AI2005" i="1"/>
  <c r="R2006" i="1"/>
  <c r="V2006" i="1"/>
  <c r="AI2006" i="1"/>
  <c r="R2007" i="1"/>
  <c r="V2007" i="1"/>
  <c r="AI2007" i="1"/>
  <c r="R2008" i="1"/>
  <c r="V2008" i="1"/>
  <c r="AI2008" i="1"/>
  <c r="R2009" i="1"/>
  <c r="V2009" i="1"/>
  <c r="AI2009" i="1"/>
  <c r="R2010" i="1"/>
  <c r="V2010" i="1"/>
  <c r="AI2010" i="1"/>
  <c r="R2011" i="1"/>
  <c r="V2011" i="1"/>
  <c r="AI2011" i="1"/>
  <c r="R2012" i="1"/>
  <c r="V2012" i="1"/>
  <c r="AI2012" i="1"/>
  <c r="R2013" i="1"/>
  <c r="V2013" i="1"/>
  <c r="AI2013" i="1"/>
  <c r="R2014" i="1"/>
  <c r="V2014" i="1"/>
  <c r="AI2014" i="1"/>
  <c r="R2015" i="1"/>
  <c r="V2015" i="1"/>
  <c r="AI2015" i="1"/>
  <c r="R2016" i="1"/>
  <c r="V2016" i="1"/>
  <c r="AI2016" i="1"/>
  <c r="R2017" i="1"/>
  <c r="V2017" i="1"/>
  <c r="AI2017" i="1"/>
  <c r="R2018" i="1"/>
  <c r="V2018" i="1"/>
  <c r="AI2018" i="1"/>
  <c r="R2019" i="1"/>
  <c r="V2019" i="1"/>
  <c r="AI2019" i="1"/>
  <c r="R2020" i="1"/>
  <c r="V2020" i="1"/>
  <c r="AI2020" i="1"/>
  <c r="R2021" i="1"/>
  <c r="V2021" i="1"/>
  <c r="AI2021" i="1"/>
  <c r="R2022" i="1"/>
  <c r="V2022" i="1"/>
  <c r="AI2022" i="1"/>
  <c r="R2023" i="1"/>
  <c r="V2023" i="1"/>
  <c r="AI2023" i="1"/>
  <c r="R2024" i="1"/>
  <c r="V2024" i="1"/>
  <c r="AI2024" i="1"/>
  <c r="R2025" i="1"/>
  <c r="V2025" i="1"/>
  <c r="AI2025" i="1"/>
  <c r="R2026" i="1"/>
  <c r="V2026" i="1"/>
  <c r="AI2026" i="1"/>
  <c r="R2027" i="1"/>
  <c r="V2027" i="1"/>
  <c r="AI2027" i="1"/>
  <c r="R2028" i="1"/>
  <c r="V2028" i="1"/>
  <c r="AI2028" i="1"/>
  <c r="R2029" i="1"/>
  <c r="V2029" i="1"/>
  <c r="AI2029" i="1"/>
  <c r="R2030" i="1"/>
  <c r="V2030" i="1"/>
  <c r="AI2030" i="1"/>
  <c r="R2031" i="1"/>
  <c r="V2031" i="1"/>
  <c r="AI2031" i="1"/>
  <c r="R2032" i="1"/>
  <c r="V2032" i="1"/>
  <c r="AI2032" i="1"/>
  <c r="R2033" i="1"/>
  <c r="V2033" i="1"/>
  <c r="AI2033" i="1"/>
  <c r="R2034" i="1"/>
  <c r="V2034" i="1"/>
  <c r="AI2034" i="1"/>
  <c r="R2035" i="1"/>
  <c r="V2035" i="1"/>
  <c r="AI2035" i="1"/>
  <c r="R2036" i="1"/>
  <c r="V2036" i="1"/>
  <c r="AI2036" i="1"/>
  <c r="R2037" i="1"/>
  <c r="V2037" i="1"/>
  <c r="AI2037" i="1"/>
  <c r="R2038" i="1"/>
  <c r="V2038" i="1"/>
  <c r="AI2038" i="1"/>
  <c r="R2039" i="1"/>
  <c r="V2039" i="1"/>
  <c r="AI2039" i="1"/>
  <c r="R2040" i="1"/>
  <c r="V2040" i="1"/>
  <c r="AI2040" i="1"/>
  <c r="R2041" i="1"/>
  <c r="V2041" i="1"/>
  <c r="AI2041" i="1"/>
  <c r="R2042" i="1"/>
  <c r="V2042" i="1"/>
  <c r="AI2042" i="1"/>
  <c r="R2043" i="1"/>
  <c r="V2043" i="1"/>
  <c r="AI2043" i="1"/>
  <c r="R2044" i="1"/>
  <c r="V2044" i="1"/>
  <c r="AI2044" i="1"/>
  <c r="R2045" i="1"/>
  <c r="V2045" i="1"/>
  <c r="AI2045" i="1"/>
  <c r="R2046" i="1"/>
  <c r="V2046" i="1"/>
  <c r="AI2046" i="1"/>
  <c r="R2047" i="1"/>
  <c r="V2047" i="1"/>
  <c r="AI2047" i="1"/>
  <c r="R2048" i="1"/>
  <c r="V2048" i="1"/>
  <c r="AI2048" i="1"/>
  <c r="R2049" i="1"/>
  <c r="V2049" i="1"/>
  <c r="AI2049" i="1"/>
  <c r="R2050" i="1"/>
  <c r="V2050" i="1"/>
  <c r="AI2050" i="1"/>
  <c r="R2051" i="1"/>
  <c r="V2051" i="1"/>
  <c r="AI2051" i="1"/>
  <c r="R2052" i="1"/>
  <c r="V2052" i="1"/>
  <c r="AI2052" i="1"/>
  <c r="R2053" i="1"/>
  <c r="V2053" i="1"/>
  <c r="AI2053" i="1"/>
  <c r="R2054" i="1"/>
  <c r="V2054" i="1"/>
  <c r="AI2054" i="1"/>
  <c r="R2055" i="1"/>
  <c r="V2055" i="1"/>
  <c r="AI2055" i="1"/>
  <c r="R2056" i="1"/>
  <c r="V2056" i="1"/>
  <c r="AI2056" i="1"/>
  <c r="R2057" i="1"/>
  <c r="V2057" i="1"/>
  <c r="AI2057" i="1"/>
  <c r="R2058" i="1"/>
  <c r="V2058" i="1"/>
  <c r="AI2058" i="1"/>
  <c r="R2059" i="1"/>
  <c r="V2059" i="1"/>
  <c r="AI2059" i="1"/>
  <c r="R2060" i="1"/>
  <c r="V2060" i="1"/>
  <c r="AI2060" i="1"/>
  <c r="R2061" i="1"/>
  <c r="V2061" i="1"/>
  <c r="AI2061" i="1"/>
  <c r="R2062" i="1"/>
  <c r="V2062" i="1"/>
  <c r="AI2062" i="1"/>
  <c r="R2063" i="1"/>
  <c r="V2063" i="1"/>
  <c r="AI2063" i="1"/>
  <c r="R2064" i="1"/>
  <c r="V2064" i="1"/>
  <c r="AI2064" i="1"/>
  <c r="R2065" i="1"/>
  <c r="V2065" i="1"/>
  <c r="AI2065" i="1"/>
  <c r="R2066" i="1"/>
  <c r="V2066" i="1"/>
  <c r="AI2066" i="1"/>
  <c r="R2067" i="1"/>
  <c r="V2067" i="1"/>
  <c r="AI2067" i="1"/>
  <c r="R2068" i="1"/>
  <c r="V2068" i="1"/>
  <c r="AI2068" i="1"/>
  <c r="R2069" i="1"/>
  <c r="V2069" i="1"/>
  <c r="AI2069" i="1"/>
  <c r="R2070" i="1"/>
  <c r="V2070" i="1"/>
  <c r="AI2070" i="1"/>
  <c r="R2071" i="1"/>
  <c r="V2071" i="1"/>
  <c r="AI2071" i="1"/>
  <c r="R2072" i="1"/>
  <c r="V2072" i="1"/>
  <c r="AI2072" i="1"/>
  <c r="R2073" i="1"/>
  <c r="V2073" i="1"/>
  <c r="AI2073" i="1"/>
  <c r="R2074" i="1"/>
  <c r="V2074" i="1"/>
  <c r="AI2074" i="1"/>
  <c r="R2075" i="1"/>
  <c r="V2075" i="1"/>
  <c r="AI2075" i="1"/>
  <c r="R2076" i="1"/>
  <c r="V2076" i="1"/>
  <c r="AI2076" i="1"/>
  <c r="R2077" i="1"/>
  <c r="V2077" i="1"/>
  <c r="AI2077" i="1"/>
  <c r="R2078" i="1"/>
  <c r="V2078" i="1"/>
  <c r="AI2078" i="1"/>
  <c r="R2079" i="1"/>
  <c r="V2079" i="1"/>
  <c r="AI2079" i="1"/>
  <c r="R2080" i="1"/>
  <c r="V2080" i="1"/>
  <c r="AI2080" i="1"/>
  <c r="R2081" i="1"/>
  <c r="V2081" i="1"/>
  <c r="AI2081" i="1"/>
  <c r="R2082" i="1"/>
  <c r="V2082" i="1"/>
  <c r="AI2082" i="1"/>
  <c r="R2083" i="1"/>
  <c r="V2083" i="1"/>
  <c r="AI2083" i="1"/>
  <c r="R2084" i="1"/>
  <c r="V2084" i="1"/>
  <c r="AI2084" i="1"/>
  <c r="R2085" i="1"/>
  <c r="V2085" i="1"/>
  <c r="AI2085" i="1"/>
  <c r="R2086" i="1"/>
  <c r="V2086" i="1"/>
  <c r="AI2086" i="1"/>
  <c r="R2087" i="1"/>
  <c r="V2087" i="1"/>
  <c r="AI2087" i="1"/>
  <c r="R2088" i="1"/>
  <c r="V2088" i="1"/>
  <c r="AI2088" i="1"/>
  <c r="R2089" i="1"/>
  <c r="V2089" i="1"/>
  <c r="AI2089" i="1"/>
  <c r="R2090" i="1"/>
  <c r="V2090" i="1"/>
  <c r="AI2090" i="1"/>
  <c r="R2091" i="1"/>
  <c r="V2091" i="1"/>
  <c r="AI2091" i="1"/>
  <c r="R2092" i="1"/>
  <c r="V2092" i="1"/>
  <c r="AI2092" i="1"/>
  <c r="R2093" i="1"/>
  <c r="V2093" i="1"/>
  <c r="AI2093" i="1"/>
  <c r="R2094" i="1"/>
  <c r="V2094" i="1"/>
  <c r="AI2094" i="1"/>
  <c r="R2095" i="1"/>
  <c r="V2095" i="1"/>
  <c r="AI2095" i="1"/>
  <c r="R2096" i="1"/>
  <c r="V2096" i="1"/>
  <c r="AI2096" i="1"/>
  <c r="R2097" i="1"/>
  <c r="V2097" i="1"/>
  <c r="AI2097" i="1"/>
  <c r="R2098" i="1"/>
  <c r="V2098" i="1"/>
  <c r="AI2098" i="1"/>
  <c r="R2099" i="1"/>
  <c r="V2099" i="1"/>
  <c r="AI2099" i="1"/>
  <c r="R2100" i="1"/>
  <c r="V2100" i="1"/>
  <c r="AI2100" i="1"/>
  <c r="R2101" i="1"/>
  <c r="V2101" i="1"/>
  <c r="AI2101" i="1"/>
  <c r="R2102" i="1"/>
  <c r="V2102" i="1"/>
  <c r="AI2102" i="1"/>
  <c r="R2103" i="1"/>
  <c r="V2103" i="1"/>
  <c r="AI2103" i="1"/>
  <c r="R2104" i="1"/>
  <c r="V2104" i="1"/>
  <c r="AI2104" i="1"/>
  <c r="R2105" i="1"/>
  <c r="V2105" i="1"/>
  <c r="AI2105" i="1"/>
  <c r="R2106" i="1"/>
  <c r="V2106" i="1"/>
  <c r="AI2106" i="1"/>
  <c r="R2107" i="1"/>
  <c r="V2107" i="1"/>
  <c r="AI2107" i="1"/>
  <c r="R2108" i="1"/>
  <c r="V2108" i="1"/>
  <c r="AI2108" i="1"/>
  <c r="R2109" i="1"/>
  <c r="V2109" i="1"/>
  <c r="AI2109" i="1"/>
  <c r="R2110" i="1"/>
  <c r="V2110" i="1"/>
  <c r="AI2110" i="1"/>
  <c r="R2111" i="1"/>
  <c r="V2111" i="1"/>
  <c r="AI2111" i="1"/>
  <c r="R2112" i="1"/>
  <c r="V2112" i="1"/>
  <c r="AI2112" i="1"/>
  <c r="R2113" i="1"/>
  <c r="V2113" i="1"/>
  <c r="AI2113" i="1"/>
  <c r="R2114" i="1"/>
  <c r="V2114" i="1"/>
  <c r="AI2114" i="1"/>
  <c r="R2115" i="1"/>
  <c r="V2115" i="1"/>
  <c r="AI2115" i="1"/>
  <c r="R2116" i="1"/>
  <c r="V2116" i="1"/>
  <c r="AI2116" i="1"/>
  <c r="R2117" i="1"/>
  <c r="V2117" i="1"/>
  <c r="AI2117" i="1"/>
  <c r="R2118" i="1"/>
  <c r="V2118" i="1"/>
  <c r="AI2118" i="1"/>
  <c r="R2119" i="1"/>
  <c r="V2119" i="1"/>
  <c r="AI2119" i="1"/>
  <c r="R2120" i="1"/>
  <c r="V2120" i="1"/>
  <c r="AI2120" i="1"/>
  <c r="R2121" i="1"/>
  <c r="V2121" i="1"/>
  <c r="AI2121" i="1"/>
  <c r="R2122" i="1"/>
  <c r="V2122" i="1"/>
  <c r="AI2122" i="1"/>
  <c r="R2123" i="1"/>
  <c r="V2123" i="1"/>
  <c r="AI2123" i="1"/>
  <c r="R2124" i="1"/>
  <c r="V2124" i="1"/>
  <c r="AI2124" i="1"/>
  <c r="R2125" i="1"/>
  <c r="V2125" i="1"/>
  <c r="AI2125" i="1"/>
  <c r="R2126" i="1"/>
  <c r="V2126" i="1"/>
  <c r="AI2126" i="1"/>
  <c r="R2127" i="1"/>
  <c r="V2127" i="1"/>
  <c r="AI2127" i="1"/>
  <c r="R2128" i="1"/>
  <c r="V2128" i="1"/>
  <c r="AI2128" i="1"/>
  <c r="R2129" i="1"/>
  <c r="V2129" i="1"/>
  <c r="AI2129" i="1"/>
  <c r="R2130" i="1"/>
  <c r="V2130" i="1"/>
  <c r="AI2130" i="1"/>
  <c r="R2131" i="1"/>
  <c r="V2131" i="1"/>
  <c r="AI2131" i="1"/>
  <c r="R2132" i="1"/>
  <c r="V2132" i="1"/>
  <c r="AI2132" i="1"/>
  <c r="R2133" i="1"/>
  <c r="V2133" i="1"/>
  <c r="AI2133" i="1"/>
  <c r="R2134" i="1"/>
  <c r="V2134" i="1"/>
  <c r="AI2134" i="1"/>
  <c r="R2135" i="1"/>
  <c r="V2135" i="1"/>
  <c r="AI2135" i="1"/>
  <c r="R2136" i="1"/>
  <c r="V2136" i="1"/>
  <c r="AI2136" i="1"/>
  <c r="R2137" i="1"/>
  <c r="V2137" i="1"/>
  <c r="AI2137" i="1"/>
  <c r="R2138" i="1"/>
  <c r="V2138" i="1"/>
  <c r="AI2138" i="1"/>
  <c r="R2139" i="1"/>
  <c r="V2139" i="1"/>
  <c r="AI2139" i="1"/>
  <c r="R2140" i="1"/>
  <c r="V2140" i="1"/>
  <c r="AI2140" i="1"/>
  <c r="R2141" i="1"/>
  <c r="V2141" i="1"/>
  <c r="AI2141" i="1"/>
  <c r="R2142" i="1"/>
  <c r="V2142" i="1"/>
  <c r="AI2142" i="1"/>
  <c r="R2143" i="1"/>
  <c r="V2143" i="1"/>
  <c r="AI2143" i="1"/>
  <c r="R2144" i="1"/>
  <c r="V2144" i="1"/>
  <c r="AI2144" i="1"/>
  <c r="R2145" i="1"/>
  <c r="V2145" i="1"/>
  <c r="AI2145" i="1"/>
  <c r="R2146" i="1"/>
  <c r="V2146" i="1"/>
  <c r="AI2146" i="1"/>
  <c r="R2147" i="1"/>
  <c r="V2147" i="1"/>
  <c r="AI2147" i="1"/>
  <c r="R2148" i="1"/>
  <c r="V2148" i="1"/>
  <c r="AI2148" i="1"/>
  <c r="R2149" i="1"/>
  <c r="V2149" i="1"/>
  <c r="AI2149" i="1"/>
  <c r="R2150" i="1"/>
  <c r="V2150" i="1"/>
  <c r="AI2150" i="1"/>
  <c r="R2151" i="1"/>
  <c r="V2151" i="1"/>
  <c r="AI2151" i="1"/>
  <c r="R2152" i="1"/>
  <c r="V2152" i="1"/>
  <c r="AI2152" i="1"/>
  <c r="R2153" i="1"/>
  <c r="V2153" i="1"/>
  <c r="AI2153" i="1"/>
  <c r="R2154" i="1"/>
  <c r="V2154" i="1"/>
  <c r="AI2154" i="1"/>
  <c r="R2155" i="1"/>
  <c r="V2155" i="1"/>
  <c r="AI2155" i="1"/>
  <c r="R2156" i="1"/>
  <c r="V2156" i="1"/>
  <c r="AI2156" i="1"/>
  <c r="R2157" i="1"/>
  <c r="V2157" i="1"/>
  <c r="AI2157" i="1"/>
  <c r="R2158" i="1"/>
  <c r="V2158" i="1"/>
  <c r="AI2158" i="1"/>
  <c r="R2159" i="1"/>
  <c r="V2159" i="1"/>
  <c r="AI2159" i="1"/>
  <c r="R2160" i="1"/>
  <c r="V2160" i="1"/>
  <c r="AI2160" i="1"/>
  <c r="R2161" i="1"/>
  <c r="V2161" i="1"/>
  <c r="AI2161" i="1"/>
  <c r="R2162" i="1"/>
  <c r="V2162" i="1"/>
  <c r="AI2162" i="1"/>
  <c r="R2163" i="1"/>
  <c r="V2163" i="1"/>
  <c r="AI2163" i="1"/>
  <c r="R2164" i="1"/>
  <c r="V2164" i="1"/>
  <c r="AI2164" i="1"/>
  <c r="R2165" i="1"/>
  <c r="V2165" i="1"/>
  <c r="AI2165" i="1"/>
  <c r="R2166" i="1"/>
  <c r="V2166" i="1"/>
  <c r="AI2166" i="1"/>
  <c r="R2167" i="1"/>
  <c r="V2167" i="1"/>
  <c r="AI2167" i="1"/>
  <c r="R2168" i="1"/>
  <c r="V2168" i="1"/>
  <c r="AI2168" i="1"/>
  <c r="R2169" i="1"/>
  <c r="V2169" i="1"/>
  <c r="AI2169" i="1"/>
  <c r="R2170" i="1"/>
  <c r="V2170" i="1"/>
  <c r="AI2170" i="1"/>
  <c r="R2171" i="1"/>
  <c r="V2171" i="1"/>
  <c r="AI2171" i="1"/>
  <c r="R2172" i="1"/>
  <c r="V2172" i="1"/>
  <c r="AI2172" i="1"/>
  <c r="R2173" i="1"/>
  <c r="V2173" i="1"/>
  <c r="AI2173" i="1"/>
  <c r="R2174" i="1"/>
  <c r="V2174" i="1"/>
  <c r="AI2174" i="1"/>
  <c r="R2175" i="1"/>
  <c r="V2175" i="1"/>
  <c r="AI2175" i="1"/>
  <c r="R2176" i="1"/>
  <c r="V2176" i="1"/>
  <c r="AI2176" i="1"/>
  <c r="R2177" i="1"/>
  <c r="V2177" i="1"/>
  <c r="AI2177" i="1"/>
  <c r="R2178" i="1"/>
  <c r="V2178" i="1"/>
  <c r="AI2178" i="1"/>
  <c r="R2179" i="1"/>
  <c r="V2179" i="1"/>
  <c r="AI2179" i="1"/>
  <c r="R2180" i="1"/>
  <c r="V2180" i="1"/>
  <c r="AI2180" i="1"/>
  <c r="R2181" i="1"/>
  <c r="V2181" i="1"/>
  <c r="AI2181" i="1"/>
  <c r="R2182" i="1"/>
  <c r="V2182" i="1"/>
  <c r="AI2182" i="1"/>
  <c r="R2183" i="1"/>
  <c r="V2183" i="1"/>
  <c r="AI2183" i="1"/>
  <c r="R2184" i="1"/>
  <c r="V2184" i="1"/>
  <c r="AI2184" i="1"/>
  <c r="R2185" i="1"/>
  <c r="V2185" i="1"/>
  <c r="AI2185" i="1"/>
  <c r="R2186" i="1"/>
  <c r="V2186" i="1"/>
  <c r="AI2186" i="1"/>
  <c r="R2187" i="1"/>
  <c r="V2187" i="1"/>
  <c r="AI2187" i="1"/>
  <c r="R2188" i="1"/>
  <c r="V2188" i="1"/>
  <c r="AI2188" i="1"/>
  <c r="R2189" i="1"/>
  <c r="V2189" i="1"/>
  <c r="AI2189" i="1"/>
  <c r="R2190" i="1"/>
  <c r="V2190" i="1"/>
  <c r="AI2190" i="1"/>
  <c r="R2191" i="1"/>
  <c r="V2191" i="1"/>
  <c r="AI2191" i="1"/>
  <c r="R2192" i="1"/>
  <c r="V2192" i="1"/>
  <c r="AI2192" i="1"/>
  <c r="R2193" i="1"/>
  <c r="V2193" i="1"/>
  <c r="AI2193" i="1"/>
  <c r="R2194" i="1"/>
  <c r="V2194" i="1"/>
  <c r="AI2194" i="1"/>
  <c r="R2195" i="1"/>
  <c r="V2195" i="1"/>
  <c r="AI2195" i="1"/>
  <c r="R2196" i="1"/>
  <c r="V2196" i="1"/>
  <c r="AI2196" i="1"/>
  <c r="R2197" i="1"/>
  <c r="V2197" i="1"/>
  <c r="AI2197" i="1"/>
  <c r="R2198" i="1"/>
  <c r="V2198" i="1"/>
  <c r="AI2198" i="1"/>
  <c r="R2199" i="1"/>
  <c r="V2199" i="1"/>
  <c r="AI2199" i="1"/>
  <c r="R2200" i="1"/>
  <c r="V2200" i="1"/>
  <c r="AI2200" i="1"/>
  <c r="R2201" i="1"/>
  <c r="V2201" i="1"/>
  <c r="AI2201" i="1"/>
  <c r="R2202" i="1"/>
  <c r="V2202" i="1"/>
  <c r="AI2202" i="1"/>
  <c r="R2203" i="1"/>
  <c r="V2203" i="1"/>
  <c r="AI2203" i="1"/>
  <c r="R2204" i="1"/>
  <c r="V2204" i="1"/>
  <c r="AI2204" i="1"/>
  <c r="R2205" i="1"/>
  <c r="V2205" i="1"/>
  <c r="AI2205" i="1"/>
  <c r="R2206" i="1"/>
  <c r="V2206" i="1"/>
  <c r="AI2206" i="1"/>
  <c r="R2207" i="1"/>
  <c r="V2207" i="1"/>
  <c r="AI2207" i="1"/>
  <c r="R2208" i="1"/>
  <c r="V2208" i="1"/>
  <c r="AI2208" i="1"/>
  <c r="R2209" i="1"/>
  <c r="V2209" i="1"/>
  <c r="AI2209" i="1"/>
  <c r="R2210" i="1"/>
  <c r="V2210" i="1"/>
  <c r="AI2210" i="1"/>
  <c r="R2211" i="1"/>
  <c r="V2211" i="1"/>
  <c r="AI2211" i="1"/>
  <c r="R2212" i="1"/>
  <c r="V2212" i="1"/>
  <c r="AI2212" i="1"/>
  <c r="R2213" i="1"/>
  <c r="V2213" i="1"/>
  <c r="AI2213" i="1"/>
  <c r="R2214" i="1"/>
  <c r="V2214" i="1"/>
  <c r="AI2214" i="1"/>
  <c r="R2215" i="1"/>
  <c r="V2215" i="1"/>
  <c r="AI2215" i="1"/>
  <c r="R2216" i="1"/>
  <c r="V2216" i="1"/>
  <c r="AI2216" i="1"/>
  <c r="R2217" i="1"/>
  <c r="V2217" i="1"/>
  <c r="AI2217" i="1"/>
  <c r="R2218" i="1"/>
  <c r="V2218" i="1"/>
  <c r="AI2218" i="1"/>
  <c r="R2219" i="1"/>
  <c r="V2219" i="1"/>
  <c r="AI2219" i="1"/>
  <c r="R2220" i="1"/>
  <c r="V2220" i="1"/>
  <c r="AI2220" i="1"/>
  <c r="R2221" i="1"/>
  <c r="V2221" i="1"/>
  <c r="AI2221" i="1"/>
  <c r="R2222" i="1"/>
  <c r="V2222" i="1"/>
  <c r="AI2222" i="1"/>
  <c r="R2223" i="1"/>
  <c r="V2223" i="1"/>
  <c r="AI2223" i="1"/>
  <c r="R2224" i="1"/>
  <c r="V2224" i="1"/>
  <c r="AI2224" i="1"/>
  <c r="R2225" i="1"/>
  <c r="V2225" i="1"/>
  <c r="AI2225" i="1"/>
  <c r="R2226" i="1"/>
  <c r="V2226" i="1"/>
  <c r="AI2226" i="1"/>
  <c r="R2227" i="1"/>
  <c r="V2227" i="1"/>
  <c r="AI2227" i="1"/>
  <c r="R2228" i="1"/>
  <c r="V2228" i="1"/>
  <c r="AI2228" i="1"/>
  <c r="R2229" i="1"/>
  <c r="V2229" i="1"/>
  <c r="AI2229" i="1"/>
  <c r="R2230" i="1"/>
  <c r="V2230" i="1"/>
  <c r="AI2230" i="1"/>
  <c r="R2231" i="1"/>
  <c r="V2231" i="1"/>
  <c r="AI2231" i="1"/>
  <c r="R2232" i="1"/>
  <c r="V2232" i="1"/>
  <c r="AI2232" i="1"/>
  <c r="R2233" i="1"/>
  <c r="V2233" i="1"/>
  <c r="AI2233" i="1"/>
  <c r="R2234" i="1"/>
  <c r="V2234" i="1"/>
  <c r="AI2234" i="1"/>
  <c r="R2235" i="1"/>
  <c r="V2235" i="1"/>
  <c r="AI2235" i="1"/>
  <c r="R2236" i="1"/>
  <c r="V2236" i="1"/>
  <c r="AI2236" i="1"/>
  <c r="R2237" i="1"/>
  <c r="V2237" i="1"/>
  <c r="AI2237" i="1"/>
  <c r="R2238" i="1"/>
  <c r="V2238" i="1"/>
  <c r="AI2238" i="1"/>
  <c r="R2239" i="1"/>
  <c r="V2239" i="1"/>
  <c r="AI2239" i="1"/>
  <c r="R2240" i="1"/>
  <c r="V2240" i="1"/>
  <c r="AI2240" i="1"/>
  <c r="R2241" i="1"/>
  <c r="V2241" i="1"/>
  <c r="AI2241" i="1"/>
  <c r="R2242" i="1"/>
  <c r="V2242" i="1"/>
  <c r="AI2242" i="1"/>
  <c r="R2243" i="1"/>
  <c r="V2243" i="1"/>
  <c r="AI2243" i="1"/>
  <c r="R2244" i="1"/>
  <c r="V2244" i="1"/>
  <c r="AI2244" i="1"/>
  <c r="R2245" i="1"/>
  <c r="V2245" i="1"/>
  <c r="AI2245" i="1"/>
  <c r="R2246" i="1"/>
  <c r="V2246" i="1"/>
  <c r="AI2246" i="1"/>
  <c r="R2247" i="1"/>
  <c r="V2247" i="1"/>
  <c r="AI2247" i="1"/>
  <c r="R2248" i="1"/>
  <c r="V2248" i="1"/>
  <c r="AI2248" i="1"/>
  <c r="R2249" i="1"/>
  <c r="V2249" i="1"/>
  <c r="AI2249" i="1"/>
  <c r="R2250" i="1"/>
  <c r="V2250" i="1"/>
  <c r="AI2250" i="1"/>
  <c r="R2251" i="1"/>
  <c r="V2251" i="1"/>
  <c r="AI2251" i="1"/>
  <c r="R2252" i="1"/>
  <c r="V2252" i="1"/>
  <c r="AI2252" i="1"/>
  <c r="R2253" i="1"/>
  <c r="V2253" i="1"/>
  <c r="AI2253" i="1"/>
  <c r="R2254" i="1"/>
  <c r="V2254" i="1"/>
  <c r="AI2254" i="1"/>
  <c r="R2255" i="1"/>
  <c r="V2255" i="1"/>
  <c r="AI2255" i="1"/>
  <c r="R2256" i="1"/>
  <c r="V2256" i="1"/>
  <c r="AI2256" i="1"/>
  <c r="R2257" i="1"/>
  <c r="V2257" i="1"/>
  <c r="AI2257" i="1"/>
  <c r="R2258" i="1"/>
  <c r="V2258" i="1"/>
  <c r="AI2258" i="1"/>
  <c r="R2259" i="1"/>
  <c r="V2259" i="1"/>
  <c r="AI2259" i="1"/>
  <c r="R2260" i="1"/>
  <c r="V2260" i="1"/>
  <c r="AI2260" i="1"/>
  <c r="R2261" i="1"/>
  <c r="V2261" i="1"/>
  <c r="AI2261" i="1"/>
  <c r="R2262" i="1"/>
  <c r="V2262" i="1"/>
  <c r="AI2262" i="1"/>
  <c r="R2263" i="1"/>
  <c r="V2263" i="1"/>
  <c r="AI2263" i="1"/>
  <c r="R2264" i="1"/>
  <c r="V2264" i="1"/>
  <c r="AI2264" i="1"/>
  <c r="R2265" i="1"/>
  <c r="V2265" i="1"/>
  <c r="AI2265" i="1"/>
  <c r="R2266" i="1"/>
  <c r="V2266" i="1"/>
  <c r="AI2266" i="1"/>
  <c r="R2267" i="1"/>
  <c r="V2267" i="1"/>
  <c r="AI2267" i="1"/>
  <c r="R2268" i="1"/>
  <c r="V2268" i="1"/>
  <c r="AI2268" i="1"/>
  <c r="R2269" i="1"/>
  <c r="V2269" i="1"/>
  <c r="AI2269" i="1"/>
  <c r="R2270" i="1"/>
  <c r="V2270" i="1"/>
  <c r="AI2270" i="1"/>
  <c r="R2271" i="1"/>
  <c r="V2271" i="1"/>
  <c r="AI2271" i="1"/>
  <c r="R2272" i="1"/>
  <c r="V2272" i="1"/>
  <c r="AI2272" i="1"/>
  <c r="R2273" i="1"/>
  <c r="V2273" i="1"/>
  <c r="AI2273" i="1"/>
  <c r="R2274" i="1"/>
  <c r="V2274" i="1"/>
  <c r="AI2274" i="1"/>
  <c r="R2275" i="1"/>
  <c r="V2275" i="1"/>
  <c r="AI2275" i="1"/>
  <c r="R2276" i="1"/>
  <c r="V2276" i="1"/>
  <c r="AI2276" i="1"/>
  <c r="R2277" i="1"/>
  <c r="V2277" i="1"/>
  <c r="AI2277" i="1"/>
  <c r="R2278" i="1"/>
  <c r="V2278" i="1"/>
  <c r="AI2278" i="1"/>
  <c r="R2279" i="1"/>
  <c r="V2279" i="1"/>
  <c r="AI2279" i="1"/>
  <c r="R2280" i="1"/>
  <c r="V2280" i="1"/>
  <c r="AI2280" i="1"/>
  <c r="R2281" i="1"/>
  <c r="V2281" i="1"/>
  <c r="AI2281" i="1"/>
  <c r="R2282" i="1"/>
  <c r="V2282" i="1"/>
  <c r="AI2282" i="1"/>
  <c r="R2283" i="1"/>
  <c r="V2283" i="1"/>
  <c r="AI2283" i="1"/>
  <c r="R2284" i="1"/>
  <c r="V2284" i="1"/>
  <c r="AI2284" i="1"/>
  <c r="R2285" i="1"/>
  <c r="V2285" i="1"/>
  <c r="AI2285" i="1"/>
  <c r="R2286" i="1"/>
  <c r="V2286" i="1"/>
  <c r="AI2286" i="1"/>
  <c r="R2287" i="1"/>
  <c r="V2287" i="1"/>
  <c r="AI2287" i="1"/>
  <c r="R2288" i="1"/>
  <c r="V2288" i="1"/>
  <c r="AI2288" i="1"/>
  <c r="R2289" i="1"/>
  <c r="V2289" i="1"/>
  <c r="AI2289" i="1"/>
  <c r="R2290" i="1"/>
  <c r="V2290" i="1"/>
  <c r="AI2290" i="1"/>
  <c r="R2291" i="1"/>
  <c r="V2291" i="1"/>
  <c r="AI2291" i="1"/>
  <c r="R2292" i="1"/>
  <c r="V2292" i="1"/>
  <c r="AI2292" i="1"/>
  <c r="R2293" i="1"/>
  <c r="V2293" i="1"/>
  <c r="AI2293" i="1"/>
  <c r="R2294" i="1"/>
  <c r="V2294" i="1"/>
  <c r="AI2294" i="1"/>
  <c r="R2295" i="1"/>
  <c r="V2295" i="1"/>
  <c r="AI2295" i="1"/>
  <c r="R2296" i="1"/>
  <c r="V2296" i="1"/>
  <c r="AI2296" i="1"/>
  <c r="R2297" i="1"/>
  <c r="V2297" i="1"/>
  <c r="AI2297" i="1"/>
  <c r="R2298" i="1"/>
  <c r="V2298" i="1"/>
  <c r="AI2298" i="1"/>
  <c r="R2299" i="1"/>
  <c r="V2299" i="1"/>
  <c r="AI2299" i="1"/>
  <c r="R2300" i="1"/>
  <c r="V2300" i="1"/>
  <c r="AI2300" i="1"/>
  <c r="R2301" i="1"/>
  <c r="V2301" i="1"/>
  <c r="AI2301" i="1"/>
  <c r="R2302" i="1"/>
  <c r="V2302" i="1"/>
  <c r="AI2302" i="1"/>
  <c r="R2303" i="1"/>
  <c r="V2303" i="1"/>
  <c r="AI2303" i="1"/>
  <c r="R2304" i="1"/>
  <c r="V2304" i="1"/>
  <c r="AI2304" i="1"/>
  <c r="R2305" i="1"/>
  <c r="V2305" i="1"/>
  <c r="AI2305" i="1"/>
  <c r="AI1" i="1"/>
  <c r="T1" i="1"/>
  <c r="T2305" i="1"/>
  <c r="W1" i="1"/>
  <c r="W2305" i="1"/>
  <c r="AG2305" i="1"/>
  <c r="T2304" i="1"/>
  <c r="W2304" i="1"/>
  <c r="AG2304" i="1"/>
  <c r="T2303" i="1"/>
  <c r="W2303" i="1"/>
  <c r="AG2303" i="1"/>
  <c r="T2302" i="1"/>
  <c r="W2302" i="1"/>
  <c r="AG2302" i="1"/>
  <c r="T2301" i="1"/>
  <c r="W2301" i="1"/>
  <c r="AG2301" i="1"/>
  <c r="T2300" i="1"/>
  <c r="W2300" i="1"/>
  <c r="AG2300" i="1"/>
  <c r="T2299" i="1"/>
  <c r="W2299" i="1"/>
  <c r="AG2299" i="1"/>
  <c r="T2298" i="1"/>
  <c r="W2298" i="1"/>
  <c r="AG2298" i="1"/>
  <c r="T2297" i="1"/>
  <c r="W2297" i="1"/>
  <c r="AG2297" i="1"/>
  <c r="T2296" i="1"/>
  <c r="W2296" i="1"/>
  <c r="AG2296" i="1"/>
  <c r="T2295" i="1"/>
  <c r="W2295" i="1"/>
  <c r="AG2295" i="1"/>
  <c r="T2294" i="1"/>
  <c r="W2294" i="1"/>
  <c r="AG2294" i="1"/>
  <c r="T2293" i="1"/>
  <c r="W2293" i="1"/>
  <c r="AG2293" i="1"/>
  <c r="T2292" i="1"/>
  <c r="W2292" i="1"/>
  <c r="AG2292" i="1"/>
  <c r="T2291" i="1"/>
  <c r="W2291" i="1"/>
  <c r="AG2291" i="1"/>
  <c r="T2290" i="1"/>
  <c r="W2290" i="1"/>
  <c r="AG2290" i="1"/>
  <c r="T2289" i="1"/>
  <c r="W2289" i="1"/>
  <c r="AG2289" i="1"/>
  <c r="T2288" i="1"/>
  <c r="W2288" i="1"/>
  <c r="AG2288" i="1"/>
  <c r="T2287" i="1"/>
  <c r="W2287" i="1"/>
  <c r="AG2287" i="1"/>
  <c r="T2286" i="1"/>
  <c r="W2286" i="1"/>
  <c r="AG2286" i="1"/>
  <c r="T2285" i="1"/>
  <c r="W2285" i="1"/>
  <c r="AG2285" i="1"/>
  <c r="T2284" i="1"/>
  <c r="W2284" i="1"/>
  <c r="AG2284" i="1"/>
  <c r="T2283" i="1"/>
  <c r="W2283" i="1"/>
  <c r="AG2283" i="1"/>
  <c r="T2282" i="1"/>
  <c r="W2282" i="1"/>
  <c r="AG2282" i="1"/>
  <c r="T2281" i="1"/>
  <c r="W2281" i="1"/>
  <c r="AG2281" i="1"/>
  <c r="T2280" i="1"/>
  <c r="W2280" i="1"/>
  <c r="AG2280" i="1"/>
  <c r="T2279" i="1"/>
  <c r="W2279" i="1"/>
  <c r="AG2279" i="1"/>
  <c r="T2278" i="1"/>
  <c r="W2278" i="1"/>
  <c r="AG2278" i="1"/>
  <c r="T2277" i="1"/>
  <c r="W2277" i="1"/>
  <c r="AG2277" i="1"/>
  <c r="T2276" i="1"/>
  <c r="W2276" i="1"/>
  <c r="AG2276" i="1"/>
  <c r="T2275" i="1"/>
  <c r="W2275" i="1"/>
  <c r="AG2275" i="1"/>
  <c r="T2274" i="1"/>
  <c r="W2274" i="1"/>
  <c r="AG2274" i="1"/>
  <c r="T2273" i="1"/>
  <c r="W2273" i="1"/>
  <c r="AG2273" i="1"/>
  <c r="T2272" i="1"/>
  <c r="W2272" i="1"/>
  <c r="AG2272" i="1"/>
  <c r="T2271" i="1"/>
  <c r="W2271" i="1"/>
  <c r="AG2271" i="1"/>
  <c r="T2270" i="1"/>
  <c r="W2270" i="1"/>
  <c r="AG2270" i="1"/>
  <c r="T2269" i="1"/>
  <c r="W2269" i="1"/>
  <c r="AG2269" i="1"/>
  <c r="T2268" i="1"/>
  <c r="W2268" i="1"/>
  <c r="AG2268" i="1"/>
  <c r="T2267" i="1"/>
  <c r="W2267" i="1"/>
  <c r="AG2267" i="1"/>
  <c r="T2266" i="1"/>
  <c r="W2266" i="1"/>
  <c r="AG2266" i="1"/>
  <c r="T2265" i="1"/>
  <c r="W2265" i="1"/>
  <c r="AG2265" i="1"/>
  <c r="T2264" i="1"/>
  <c r="W2264" i="1"/>
  <c r="AG2264" i="1"/>
  <c r="T2263" i="1"/>
  <c r="W2263" i="1"/>
  <c r="AG2263" i="1"/>
  <c r="T2262" i="1"/>
  <c r="W2262" i="1"/>
  <c r="AG2262" i="1"/>
  <c r="T2261" i="1"/>
  <c r="W2261" i="1"/>
  <c r="AG2261" i="1"/>
  <c r="T2260" i="1"/>
  <c r="W2260" i="1"/>
  <c r="AG2260" i="1"/>
  <c r="T2259" i="1"/>
  <c r="W2259" i="1"/>
  <c r="AG2259" i="1"/>
  <c r="T2258" i="1"/>
  <c r="W2258" i="1"/>
  <c r="AG2258" i="1"/>
  <c r="T2257" i="1"/>
  <c r="W2257" i="1"/>
  <c r="AG2257" i="1"/>
  <c r="T2256" i="1"/>
  <c r="W2256" i="1"/>
  <c r="AG2256" i="1"/>
  <c r="T2255" i="1"/>
  <c r="W2255" i="1"/>
  <c r="AG2255" i="1"/>
  <c r="T2254" i="1"/>
  <c r="W2254" i="1"/>
  <c r="AG2254" i="1"/>
  <c r="T2253" i="1"/>
  <c r="W2253" i="1"/>
  <c r="AG2253" i="1"/>
  <c r="T2252" i="1"/>
  <c r="W2252" i="1"/>
  <c r="AG2252" i="1"/>
  <c r="T2251" i="1"/>
  <c r="W2251" i="1"/>
  <c r="AG2251" i="1"/>
  <c r="T2250" i="1"/>
  <c r="W2250" i="1"/>
  <c r="AG2250" i="1"/>
  <c r="T2249" i="1"/>
  <c r="W2249" i="1"/>
  <c r="AG2249" i="1"/>
  <c r="T2248" i="1"/>
  <c r="W2248" i="1"/>
  <c r="AG2248" i="1"/>
  <c r="T2247" i="1"/>
  <c r="W2247" i="1"/>
  <c r="AG2247" i="1"/>
  <c r="T2246" i="1"/>
  <c r="W2246" i="1"/>
  <c r="AG2246" i="1"/>
  <c r="T2245" i="1"/>
  <c r="W2245" i="1"/>
  <c r="AG2245" i="1"/>
  <c r="T2244" i="1"/>
  <c r="W2244" i="1"/>
  <c r="AG2244" i="1"/>
  <c r="T2243" i="1"/>
  <c r="W2243" i="1"/>
  <c r="AG2243" i="1"/>
  <c r="T2242" i="1"/>
  <c r="W2242" i="1"/>
  <c r="AG2242" i="1"/>
  <c r="T2241" i="1"/>
  <c r="W2241" i="1"/>
  <c r="AG2241" i="1"/>
  <c r="T2240" i="1"/>
  <c r="W2240" i="1"/>
  <c r="AG2240" i="1"/>
  <c r="T2239" i="1"/>
  <c r="W2239" i="1"/>
  <c r="AG2239" i="1"/>
  <c r="T2238" i="1"/>
  <c r="W2238" i="1"/>
  <c r="AG2238" i="1"/>
  <c r="T2237" i="1"/>
  <c r="W2237" i="1"/>
  <c r="AG2237" i="1"/>
  <c r="T2236" i="1"/>
  <c r="W2236" i="1"/>
  <c r="AG2236" i="1"/>
  <c r="T2235" i="1"/>
  <c r="W2235" i="1"/>
  <c r="AG2235" i="1"/>
  <c r="T2234" i="1"/>
  <c r="W2234" i="1"/>
  <c r="AG2234" i="1"/>
  <c r="T2233" i="1"/>
  <c r="W2233" i="1"/>
  <c r="AG2233" i="1"/>
  <c r="T2232" i="1"/>
  <c r="W2232" i="1"/>
  <c r="AG2232" i="1"/>
  <c r="T2231" i="1"/>
  <c r="W2231" i="1"/>
  <c r="AG2231" i="1"/>
  <c r="T2230" i="1"/>
  <c r="W2230" i="1"/>
  <c r="AG2230" i="1"/>
  <c r="T2229" i="1"/>
  <c r="W2229" i="1"/>
  <c r="AG2229" i="1"/>
  <c r="T2228" i="1"/>
  <c r="W2228" i="1"/>
  <c r="AG2228" i="1"/>
  <c r="T2227" i="1"/>
  <c r="W2227" i="1"/>
  <c r="AG2227" i="1"/>
  <c r="T2226" i="1"/>
  <c r="W2226" i="1"/>
  <c r="AG2226" i="1"/>
  <c r="T2225" i="1"/>
  <c r="W2225" i="1"/>
  <c r="AG2225" i="1"/>
  <c r="T2224" i="1"/>
  <c r="W2224" i="1"/>
  <c r="AG2224" i="1"/>
  <c r="T2223" i="1"/>
  <c r="W2223" i="1"/>
  <c r="AG2223" i="1"/>
  <c r="T2222" i="1"/>
  <c r="W2222" i="1"/>
  <c r="AG2222" i="1"/>
  <c r="T2221" i="1"/>
  <c r="W2221" i="1"/>
  <c r="AG2221" i="1"/>
  <c r="T2220" i="1"/>
  <c r="W2220" i="1"/>
  <c r="AG2220" i="1"/>
  <c r="T2219" i="1"/>
  <c r="W2219" i="1"/>
  <c r="AG2219" i="1"/>
  <c r="T2218" i="1"/>
  <c r="W2218" i="1"/>
  <c r="AG2218" i="1"/>
  <c r="T2217" i="1"/>
  <c r="W2217" i="1"/>
  <c r="AG2217" i="1"/>
  <c r="T2216" i="1"/>
  <c r="W2216" i="1"/>
  <c r="AG2216" i="1"/>
  <c r="T2215" i="1"/>
  <c r="W2215" i="1"/>
  <c r="AG2215" i="1"/>
  <c r="T2214" i="1"/>
  <c r="W2214" i="1"/>
  <c r="AG2214" i="1"/>
  <c r="T2213" i="1"/>
  <c r="W2213" i="1"/>
  <c r="AG2213" i="1"/>
  <c r="T2212" i="1"/>
  <c r="W2212" i="1"/>
  <c r="AG2212" i="1"/>
  <c r="T2211" i="1"/>
  <c r="W2211" i="1"/>
  <c r="AG2211" i="1"/>
  <c r="T2210" i="1"/>
  <c r="W2210" i="1"/>
  <c r="AG2210" i="1"/>
  <c r="T2209" i="1"/>
  <c r="W2209" i="1"/>
  <c r="AG2209" i="1"/>
  <c r="T2208" i="1"/>
  <c r="W2208" i="1"/>
  <c r="AG2208" i="1"/>
  <c r="T2207" i="1"/>
  <c r="W2207" i="1"/>
  <c r="AG2207" i="1"/>
  <c r="T2206" i="1"/>
  <c r="W2206" i="1"/>
  <c r="AG2206" i="1"/>
  <c r="T2205" i="1"/>
  <c r="W2205" i="1"/>
  <c r="AG2205" i="1"/>
  <c r="T2204" i="1"/>
  <c r="W2204" i="1"/>
  <c r="AG2204" i="1"/>
  <c r="T2203" i="1"/>
  <c r="W2203" i="1"/>
  <c r="AG2203" i="1"/>
  <c r="T2202" i="1"/>
  <c r="W2202" i="1"/>
  <c r="AG2202" i="1"/>
  <c r="T2201" i="1"/>
  <c r="W2201" i="1"/>
  <c r="AG2201" i="1"/>
  <c r="T2200" i="1"/>
  <c r="W2200" i="1"/>
  <c r="AG2200" i="1"/>
  <c r="T2199" i="1"/>
  <c r="W2199" i="1"/>
  <c r="AG2199" i="1"/>
  <c r="T2198" i="1"/>
  <c r="W2198" i="1"/>
  <c r="AG2198" i="1"/>
  <c r="T2197" i="1"/>
  <c r="W2197" i="1"/>
  <c r="AG2197" i="1"/>
  <c r="T2196" i="1"/>
  <c r="W2196" i="1"/>
  <c r="AG2196" i="1"/>
  <c r="T2195" i="1"/>
  <c r="W2195" i="1"/>
  <c r="AG2195" i="1"/>
  <c r="T2194" i="1"/>
  <c r="W2194" i="1"/>
  <c r="AG2194" i="1"/>
  <c r="T2193" i="1"/>
  <c r="W2193" i="1"/>
  <c r="AG2193" i="1"/>
  <c r="T2192" i="1"/>
  <c r="W2192" i="1"/>
  <c r="AG2192" i="1"/>
  <c r="T2191" i="1"/>
  <c r="W2191" i="1"/>
  <c r="AG2191" i="1"/>
  <c r="T2190" i="1"/>
  <c r="W2190" i="1"/>
  <c r="AG2190" i="1"/>
  <c r="T2189" i="1"/>
  <c r="W2189" i="1"/>
  <c r="AG2189" i="1"/>
  <c r="T2188" i="1"/>
  <c r="W2188" i="1"/>
  <c r="AG2188" i="1"/>
  <c r="T2187" i="1"/>
  <c r="W2187" i="1"/>
  <c r="AG2187" i="1"/>
  <c r="T2186" i="1"/>
  <c r="W2186" i="1"/>
  <c r="AG2186" i="1"/>
  <c r="T2185" i="1"/>
  <c r="W2185" i="1"/>
  <c r="AG2185" i="1"/>
  <c r="T2184" i="1"/>
  <c r="W2184" i="1"/>
  <c r="AG2184" i="1"/>
  <c r="T2183" i="1"/>
  <c r="W2183" i="1"/>
  <c r="AG2183" i="1"/>
  <c r="T2182" i="1"/>
  <c r="W2182" i="1"/>
  <c r="AG2182" i="1"/>
  <c r="T2181" i="1"/>
  <c r="W2181" i="1"/>
  <c r="AG2181" i="1"/>
  <c r="T2180" i="1"/>
  <c r="W2180" i="1"/>
  <c r="AG2180" i="1"/>
  <c r="T2179" i="1"/>
  <c r="W2179" i="1"/>
  <c r="AG2179" i="1"/>
  <c r="T2178" i="1"/>
  <c r="W2178" i="1"/>
  <c r="AG2178" i="1"/>
  <c r="T2177" i="1"/>
  <c r="W2177" i="1"/>
  <c r="AG2177" i="1"/>
  <c r="T2176" i="1"/>
  <c r="W2176" i="1"/>
  <c r="AG2176" i="1"/>
  <c r="T2175" i="1"/>
  <c r="W2175" i="1"/>
  <c r="AG2175" i="1"/>
  <c r="T2174" i="1"/>
  <c r="W2174" i="1"/>
  <c r="AG2174" i="1"/>
  <c r="T2173" i="1"/>
  <c r="W2173" i="1"/>
  <c r="AG2173" i="1"/>
  <c r="T2172" i="1"/>
  <c r="W2172" i="1"/>
  <c r="AG2172" i="1"/>
  <c r="T2171" i="1"/>
  <c r="W2171" i="1"/>
  <c r="AG2171" i="1"/>
  <c r="T2170" i="1"/>
  <c r="W2170" i="1"/>
  <c r="AG2170" i="1"/>
  <c r="T2169" i="1"/>
  <c r="W2169" i="1"/>
  <c r="AG2169" i="1"/>
  <c r="T2168" i="1"/>
  <c r="W2168" i="1"/>
  <c r="AG2168" i="1"/>
  <c r="T2167" i="1"/>
  <c r="W2167" i="1"/>
  <c r="AG2167" i="1"/>
  <c r="T2166" i="1"/>
  <c r="W2166" i="1"/>
  <c r="AG2166" i="1"/>
  <c r="T2165" i="1"/>
  <c r="W2165" i="1"/>
  <c r="AG2165" i="1"/>
  <c r="T2164" i="1"/>
  <c r="W2164" i="1"/>
  <c r="AG2164" i="1"/>
  <c r="T2163" i="1"/>
  <c r="W2163" i="1"/>
  <c r="AG2163" i="1"/>
  <c r="T2162" i="1"/>
  <c r="W2162" i="1"/>
  <c r="AG2162" i="1"/>
  <c r="T2161" i="1"/>
  <c r="W2161" i="1"/>
  <c r="AG2161" i="1"/>
  <c r="T2160" i="1"/>
  <c r="W2160" i="1"/>
  <c r="AG2160" i="1"/>
  <c r="T2159" i="1"/>
  <c r="W2159" i="1"/>
  <c r="AG2159" i="1"/>
  <c r="T2158" i="1"/>
  <c r="W2158" i="1"/>
  <c r="AG2158" i="1"/>
  <c r="T2157" i="1"/>
  <c r="W2157" i="1"/>
  <c r="AG2157" i="1"/>
  <c r="T2156" i="1"/>
  <c r="W2156" i="1"/>
  <c r="AG2156" i="1"/>
  <c r="T2155" i="1"/>
  <c r="W2155" i="1"/>
  <c r="AG2155" i="1"/>
  <c r="T2154" i="1"/>
  <c r="W2154" i="1"/>
  <c r="AG2154" i="1"/>
  <c r="T2153" i="1"/>
  <c r="W2153" i="1"/>
  <c r="AG2153" i="1"/>
  <c r="T2152" i="1"/>
  <c r="W2152" i="1"/>
  <c r="AG2152" i="1"/>
  <c r="T2151" i="1"/>
  <c r="W2151" i="1"/>
  <c r="AG2151" i="1"/>
  <c r="T2150" i="1"/>
  <c r="W2150" i="1"/>
  <c r="AG2150" i="1"/>
  <c r="T2149" i="1"/>
  <c r="W2149" i="1"/>
  <c r="AG2149" i="1"/>
  <c r="T2148" i="1"/>
  <c r="W2148" i="1"/>
  <c r="AG2148" i="1"/>
  <c r="T2147" i="1"/>
  <c r="W2147" i="1"/>
  <c r="AG2147" i="1"/>
  <c r="T2146" i="1"/>
  <c r="W2146" i="1"/>
  <c r="AG2146" i="1"/>
  <c r="T2145" i="1"/>
  <c r="W2145" i="1"/>
  <c r="AG2145" i="1"/>
  <c r="T2144" i="1"/>
  <c r="W2144" i="1"/>
  <c r="AG2144" i="1"/>
  <c r="T2143" i="1"/>
  <c r="W2143" i="1"/>
  <c r="AG2143" i="1"/>
  <c r="T2142" i="1"/>
  <c r="W2142" i="1"/>
  <c r="AG2142" i="1"/>
  <c r="T2141" i="1"/>
  <c r="W2141" i="1"/>
  <c r="AG2141" i="1"/>
  <c r="T2140" i="1"/>
  <c r="W2140" i="1"/>
  <c r="AG2140" i="1"/>
  <c r="T2139" i="1"/>
  <c r="W2139" i="1"/>
  <c r="AG2139" i="1"/>
  <c r="T2138" i="1"/>
  <c r="W2138" i="1"/>
  <c r="AG2138" i="1"/>
  <c r="T2137" i="1"/>
  <c r="W2137" i="1"/>
  <c r="AG2137" i="1"/>
  <c r="T2136" i="1"/>
  <c r="W2136" i="1"/>
  <c r="AG2136" i="1"/>
  <c r="T2135" i="1"/>
  <c r="W2135" i="1"/>
  <c r="AG2135" i="1"/>
  <c r="T2134" i="1"/>
  <c r="W2134" i="1"/>
  <c r="AG2134" i="1"/>
  <c r="T2133" i="1"/>
  <c r="W2133" i="1"/>
  <c r="AG2133" i="1"/>
  <c r="T2132" i="1"/>
  <c r="W2132" i="1"/>
  <c r="AG2132" i="1"/>
  <c r="T2131" i="1"/>
  <c r="W2131" i="1"/>
  <c r="AG2131" i="1"/>
  <c r="T2130" i="1"/>
  <c r="W2130" i="1"/>
  <c r="AG2130" i="1"/>
  <c r="T2129" i="1"/>
  <c r="W2129" i="1"/>
  <c r="AG2129" i="1"/>
  <c r="T2128" i="1"/>
  <c r="W2128" i="1"/>
  <c r="AG2128" i="1"/>
  <c r="T2127" i="1"/>
  <c r="W2127" i="1"/>
  <c r="AG2127" i="1"/>
  <c r="T2126" i="1"/>
  <c r="W2126" i="1"/>
  <c r="AG2126" i="1"/>
  <c r="T2125" i="1"/>
  <c r="W2125" i="1"/>
  <c r="AG2125" i="1"/>
  <c r="T2124" i="1"/>
  <c r="W2124" i="1"/>
  <c r="AG2124" i="1"/>
  <c r="T2123" i="1"/>
  <c r="W2123" i="1"/>
  <c r="AG2123" i="1"/>
  <c r="T2122" i="1"/>
  <c r="W2122" i="1"/>
  <c r="AG2122" i="1"/>
  <c r="T2121" i="1"/>
  <c r="W2121" i="1"/>
  <c r="AG2121" i="1"/>
  <c r="T2120" i="1"/>
  <c r="W2120" i="1"/>
  <c r="AG2120" i="1"/>
  <c r="T2119" i="1"/>
  <c r="W2119" i="1"/>
  <c r="AG2119" i="1"/>
  <c r="T2118" i="1"/>
  <c r="W2118" i="1"/>
  <c r="AG2118" i="1"/>
  <c r="T2117" i="1"/>
  <c r="W2117" i="1"/>
  <c r="AG2117" i="1"/>
  <c r="T2116" i="1"/>
  <c r="W2116" i="1"/>
  <c r="AG2116" i="1"/>
  <c r="T2115" i="1"/>
  <c r="W2115" i="1"/>
  <c r="AG2115" i="1"/>
  <c r="T2114" i="1"/>
  <c r="W2114" i="1"/>
  <c r="AG2114" i="1"/>
  <c r="T2113" i="1"/>
  <c r="W2113" i="1"/>
  <c r="AG2113" i="1"/>
  <c r="T2112" i="1"/>
  <c r="W2112" i="1"/>
  <c r="AG2112" i="1"/>
  <c r="T2111" i="1"/>
  <c r="W2111" i="1"/>
  <c r="AG2111" i="1"/>
  <c r="T2110" i="1"/>
  <c r="W2110" i="1"/>
  <c r="AG2110" i="1"/>
  <c r="T2109" i="1"/>
  <c r="W2109" i="1"/>
  <c r="AG2109" i="1"/>
  <c r="T2108" i="1"/>
  <c r="W2108" i="1"/>
  <c r="AG2108" i="1"/>
  <c r="T2107" i="1"/>
  <c r="W2107" i="1"/>
  <c r="AG2107" i="1"/>
  <c r="T2106" i="1"/>
  <c r="W2106" i="1"/>
  <c r="AG2106" i="1"/>
  <c r="T2105" i="1"/>
  <c r="W2105" i="1"/>
  <c r="AG2105" i="1"/>
  <c r="T2104" i="1"/>
  <c r="W2104" i="1"/>
  <c r="AG2104" i="1"/>
  <c r="T2103" i="1"/>
  <c r="W2103" i="1"/>
  <c r="AG2103" i="1"/>
  <c r="T2102" i="1"/>
  <c r="W2102" i="1"/>
  <c r="AG2102" i="1"/>
  <c r="T2101" i="1"/>
  <c r="W2101" i="1"/>
  <c r="AG2101" i="1"/>
  <c r="T2100" i="1"/>
  <c r="W2100" i="1"/>
  <c r="AG2100" i="1"/>
  <c r="T2099" i="1"/>
  <c r="W2099" i="1"/>
  <c r="AG2099" i="1"/>
  <c r="T2098" i="1"/>
  <c r="W2098" i="1"/>
  <c r="AG2098" i="1"/>
  <c r="T2097" i="1"/>
  <c r="W2097" i="1"/>
  <c r="AG2097" i="1"/>
  <c r="T2096" i="1"/>
  <c r="W2096" i="1"/>
  <c r="AG2096" i="1"/>
  <c r="T2095" i="1"/>
  <c r="W2095" i="1"/>
  <c r="AG2095" i="1"/>
  <c r="T2094" i="1"/>
  <c r="W2094" i="1"/>
  <c r="AG2094" i="1"/>
  <c r="T2093" i="1"/>
  <c r="W2093" i="1"/>
  <c r="AG2093" i="1"/>
  <c r="T2092" i="1"/>
  <c r="W2092" i="1"/>
  <c r="AG2092" i="1"/>
  <c r="T2091" i="1"/>
  <c r="W2091" i="1"/>
  <c r="AG2091" i="1"/>
  <c r="T2090" i="1"/>
  <c r="W2090" i="1"/>
  <c r="AG2090" i="1"/>
  <c r="T2089" i="1"/>
  <c r="W2089" i="1"/>
  <c r="AG2089" i="1"/>
  <c r="T2088" i="1"/>
  <c r="W2088" i="1"/>
  <c r="AG2088" i="1"/>
  <c r="T2087" i="1"/>
  <c r="W2087" i="1"/>
  <c r="AG2087" i="1"/>
  <c r="T2086" i="1"/>
  <c r="W2086" i="1"/>
  <c r="AG2086" i="1"/>
  <c r="T2085" i="1"/>
  <c r="W2085" i="1"/>
  <c r="AG2085" i="1"/>
  <c r="T2084" i="1"/>
  <c r="W2084" i="1"/>
  <c r="AG2084" i="1"/>
  <c r="T2083" i="1"/>
  <c r="W2083" i="1"/>
  <c r="AG2083" i="1"/>
  <c r="T2082" i="1"/>
  <c r="W2082" i="1"/>
  <c r="AG2082" i="1"/>
  <c r="T2081" i="1"/>
  <c r="W2081" i="1"/>
  <c r="AG2081" i="1"/>
  <c r="T2080" i="1"/>
  <c r="W2080" i="1"/>
  <c r="AG2080" i="1"/>
  <c r="T2079" i="1"/>
  <c r="W2079" i="1"/>
  <c r="AG2079" i="1"/>
  <c r="T2078" i="1"/>
  <c r="W2078" i="1"/>
  <c r="AG2078" i="1"/>
  <c r="T2077" i="1"/>
  <c r="W2077" i="1"/>
  <c r="AG2077" i="1"/>
  <c r="T2076" i="1"/>
  <c r="W2076" i="1"/>
  <c r="AG2076" i="1"/>
  <c r="T2075" i="1"/>
  <c r="W2075" i="1"/>
  <c r="AG2075" i="1"/>
  <c r="T2074" i="1"/>
  <c r="W2074" i="1"/>
  <c r="AG2074" i="1"/>
  <c r="T2073" i="1"/>
  <c r="W2073" i="1"/>
  <c r="AG2073" i="1"/>
  <c r="T2072" i="1"/>
  <c r="W2072" i="1"/>
  <c r="AG2072" i="1"/>
  <c r="T2071" i="1"/>
  <c r="W2071" i="1"/>
  <c r="AG2071" i="1"/>
  <c r="T2070" i="1"/>
  <c r="W2070" i="1"/>
  <c r="AG2070" i="1"/>
  <c r="T2069" i="1"/>
  <c r="W2069" i="1"/>
  <c r="AG2069" i="1"/>
  <c r="T2068" i="1"/>
  <c r="W2068" i="1"/>
  <c r="AG2068" i="1"/>
  <c r="T2067" i="1"/>
  <c r="W2067" i="1"/>
  <c r="AG2067" i="1"/>
  <c r="T2066" i="1"/>
  <c r="W2066" i="1"/>
  <c r="AG2066" i="1"/>
  <c r="T2065" i="1"/>
  <c r="W2065" i="1"/>
  <c r="AG2065" i="1"/>
  <c r="T2064" i="1"/>
  <c r="W2064" i="1"/>
  <c r="AG2064" i="1"/>
  <c r="T2063" i="1"/>
  <c r="W2063" i="1"/>
  <c r="AG2063" i="1"/>
  <c r="T2062" i="1"/>
  <c r="W2062" i="1"/>
  <c r="AG2062" i="1"/>
  <c r="T2061" i="1"/>
  <c r="W2061" i="1"/>
  <c r="AG2061" i="1"/>
  <c r="T2060" i="1"/>
  <c r="W2060" i="1"/>
  <c r="AG2060" i="1"/>
  <c r="T2059" i="1"/>
  <c r="W2059" i="1"/>
  <c r="AG2059" i="1"/>
  <c r="T2058" i="1"/>
  <c r="W2058" i="1"/>
  <c r="AG2058" i="1"/>
  <c r="T2057" i="1"/>
  <c r="W2057" i="1"/>
  <c r="AG2057" i="1"/>
  <c r="T2056" i="1"/>
  <c r="W2056" i="1"/>
  <c r="AG2056" i="1"/>
  <c r="T2055" i="1"/>
  <c r="W2055" i="1"/>
  <c r="AG2055" i="1"/>
  <c r="T2054" i="1"/>
  <c r="W2054" i="1"/>
  <c r="AG2054" i="1"/>
  <c r="T2053" i="1"/>
  <c r="W2053" i="1"/>
  <c r="AG2053" i="1"/>
  <c r="T2052" i="1"/>
  <c r="W2052" i="1"/>
  <c r="AG2052" i="1"/>
  <c r="T2051" i="1"/>
  <c r="W2051" i="1"/>
  <c r="AG2051" i="1"/>
  <c r="T2050" i="1"/>
  <c r="W2050" i="1"/>
  <c r="AG2050" i="1"/>
  <c r="T2049" i="1"/>
  <c r="W2049" i="1"/>
  <c r="AG2049" i="1"/>
  <c r="T2048" i="1"/>
  <c r="W2048" i="1"/>
  <c r="AG2048" i="1"/>
  <c r="T2047" i="1"/>
  <c r="W2047" i="1"/>
  <c r="AG2047" i="1"/>
  <c r="T2046" i="1"/>
  <c r="W2046" i="1"/>
  <c r="AG2046" i="1"/>
  <c r="T2045" i="1"/>
  <c r="W2045" i="1"/>
  <c r="AG2045" i="1"/>
  <c r="T2044" i="1"/>
  <c r="W2044" i="1"/>
  <c r="AG2044" i="1"/>
  <c r="T2043" i="1"/>
  <c r="W2043" i="1"/>
  <c r="AG2043" i="1"/>
  <c r="T2042" i="1"/>
  <c r="W2042" i="1"/>
  <c r="AG2042" i="1"/>
  <c r="T2041" i="1"/>
  <c r="W2041" i="1"/>
  <c r="AG2041" i="1"/>
  <c r="T2040" i="1"/>
  <c r="W2040" i="1"/>
  <c r="AG2040" i="1"/>
  <c r="T2039" i="1"/>
  <c r="W2039" i="1"/>
  <c r="AG2039" i="1"/>
  <c r="T2038" i="1"/>
  <c r="W2038" i="1"/>
  <c r="AG2038" i="1"/>
  <c r="T2037" i="1"/>
  <c r="W2037" i="1"/>
  <c r="AG2037" i="1"/>
  <c r="T2036" i="1"/>
  <c r="W2036" i="1"/>
  <c r="AG2036" i="1"/>
  <c r="T2035" i="1"/>
  <c r="W2035" i="1"/>
  <c r="AG2035" i="1"/>
  <c r="T2034" i="1"/>
  <c r="W2034" i="1"/>
  <c r="AG2034" i="1"/>
  <c r="T2033" i="1"/>
  <c r="W2033" i="1"/>
  <c r="AG2033" i="1"/>
  <c r="T2032" i="1"/>
  <c r="W2032" i="1"/>
  <c r="AG2032" i="1"/>
  <c r="T2031" i="1"/>
  <c r="W2031" i="1"/>
  <c r="AG2031" i="1"/>
  <c r="T2030" i="1"/>
  <c r="W2030" i="1"/>
  <c r="AG2030" i="1"/>
  <c r="T2029" i="1"/>
  <c r="W2029" i="1"/>
  <c r="AG2029" i="1"/>
  <c r="T2028" i="1"/>
  <c r="W2028" i="1"/>
  <c r="AG2028" i="1"/>
  <c r="T2027" i="1"/>
  <c r="W2027" i="1"/>
  <c r="AG2027" i="1"/>
  <c r="T2026" i="1"/>
  <c r="W2026" i="1"/>
  <c r="AG2026" i="1"/>
  <c r="T2025" i="1"/>
  <c r="W2025" i="1"/>
  <c r="AG2025" i="1"/>
  <c r="T2024" i="1"/>
  <c r="W2024" i="1"/>
  <c r="AG2024" i="1"/>
  <c r="T2023" i="1"/>
  <c r="W2023" i="1"/>
  <c r="AG2023" i="1"/>
  <c r="T2022" i="1"/>
  <c r="W2022" i="1"/>
  <c r="AG2022" i="1"/>
  <c r="T2021" i="1"/>
  <c r="W2021" i="1"/>
  <c r="AG2021" i="1"/>
  <c r="T2020" i="1"/>
  <c r="W2020" i="1"/>
  <c r="AG2020" i="1"/>
  <c r="T2019" i="1"/>
  <c r="W2019" i="1"/>
  <c r="AG2019" i="1"/>
  <c r="T2018" i="1"/>
  <c r="W2018" i="1"/>
  <c r="AG2018" i="1"/>
  <c r="T2017" i="1"/>
  <c r="W2017" i="1"/>
  <c r="AG2017" i="1"/>
  <c r="T2016" i="1"/>
  <c r="W2016" i="1"/>
  <c r="AG2016" i="1"/>
  <c r="T2015" i="1"/>
  <c r="W2015" i="1"/>
  <c r="AG2015" i="1"/>
  <c r="T2014" i="1"/>
  <c r="W2014" i="1"/>
  <c r="AG2014" i="1"/>
  <c r="T2013" i="1"/>
  <c r="W2013" i="1"/>
  <c r="AG2013" i="1"/>
  <c r="T2012" i="1"/>
  <c r="W2012" i="1"/>
  <c r="AG2012" i="1"/>
  <c r="T2011" i="1"/>
  <c r="W2011" i="1"/>
  <c r="AG2011" i="1"/>
  <c r="T2010" i="1"/>
  <c r="W2010" i="1"/>
  <c r="AG2010" i="1"/>
  <c r="T2009" i="1"/>
  <c r="W2009" i="1"/>
  <c r="AG2009" i="1"/>
  <c r="T2008" i="1"/>
  <c r="W2008" i="1"/>
  <c r="AG2008" i="1"/>
  <c r="T2007" i="1"/>
  <c r="W2007" i="1"/>
  <c r="AG2007" i="1"/>
  <c r="T2006" i="1"/>
  <c r="W2006" i="1"/>
  <c r="AG2006" i="1"/>
  <c r="T2005" i="1"/>
  <c r="W2005" i="1"/>
  <c r="AG2005" i="1"/>
  <c r="T2004" i="1"/>
  <c r="W2004" i="1"/>
  <c r="AG2004" i="1"/>
  <c r="T2003" i="1"/>
  <c r="W2003" i="1"/>
  <c r="AG2003" i="1"/>
  <c r="T2002" i="1"/>
  <c r="W2002" i="1"/>
  <c r="AG2002" i="1"/>
  <c r="T2001" i="1"/>
  <c r="W2001" i="1"/>
  <c r="AG2001" i="1"/>
  <c r="T2000" i="1"/>
  <c r="W2000" i="1"/>
  <c r="AG2000" i="1"/>
  <c r="T1999" i="1"/>
  <c r="W1999" i="1"/>
  <c r="AG1999" i="1"/>
  <c r="T1998" i="1"/>
  <c r="W1998" i="1"/>
  <c r="AG1998" i="1"/>
  <c r="T1997" i="1"/>
  <c r="W1997" i="1"/>
  <c r="AG1997" i="1"/>
  <c r="T1996" i="1"/>
  <c r="W1996" i="1"/>
  <c r="AG1996" i="1"/>
  <c r="T1995" i="1"/>
  <c r="W1995" i="1"/>
  <c r="AG1995" i="1"/>
  <c r="T1994" i="1"/>
  <c r="W1994" i="1"/>
  <c r="AG1994" i="1"/>
  <c r="T1993" i="1"/>
  <c r="W1993" i="1"/>
  <c r="AG1993" i="1"/>
  <c r="T1992" i="1"/>
  <c r="W1992" i="1"/>
  <c r="AG1992" i="1"/>
  <c r="T1991" i="1"/>
  <c r="W1991" i="1"/>
  <c r="AG1991" i="1"/>
  <c r="T1990" i="1"/>
  <c r="W1990" i="1"/>
  <c r="AG1990" i="1"/>
  <c r="T1989" i="1"/>
  <c r="W1989" i="1"/>
  <c r="AG1989" i="1"/>
  <c r="T1988" i="1"/>
  <c r="W1988" i="1"/>
  <c r="AG1988" i="1"/>
  <c r="T1987" i="1"/>
  <c r="W1987" i="1"/>
  <c r="AG1987" i="1"/>
  <c r="T1986" i="1"/>
  <c r="W1986" i="1"/>
  <c r="AG1986" i="1"/>
  <c r="T1985" i="1"/>
  <c r="W1985" i="1"/>
  <c r="AG1985" i="1"/>
  <c r="T1984" i="1"/>
  <c r="W1984" i="1"/>
  <c r="AG1984" i="1"/>
  <c r="T1983" i="1"/>
  <c r="W1983" i="1"/>
  <c r="AG1983" i="1"/>
  <c r="T1982" i="1"/>
  <c r="W1982" i="1"/>
  <c r="AG1982" i="1"/>
  <c r="T1981" i="1"/>
  <c r="W1981" i="1"/>
  <c r="AG1981" i="1"/>
  <c r="T1980" i="1"/>
  <c r="W1980" i="1"/>
  <c r="AG1980" i="1"/>
  <c r="T1979" i="1"/>
  <c r="W1979" i="1"/>
  <c r="AG1979" i="1"/>
  <c r="T1978" i="1"/>
  <c r="W1978" i="1"/>
  <c r="AG1978" i="1"/>
  <c r="T1977" i="1"/>
  <c r="W1977" i="1"/>
  <c r="AG1977" i="1"/>
  <c r="T1976" i="1"/>
  <c r="W1976" i="1"/>
  <c r="AG1976" i="1"/>
  <c r="T1975" i="1"/>
  <c r="W1975" i="1"/>
  <c r="AG1975" i="1"/>
  <c r="T1974" i="1"/>
  <c r="W1974" i="1"/>
  <c r="AG1974" i="1"/>
  <c r="T1973" i="1"/>
  <c r="W1973" i="1"/>
  <c r="AG1973" i="1"/>
  <c r="T1972" i="1"/>
  <c r="W1972" i="1"/>
  <c r="AG1972" i="1"/>
  <c r="T1971" i="1"/>
  <c r="W1971" i="1"/>
  <c r="AG1971" i="1"/>
  <c r="T1970" i="1"/>
  <c r="W1970" i="1"/>
  <c r="AG1970" i="1"/>
  <c r="T1969" i="1"/>
  <c r="W1969" i="1"/>
  <c r="AG1969" i="1"/>
  <c r="T1968" i="1"/>
  <c r="W1968" i="1"/>
  <c r="AG1968" i="1"/>
  <c r="T1967" i="1"/>
  <c r="W1967" i="1"/>
  <c r="AG1967" i="1"/>
  <c r="T1966" i="1"/>
  <c r="W1966" i="1"/>
  <c r="AG1966" i="1"/>
  <c r="T1965" i="1"/>
  <c r="W1965" i="1"/>
  <c r="AG1965" i="1"/>
  <c r="T1964" i="1"/>
  <c r="W1964" i="1"/>
  <c r="AG1964" i="1"/>
  <c r="T1963" i="1"/>
  <c r="W1963" i="1"/>
  <c r="AG1963" i="1"/>
  <c r="T1962" i="1"/>
  <c r="W1962" i="1"/>
  <c r="AG1962" i="1"/>
  <c r="T1961" i="1"/>
  <c r="W1961" i="1"/>
  <c r="AG1961" i="1"/>
  <c r="T1960" i="1"/>
  <c r="W1960" i="1"/>
  <c r="AG1960" i="1"/>
  <c r="T1959" i="1"/>
  <c r="W1959" i="1"/>
  <c r="AG1959" i="1"/>
  <c r="T1958" i="1"/>
  <c r="W1958" i="1"/>
  <c r="AG1958" i="1"/>
  <c r="T1957" i="1"/>
  <c r="W1957" i="1"/>
  <c r="AG1957" i="1"/>
  <c r="T1956" i="1"/>
  <c r="W1956" i="1"/>
  <c r="AG1956" i="1"/>
  <c r="T1955" i="1"/>
  <c r="W1955" i="1"/>
  <c r="AG1955" i="1"/>
  <c r="T1954" i="1"/>
  <c r="W1954" i="1"/>
  <c r="AG1954" i="1"/>
  <c r="T1953" i="1"/>
  <c r="W1953" i="1"/>
  <c r="AG1953" i="1"/>
  <c r="T1952" i="1"/>
  <c r="W1952" i="1"/>
  <c r="AG1952" i="1"/>
  <c r="T1951" i="1"/>
  <c r="W1951" i="1"/>
  <c r="AG1951" i="1"/>
  <c r="T1950" i="1"/>
  <c r="W1950" i="1"/>
  <c r="AG1950" i="1"/>
  <c r="T1949" i="1"/>
  <c r="W1949" i="1"/>
  <c r="AG1949" i="1"/>
  <c r="T1948" i="1"/>
  <c r="W1948" i="1"/>
  <c r="AG1948" i="1"/>
  <c r="T1947" i="1"/>
  <c r="W1947" i="1"/>
  <c r="AG1947" i="1"/>
  <c r="T1946" i="1"/>
  <c r="W1946" i="1"/>
  <c r="AG1946" i="1"/>
  <c r="T1945" i="1"/>
  <c r="W1945" i="1"/>
  <c r="AG1945" i="1"/>
  <c r="T1944" i="1"/>
  <c r="W1944" i="1"/>
  <c r="AG1944" i="1"/>
  <c r="T1943" i="1"/>
  <c r="W1943" i="1"/>
  <c r="AG1943" i="1"/>
  <c r="T1942" i="1"/>
  <c r="W1942" i="1"/>
  <c r="AG1942" i="1"/>
  <c r="T1941" i="1"/>
  <c r="W1941" i="1"/>
  <c r="AG1941" i="1"/>
  <c r="T1940" i="1"/>
  <c r="W1940" i="1"/>
  <c r="AG1940" i="1"/>
  <c r="T1939" i="1"/>
  <c r="W1939" i="1"/>
  <c r="AG1939" i="1"/>
  <c r="T1938" i="1"/>
  <c r="W1938" i="1"/>
  <c r="AG1938" i="1"/>
  <c r="T1937" i="1"/>
  <c r="W1937" i="1"/>
  <c r="AG1937" i="1"/>
  <c r="T1936" i="1"/>
  <c r="W1936" i="1"/>
  <c r="AG1936" i="1"/>
  <c r="T1935" i="1"/>
  <c r="W1935" i="1"/>
  <c r="AG1935" i="1"/>
  <c r="T1934" i="1"/>
  <c r="W1934" i="1"/>
  <c r="AG1934" i="1"/>
  <c r="T1933" i="1"/>
  <c r="W1933" i="1"/>
  <c r="AG1933" i="1"/>
  <c r="T1932" i="1"/>
  <c r="W1932" i="1"/>
  <c r="AG1932" i="1"/>
  <c r="T1931" i="1"/>
  <c r="W1931" i="1"/>
  <c r="AG1931" i="1"/>
  <c r="T1930" i="1"/>
  <c r="W1930" i="1"/>
  <c r="AG1930" i="1"/>
  <c r="T1929" i="1"/>
  <c r="W1929" i="1"/>
  <c r="AG1929" i="1"/>
  <c r="T1928" i="1"/>
  <c r="W1928" i="1"/>
  <c r="AG1928" i="1"/>
  <c r="T1927" i="1"/>
  <c r="W1927" i="1"/>
  <c r="AG1927" i="1"/>
  <c r="T1926" i="1"/>
  <c r="W1926" i="1"/>
  <c r="AG1926" i="1"/>
  <c r="T1925" i="1"/>
  <c r="W1925" i="1"/>
  <c r="AG1925" i="1"/>
  <c r="T1924" i="1"/>
  <c r="W1924" i="1"/>
  <c r="AG1924" i="1"/>
  <c r="T1923" i="1"/>
  <c r="W1923" i="1"/>
  <c r="AG1923" i="1"/>
  <c r="T1922" i="1"/>
  <c r="W1922" i="1"/>
  <c r="AG1922" i="1"/>
  <c r="T1921" i="1"/>
  <c r="W1921" i="1"/>
  <c r="AG1921" i="1"/>
  <c r="T1920" i="1"/>
  <c r="W1920" i="1"/>
  <c r="AG1920" i="1"/>
  <c r="T1919" i="1"/>
  <c r="W1919" i="1"/>
  <c r="AG1919" i="1"/>
  <c r="T1918" i="1"/>
  <c r="W1918" i="1"/>
  <c r="AG1918" i="1"/>
  <c r="T1917" i="1"/>
  <c r="W1917" i="1"/>
  <c r="AG1917" i="1"/>
  <c r="T1916" i="1"/>
  <c r="W1916" i="1"/>
  <c r="AG1916" i="1"/>
  <c r="T1915" i="1"/>
  <c r="W1915" i="1"/>
  <c r="AG1915" i="1"/>
  <c r="T1914" i="1"/>
  <c r="W1914" i="1"/>
  <c r="AG1914" i="1"/>
  <c r="T1913" i="1"/>
  <c r="W1913" i="1"/>
  <c r="AG1913" i="1"/>
  <c r="T1912" i="1"/>
  <c r="W1912" i="1"/>
  <c r="AG1912" i="1"/>
  <c r="T1911" i="1"/>
  <c r="W1911" i="1"/>
  <c r="AG1911" i="1"/>
  <c r="T1910" i="1"/>
  <c r="W1910" i="1"/>
  <c r="AG1910" i="1"/>
  <c r="T1909" i="1"/>
  <c r="W1909" i="1"/>
  <c r="AG1909" i="1"/>
  <c r="T1908" i="1"/>
  <c r="W1908" i="1"/>
  <c r="AG1908" i="1"/>
  <c r="T1907" i="1"/>
  <c r="W1907" i="1"/>
  <c r="AG1907" i="1"/>
  <c r="T1906" i="1"/>
  <c r="W1906" i="1"/>
  <c r="AG1906" i="1"/>
  <c r="T1905" i="1"/>
  <c r="W1905" i="1"/>
  <c r="AG1905" i="1"/>
  <c r="T1904" i="1"/>
  <c r="W1904" i="1"/>
  <c r="AG1904" i="1"/>
  <c r="T1903" i="1"/>
  <c r="W1903" i="1"/>
  <c r="AG1903" i="1"/>
  <c r="T1902" i="1"/>
  <c r="W1902" i="1"/>
  <c r="AG1902" i="1"/>
  <c r="T1901" i="1"/>
  <c r="W1901" i="1"/>
  <c r="AG1901" i="1"/>
  <c r="T1900" i="1"/>
  <c r="W1900" i="1"/>
  <c r="AG1900" i="1"/>
  <c r="T1899" i="1"/>
  <c r="W1899" i="1"/>
  <c r="AG1899" i="1"/>
  <c r="T1898" i="1"/>
  <c r="W1898" i="1"/>
  <c r="AG1898" i="1"/>
  <c r="T1897" i="1"/>
  <c r="W1897" i="1"/>
  <c r="AG1897" i="1"/>
  <c r="T1896" i="1"/>
  <c r="W1896" i="1"/>
  <c r="AG1896" i="1"/>
  <c r="T1895" i="1"/>
  <c r="W1895" i="1"/>
  <c r="AG1895" i="1"/>
  <c r="T1894" i="1"/>
  <c r="W1894" i="1"/>
  <c r="AG1894" i="1"/>
  <c r="T1893" i="1"/>
  <c r="W1893" i="1"/>
  <c r="AG1893" i="1"/>
  <c r="T1892" i="1"/>
  <c r="W1892" i="1"/>
  <c r="AG1892" i="1"/>
  <c r="T1891" i="1"/>
  <c r="W1891" i="1"/>
  <c r="AG1891" i="1"/>
  <c r="T1890" i="1"/>
  <c r="W1890" i="1"/>
  <c r="AG1890" i="1"/>
  <c r="T1889" i="1"/>
  <c r="W1889" i="1"/>
  <c r="AG1889" i="1"/>
  <c r="T1888" i="1"/>
  <c r="W1888" i="1"/>
  <c r="AG1888" i="1"/>
  <c r="T1887" i="1"/>
  <c r="W1887" i="1"/>
  <c r="AG1887" i="1"/>
  <c r="T1886" i="1"/>
  <c r="W1886" i="1"/>
  <c r="AG1886" i="1"/>
  <c r="T1885" i="1"/>
  <c r="W1885" i="1"/>
  <c r="AG1885" i="1"/>
  <c r="T1884" i="1"/>
  <c r="W1884" i="1"/>
  <c r="AG1884" i="1"/>
  <c r="T1883" i="1"/>
  <c r="W1883" i="1"/>
  <c r="AG1883" i="1"/>
  <c r="T1882" i="1"/>
  <c r="W1882" i="1"/>
  <c r="AG1882" i="1"/>
  <c r="T1881" i="1"/>
  <c r="W1881" i="1"/>
  <c r="AG1881" i="1"/>
  <c r="T1880" i="1"/>
  <c r="W1880" i="1"/>
  <c r="AG1880" i="1"/>
  <c r="T1879" i="1"/>
  <c r="W1879" i="1"/>
  <c r="AG1879" i="1"/>
  <c r="T1878" i="1"/>
  <c r="W1878" i="1"/>
  <c r="AG1878" i="1"/>
  <c r="T1877" i="1"/>
  <c r="W1877" i="1"/>
  <c r="AG1877" i="1"/>
  <c r="T1876" i="1"/>
  <c r="W1876" i="1"/>
  <c r="AG1876" i="1"/>
  <c r="T1875" i="1"/>
  <c r="W1875" i="1"/>
  <c r="AG1875" i="1"/>
  <c r="T1874" i="1"/>
  <c r="W1874" i="1"/>
  <c r="AG1874" i="1"/>
  <c r="T1873" i="1"/>
  <c r="W1873" i="1"/>
  <c r="AG1873" i="1"/>
  <c r="T1872" i="1"/>
  <c r="W1872" i="1"/>
  <c r="AG1872" i="1"/>
  <c r="T1871" i="1"/>
  <c r="W1871" i="1"/>
  <c r="AG1871" i="1"/>
  <c r="T1870" i="1"/>
  <c r="W1870" i="1"/>
  <c r="AG1870" i="1"/>
  <c r="T1869" i="1"/>
  <c r="W1869" i="1"/>
  <c r="AG1869" i="1"/>
  <c r="T1868" i="1"/>
  <c r="W1868" i="1"/>
  <c r="AG1868" i="1"/>
  <c r="T1867" i="1"/>
  <c r="W1867" i="1"/>
  <c r="AG1867" i="1"/>
  <c r="T1866" i="1"/>
  <c r="W1866" i="1"/>
  <c r="AG1866" i="1"/>
  <c r="T1865" i="1"/>
  <c r="W1865" i="1"/>
  <c r="AG1865" i="1"/>
  <c r="T1864" i="1"/>
  <c r="W1864" i="1"/>
  <c r="AG1864" i="1"/>
  <c r="T1863" i="1"/>
  <c r="W1863" i="1"/>
  <c r="AG1863" i="1"/>
  <c r="T1862" i="1"/>
  <c r="W1862" i="1"/>
  <c r="AG1862" i="1"/>
  <c r="T1861" i="1"/>
  <c r="W1861" i="1"/>
  <c r="AG1861" i="1"/>
  <c r="T1860" i="1"/>
  <c r="W1860" i="1"/>
  <c r="AG1860" i="1"/>
  <c r="T1859" i="1"/>
  <c r="W1859" i="1"/>
  <c r="AG1859" i="1"/>
  <c r="T1858" i="1"/>
  <c r="W1858" i="1"/>
  <c r="AG1858" i="1"/>
  <c r="T1857" i="1"/>
  <c r="W1857" i="1"/>
  <c r="AG1857" i="1"/>
  <c r="T1856" i="1"/>
  <c r="W1856" i="1"/>
  <c r="AG1856" i="1"/>
  <c r="T1855" i="1"/>
  <c r="W1855" i="1"/>
  <c r="AG1855" i="1"/>
  <c r="T1854" i="1"/>
  <c r="W1854" i="1"/>
  <c r="AG1854" i="1"/>
  <c r="T1853" i="1"/>
  <c r="W1853" i="1"/>
  <c r="AG1853" i="1"/>
  <c r="T1852" i="1"/>
  <c r="W1852" i="1"/>
  <c r="AG1852" i="1"/>
  <c r="T1851" i="1"/>
  <c r="W1851" i="1"/>
  <c r="AG1851" i="1"/>
  <c r="T1850" i="1"/>
  <c r="W1850" i="1"/>
  <c r="AG1850" i="1"/>
  <c r="T1849" i="1"/>
  <c r="W1849" i="1"/>
  <c r="AG1849" i="1"/>
  <c r="T1848" i="1"/>
  <c r="W1848" i="1"/>
  <c r="AG1848" i="1"/>
  <c r="T1847" i="1"/>
  <c r="W1847" i="1"/>
  <c r="AG1847" i="1"/>
  <c r="T1846" i="1"/>
  <c r="W1846" i="1"/>
  <c r="AG1846" i="1"/>
  <c r="T1845" i="1"/>
  <c r="W1845" i="1"/>
  <c r="AG1845" i="1"/>
  <c r="T1844" i="1"/>
  <c r="W1844" i="1"/>
  <c r="AG1844" i="1"/>
  <c r="T1843" i="1"/>
  <c r="W1843" i="1"/>
  <c r="AG1843" i="1"/>
  <c r="T1842" i="1"/>
  <c r="W1842" i="1"/>
  <c r="AG1842" i="1"/>
  <c r="T1841" i="1"/>
  <c r="W1841" i="1"/>
  <c r="AG1841" i="1"/>
  <c r="T1840" i="1"/>
  <c r="W1840" i="1"/>
  <c r="AG1840" i="1"/>
  <c r="T1839" i="1"/>
  <c r="W1839" i="1"/>
  <c r="AG1839" i="1"/>
  <c r="T1838" i="1"/>
  <c r="W1838" i="1"/>
  <c r="AG1838" i="1"/>
  <c r="T1837" i="1"/>
  <c r="W1837" i="1"/>
  <c r="AG1837" i="1"/>
  <c r="T1836" i="1"/>
  <c r="W1836" i="1"/>
  <c r="AG1836" i="1"/>
  <c r="T1835" i="1"/>
  <c r="W1835" i="1"/>
  <c r="AG1835" i="1"/>
  <c r="T1834" i="1"/>
  <c r="W1834" i="1"/>
  <c r="AG1834" i="1"/>
  <c r="T1833" i="1"/>
  <c r="W1833" i="1"/>
  <c r="AG1833" i="1"/>
  <c r="T1832" i="1"/>
  <c r="W1832" i="1"/>
  <c r="AG1832" i="1"/>
  <c r="T1831" i="1"/>
  <c r="W1831" i="1"/>
  <c r="AG1831" i="1"/>
  <c r="T1830" i="1"/>
  <c r="W1830" i="1"/>
  <c r="AG1830" i="1"/>
  <c r="T1829" i="1"/>
  <c r="W1829" i="1"/>
  <c r="AG1829" i="1"/>
  <c r="T1828" i="1"/>
  <c r="W1828" i="1"/>
  <c r="AG1828" i="1"/>
  <c r="T1827" i="1"/>
  <c r="W1827" i="1"/>
  <c r="AG1827" i="1"/>
  <c r="T1826" i="1"/>
  <c r="W1826" i="1"/>
  <c r="AG1826" i="1"/>
  <c r="T1825" i="1"/>
  <c r="W1825" i="1"/>
  <c r="AG1825" i="1"/>
  <c r="T1824" i="1"/>
  <c r="W1824" i="1"/>
  <c r="AG1824" i="1"/>
  <c r="T1823" i="1"/>
  <c r="W1823" i="1"/>
  <c r="AG1823" i="1"/>
  <c r="T1822" i="1"/>
  <c r="W1822" i="1"/>
  <c r="AG1822" i="1"/>
  <c r="T1821" i="1"/>
  <c r="W1821" i="1"/>
  <c r="AG1821" i="1"/>
  <c r="T1820" i="1"/>
  <c r="W1820" i="1"/>
  <c r="AG1820" i="1"/>
  <c r="T1819" i="1"/>
  <c r="W1819" i="1"/>
  <c r="AG1819" i="1"/>
  <c r="T1818" i="1"/>
  <c r="W1818" i="1"/>
  <c r="AG1818" i="1"/>
  <c r="T1817" i="1"/>
  <c r="W1817" i="1"/>
  <c r="AG1817" i="1"/>
  <c r="T1816" i="1"/>
  <c r="W1816" i="1"/>
  <c r="AG1816" i="1"/>
  <c r="T1815" i="1"/>
  <c r="W1815" i="1"/>
  <c r="AG1815" i="1"/>
  <c r="T1814" i="1"/>
  <c r="W1814" i="1"/>
  <c r="AG1814" i="1"/>
  <c r="T1813" i="1"/>
  <c r="W1813" i="1"/>
  <c r="AG1813" i="1"/>
  <c r="T1812" i="1"/>
  <c r="W1812" i="1"/>
  <c r="AG1812" i="1"/>
  <c r="T1811" i="1"/>
  <c r="W1811" i="1"/>
  <c r="AG1811" i="1"/>
  <c r="T1810" i="1"/>
  <c r="W1810" i="1"/>
  <c r="AG1810" i="1"/>
  <c r="T1809" i="1"/>
  <c r="W1809" i="1"/>
  <c r="AG1809" i="1"/>
  <c r="T1808" i="1"/>
  <c r="W1808" i="1"/>
  <c r="AG1808" i="1"/>
  <c r="T1807" i="1"/>
  <c r="W1807" i="1"/>
  <c r="AG1807" i="1"/>
  <c r="T1806" i="1"/>
  <c r="W1806" i="1"/>
  <c r="AG1806" i="1"/>
  <c r="T1805" i="1"/>
  <c r="W1805" i="1"/>
  <c r="AG1805" i="1"/>
  <c r="T1804" i="1"/>
  <c r="W1804" i="1"/>
  <c r="AG1804" i="1"/>
  <c r="T1803" i="1"/>
  <c r="W1803" i="1"/>
  <c r="AG1803" i="1"/>
  <c r="T1802" i="1"/>
  <c r="W1802" i="1"/>
  <c r="AG1802" i="1"/>
  <c r="T1801" i="1"/>
  <c r="W1801" i="1"/>
  <c r="AG1801" i="1"/>
  <c r="T1800" i="1"/>
  <c r="W1800" i="1"/>
  <c r="AG1800" i="1"/>
  <c r="T1799" i="1"/>
  <c r="W1799" i="1"/>
  <c r="AG1799" i="1"/>
  <c r="T1798" i="1"/>
  <c r="W1798" i="1"/>
  <c r="AG1798" i="1"/>
  <c r="T1797" i="1"/>
  <c r="W1797" i="1"/>
  <c r="AG1797" i="1"/>
  <c r="T1796" i="1"/>
  <c r="W1796" i="1"/>
  <c r="AG1796" i="1"/>
  <c r="T1795" i="1"/>
  <c r="W1795" i="1"/>
  <c r="AG1795" i="1"/>
  <c r="T1794" i="1"/>
  <c r="W1794" i="1"/>
  <c r="AG1794" i="1"/>
  <c r="T1793" i="1"/>
  <c r="W1793" i="1"/>
  <c r="AG1793" i="1"/>
  <c r="T1792" i="1"/>
  <c r="W1792" i="1"/>
  <c r="AG1792" i="1"/>
  <c r="T1791" i="1"/>
  <c r="W1791" i="1"/>
  <c r="AG1791" i="1"/>
  <c r="T1790" i="1"/>
  <c r="W1790" i="1"/>
  <c r="AG1790" i="1"/>
  <c r="T1789" i="1"/>
  <c r="W1789" i="1"/>
  <c r="AG1789" i="1"/>
  <c r="T1788" i="1"/>
  <c r="W1788" i="1"/>
  <c r="AG1788" i="1"/>
  <c r="T1787" i="1"/>
  <c r="W1787" i="1"/>
  <c r="AG1787" i="1"/>
  <c r="T1786" i="1"/>
  <c r="W1786" i="1"/>
  <c r="AG1786" i="1"/>
  <c r="T1785" i="1"/>
  <c r="W1785" i="1"/>
  <c r="AG1785" i="1"/>
  <c r="T1784" i="1"/>
  <c r="W1784" i="1"/>
  <c r="AG1784" i="1"/>
  <c r="T1783" i="1"/>
  <c r="W1783" i="1"/>
  <c r="AG1783" i="1"/>
  <c r="T1782" i="1"/>
  <c r="W1782" i="1"/>
  <c r="AG1782" i="1"/>
  <c r="T1781" i="1"/>
  <c r="W1781" i="1"/>
  <c r="AG1781" i="1"/>
  <c r="T1780" i="1"/>
  <c r="W1780" i="1"/>
  <c r="AG1780" i="1"/>
  <c r="T1779" i="1"/>
  <c r="W1779" i="1"/>
  <c r="AG1779" i="1"/>
  <c r="T1778" i="1"/>
  <c r="W1778" i="1"/>
  <c r="AG1778" i="1"/>
  <c r="T1777" i="1"/>
  <c r="W1777" i="1"/>
  <c r="AG1777" i="1"/>
  <c r="T1776" i="1"/>
  <c r="W1776" i="1"/>
  <c r="AG1776" i="1"/>
  <c r="T1775" i="1"/>
  <c r="W1775" i="1"/>
  <c r="AG1775" i="1"/>
  <c r="T1774" i="1"/>
  <c r="W1774" i="1"/>
  <c r="AG1774" i="1"/>
  <c r="T1773" i="1"/>
  <c r="W1773" i="1"/>
  <c r="AG1773" i="1"/>
  <c r="T1772" i="1"/>
  <c r="W1772" i="1"/>
  <c r="AG1772" i="1"/>
  <c r="T1771" i="1"/>
  <c r="W1771" i="1"/>
  <c r="AG1771" i="1"/>
  <c r="T1770" i="1"/>
  <c r="W1770" i="1"/>
  <c r="AG1770" i="1"/>
  <c r="T1769" i="1"/>
  <c r="W1769" i="1"/>
  <c r="AG1769" i="1"/>
  <c r="T1768" i="1"/>
  <c r="W1768" i="1"/>
  <c r="AG1768" i="1"/>
  <c r="T1767" i="1"/>
  <c r="W1767" i="1"/>
  <c r="AG1767" i="1"/>
  <c r="T1766" i="1"/>
  <c r="W1766" i="1"/>
  <c r="AG1766" i="1"/>
  <c r="T1765" i="1"/>
  <c r="W1765" i="1"/>
  <c r="AG1765" i="1"/>
  <c r="T1764" i="1"/>
  <c r="W1764" i="1"/>
  <c r="AG1764" i="1"/>
  <c r="T1763" i="1"/>
  <c r="W1763" i="1"/>
  <c r="AG1763" i="1"/>
  <c r="T1762" i="1"/>
  <c r="W1762" i="1"/>
  <c r="AG1762" i="1"/>
  <c r="T1761" i="1"/>
  <c r="W1761" i="1"/>
  <c r="AG1761" i="1"/>
  <c r="T1760" i="1"/>
  <c r="W1760" i="1"/>
  <c r="AG1760" i="1"/>
  <c r="T1759" i="1"/>
  <c r="W1759" i="1"/>
  <c r="AG1759" i="1"/>
  <c r="T1758" i="1"/>
  <c r="W1758" i="1"/>
  <c r="AG1758" i="1"/>
  <c r="T1757" i="1"/>
  <c r="W1757" i="1"/>
  <c r="AG1757" i="1"/>
  <c r="T1756" i="1"/>
  <c r="W1756" i="1"/>
  <c r="AG1756" i="1"/>
  <c r="T1755" i="1"/>
  <c r="W1755" i="1"/>
  <c r="AG1755" i="1"/>
  <c r="T1754" i="1"/>
  <c r="W1754" i="1"/>
  <c r="AG1754" i="1"/>
  <c r="T1753" i="1"/>
  <c r="W1753" i="1"/>
  <c r="AG1753" i="1"/>
  <c r="T1752" i="1"/>
  <c r="W1752" i="1"/>
  <c r="AG1752" i="1"/>
  <c r="T1751" i="1"/>
  <c r="W1751" i="1"/>
  <c r="AG1751" i="1"/>
  <c r="T1750" i="1"/>
  <c r="W1750" i="1"/>
  <c r="AG1750" i="1"/>
  <c r="T1749" i="1"/>
  <c r="W1749" i="1"/>
  <c r="AG1749" i="1"/>
  <c r="T1748" i="1"/>
  <c r="W1748" i="1"/>
  <c r="AG1748" i="1"/>
  <c r="T1747" i="1"/>
  <c r="W1747" i="1"/>
  <c r="AG1747" i="1"/>
  <c r="T1746" i="1"/>
  <c r="W1746" i="1"/>
  <c r="AG1746" i="1"/>
  <c r="T1745" i="1"/>
  <c r="W1745" i="1"/>
  <c r="AG1745" i="1"/>
  <c r="T1744" i="1"/>
  <c r="W1744" i="1"/>
  <c r="AG1744" i="1"/>
  <c r="T1743" i="1"/>
  <c r="W1743" i="1"/>
  <c r="AG1743" i="1"/>
  <c r="T1742" i="1"/>
  <c r="W1742" i="1"/>
  <c r="AG1742" i="1"/>
  <c r="T1741" i="1"/>
  <c r="W1741" i="1"/>
  <c r="AG1741" i="1"/>
  <c r="T1740" i="1"/>
  <c r="W1740" i="1"/>
  <c r="AG1740" i="1"/>
  <c r="T1739" i="1"/>
  <c r="W1739" i="1"/>
  <c r="AG1739" i="1"/>
  <c r="T1738" i="1"/>
  <c r="W1738" i="1"/>
  <c r="AG1738" i="1"/>
  <c r="T1737" i="1"/>
  <c r="W1737" i="1"/>
  <c r="AG1737" i="1"/>
  <c r="T1736" i="1"/>
  <c r="W1736" i="1"/>
  <c r="AG1736" i="1"/>
  <c r="T1735" i="1"/>
  <c r="W1735" i="1"/>
  <c r="AG1735" i="1"/>
  <c r="T1734" i="1"/>
  <c r="W1734" i="1"/>
  <c r="AG1734" i="1"/>
  <c r="T1733" i="1"/>
  <c r="W1733" i="1"/>
  <c r="AG1733" i="1"/>
  <c r="T1732" i="1"/>
  <c r="W1732" i="1"/>
  <c r="AG1732" i="1"/>
  <c r="T1731" i="1"/>
  <c r="W1731" i="1"/>
  <c r="AG1731" i="1"/>
  <c r="T1730" i="1"/>
  <c r="W1730" i="1"/>
  <c r="AG1730" i="1"/>
  <c r="T1729" i="1"/>
  <c r="W1729" i="1"/>
  <c r="AG1729" i="1"/>
  <c r="T1728" i="1"/>
  <c r="W1728" i="1"/>
  <c r="AG1728" i="1"/>
  <c r="T1727" i="1"/>
  <c r="W1727" i="1"/>
  <c r="AG1727" i="1"/>
  <c r="T1726" i="1"/>
  <c r="W1726" i="1"/>
  <c r="AG1726" i="1"/>
  <c r="T1725" i="1"/>
  <c r="W1725" i="1"/>
  <c r="AG1725" i="1"/>
  <c r="T1724" i="1"/>
  <c r="W1724" i="1"/>
  <c r="AG1724" i="1"/>
  <c r="T1723" i="1"/>
  <c r="W1723" i="1"/>
  <c r="AG1723" i="1"/>
  <c r="T1722" i="1"/>
  <c r="W1722" i="1"/>
  <c r="AG1722" i="1"/>
  <c r="T1721" i="1"/>
  <c r="W1721" i="1"/>
  <c r="AG1721" i="1"/>
  <c r="T1720" i="1"/>
  <c r="W1720" i="1"/>
  <c r="AG1720" i="1"/>
  <c r="T1719" i="1"/>
  <c r="W1719" i="1"/>
  <c r="AG1719" i="1"/>
  <c r="T1718" i="1"/>
  <c r="W1718" i="1"/>
  <c r="AG1718" i="1"/>
  <c r="T1717" i="1"/>
  <c r="W1717" i="1"/>
  <c r="AG1717" i="1"/>
  <c r="T1716" i="1"/>
  <c r="W1716" i="1"/>
  <c r="AG1716" i="1"/>
  <c r="T1715" i="1"/>
  <c r="W1715" i="1"/>
  <c r="AG1715" i="1"/>
  <c r="T1714" i="1"/>
  <c r="W1714" i="1"/>
  <c r="AG1714" i="1"/>
  <c r="T1713" i="1"/>
  <c r="W1713" i="1"/>
  <c r="AG1713" i="1"/>
  <c r="T1712" i="1"/>
  <c r="W1712" i="1"/>
  <c r="AG1712" i="1"/>
  <c r="T1711" i="1"/>
  <c r="W1711" i="1"/>
  <c r="AG1711" i="1"/>
  <c r="T1710" i="1"/>
  <c r="W1710" i="1"/>
  <c r="AG1710" i="1"/>
  <c r="T1709" i="1"/>
  <c r="W1709" i="1"/>
  <c r="AG1709" i="1"/>
  <c r="T1708" i="1"/>
  <c r="W1708" i="1"/>
  <c r="AG1708" i="1"/>
  <c r="T1707" i="1"/>
  <c r="W1707" i="1"/>
  <c r="AG1707" i="1"/>
  <c r="T1706" i="1"/>
  <c r="W1706" i="1"/>
  <c r="AG1706" i="1"/>
  <c r="T1705" i="1"/>
  <c r="W1705" i="1"/>
  <c r="AG1705" i="1"/>
  <c r="T1704" i="1"/>
  <c r="W1704" i="1"/>
  <c r="AG1704" i="1"/>
  <c r="T1703" i="1"/>
  <c r="W1703" i="1"/>
  <c r="AG1703" i="1"/>
  <c r="T1702" i="1"/>
  <c r="W1702" i="1"/>
  <c r="AG1702" i="1"/>
  <c r="T1701" i="1"/>
  <c r="W1701" i="1"/>
  <c r="AG1701" i="1"/>
  <c r="T1700" i="1"/>
  <c r="W1700" i="1"/>
  <c r="AG1700" i="1"/>
  <c r="T1699" i="1"/>
  <c r="W1699" i="1"/>
  <c r="AG1699" i="1"/>
  <c r="T1698" i="1"/>
  <c r="W1698" i="1"/>
  <c r="AG1698" i="1"/>
  <c r="T1697" i="1"/>
  <c r="W1697" i="1"/>
  <c r="AG1697" i="1"/>
  <c r="T1696" i="1"/>
  <c r="W1696" i="1"/>
  <c r="AG1696" i="1"/>
  <c r="T1695" i="1"/>
  <c r="W1695" i="1"/>
  <c r="AG1695" i="1"/>
  <c r="T1694" i="1"/>
  <c r="W1694" i="1"/>
  <c r="AG1694" i="1"/>
  <c r="T1693" i="1"/>
  <c r="W1693" i="1"/>
  <c r="AG1693" i="1"/>
  <c r="T1692" i="1"/>
  <c r="W1692" i="1"/>
  <c r="AG1692" i="1"/>
  <c r="T1691" i="1"/>
  <c r="W1691" i="1"/>
  <c r="AG1691" i="1"/>
  <c r="T1690" i="1"/>
  <c r="W1690" i="1"/>
  <c r="AG1690" i="1"/>
  <c r="T1689" i="1"/>
  <c r="W1689" i="1"/>
  <c r="AG1689" i="1"/>
  <c r="T1688" i="1"/>
  <c r="W1688" i="1"/>
  <c r="AG1688" i="1"/>
  <c r="T1687" i="1"/>
  <c r="W1687" i="1"/>
  <c r="AG1687" i="1"/>
  <c r="T1686" i="1"/>
  <c r="W1686" i="1"/>
  <c r="AG1686" i="1"/>
  <c r="T1685" i="1"/>
  <c r="W1685" i="1"/>
  <c r="AG1685" i="1"/>
  <c r="T1684" i="1"/>
  <c r="W1684" i="1"/>
  <c r="AG1684" i="1"/>
  <c r="T1683" i="1"/>
  <c r="W1683" i="1"/>
  <c r="AG1683" i="1"/>
  <c r="T1682" i="1"/>
  <c r="W1682" i="1"/>
  <c r="AG1682" i="1"/>
  <c r="T1681" i="1"/>
  <c r="W1681" i="1"/>
  <c r="AG1681" i="1"/>
  <c r="T1680" i="1"/>
  <c r="W1680" i="1"/>
  <c r="AG1680" i="1"/>
  <c r="T1679" i="1"/>
  <c r="W1679" i="1"/>
  <c r="AG1679" i="1"/>
  <c r="T1678" i="1"/>
  <c r="W1678" i="1"/>
  <c r="AG1678" i="1"/>
  <c r="T1677" i="1"/>
  <c r="W1677" i="1"/>
  <c r="AG1677" i="1"/>
  <c r="T1676" i="1"/>
  <c r="W1676" i="1"/>
  <c r="AG1676" i="1"/>
  <c r="T1675" i="1"/>
  <c r="W1675" i="1"/>
  <c r="AG1675" i="1"/>
  <c r="T1674" i="1"/>
  <c r="W1674" i="1"/>
  <c r="AG1674" i="1"/>
  <c r="T1673" i="1"/>
  <c r="W1673" i="1"/>
  <c r="AG1673" i="1"/>
  <c r="T1672" i="1"/>
  <c r="W1672" i="1"/>
  <c r="AG1672" i="1"/>
  <c r="T1671" i="1"/>
  <c r="W1671" i="1"/>
  <c r="AG1671" i="1"/>
  <c r="T1670" i="1"/>
  <c r="W1670" i="1"/>
  <c r="AG1670" i="1"/>
  <c r="T1669" i="1"/>
  <c r="W1669" i="1"/>
  <c r="AG1669" i="1"/>
  <c r="T1668" i="1"/>
  <c r="W1668" i="1"/>
  <c r="AG1668" i="1"/>
  <c r="T1667" i="1"/>
  <c r="W1667" i="1"/>
  <c r="AG1667" i="1"/>
  <c r="T1666" i="1"/>
  <c r="W1666" i="1"/>
  <c r="AG1666" i="1"/>
  <c r="T1665" i="1"/>
  <c r="W1665" i="1"/>
  <c r="AG1665" i="1"/>
  <c r="T1664" i="1"/>
  <c r="W1664" i="1"/>
  <c r="AG1664" i="1"/>
  <c r="T1663" i="1"/>
  <c r="W1663" i="1"/>
  <c r="AG1663" i="1"/>
  <c r="T1662" i="1"/>
  <c r="W1662" i="1"/>
  <c r="AG1662" i="1"/>
  <c r="T1661" i="1"/>
  <c r="W1661" i="1"/>
  <c r="AG1661" i="1"/>
  <c r="T1660" i="1"/>
  <c r="W1660" i="1"/>
  <c r="AG1660" i="1"/>
  <c r="T1659" i="1"/>
  <c r="W1659" i="1"/>
  <c r="AG1659" i="1"/>
  <c r="T1658" i="1"/>
  <c r="W1658" i="1"/>
  <c r="AG1658" i="1"/>
  <c r="T1657" i="1"/>
  <c r="W1657" i="1"/>
  <c r="AG1657" i="1"/>
  <c r="T1656" i="1"/>
  <c r="W1656" i="1"/>
  <c r="AG1656" i="1"/>
  <c r="T1655" i="1"/>
  <c r="W1655" i="1"/>
  <c r="AG1655" i="1"/>
  <c r="T1654" i="1"/>
  <c r="W1654" i="1"/>
  <c r="AG1654" i="1"/>
  <c r="T1653" i="1"/>
  <c r="W1653" i="1"/>
  <c r="AG1653" i="1"/>
  <c r="T1652" i="1"/>
  <c r="W1652" i="1"/>
  <c r="AG1652" i="1"/>
  <c r="T1651" i="1"/>
  <c r="W1651" i="1"/>
  <c r="AG1651" i="1"/>
  <c r="T1650" i="1"/>
  <c r="W1650" i="1"/>
  <c r="AG1650" i="1"/>
  <c r="T1649" i="1"/>
  <c r="W1649" i="1"/>
  <c r="AG1649" i="1"/>
  <c r="T1648" i="1"/>
  <c r="W1648" i="1"/>
  <c r="AG1648" i="1"/>
  <c r="T1647" i="1"/>
  <c r="W1647" i="1"/>
  <c r="AG1647" i="1"/>
  <c r="T1646" i="1"/>
  <c r="W1646" i="1"/>
  <c r="AG1646" i="1"/>
  <c r="T1645" i="1"/>
  <c r="W1645" i="1"/>
  <c r="AG1645" i="1"/>
  <c r="T1644" i="1"/>
  <c r="W1644" i="1"/>
  <c r="AG1644" i="1"/>
  <c r="T1643" i="1"/>
  <c r="W1643" i="1"/>
  <c r="AG1643" i="1"/>
  <c r="T1642" i="1"/>
  <c r="W1642" i="1"/>
  <c r="AG1642" i="1"/>
  <c r="T1641" i="1"/>
  <c r="W1641" i="1"/>
  <c r="AG1641" i="1"/>
  <c r="T1640" i="1"/>
  <c r="W1640" i="1"/>
  <c r="AG1640" i="1"/>
  <c r="T1639" i="1"/>
  <c r="W1639" i="1"/>
  <c r="AG1639" i="1"/>
  <c r="T1638" i="1"/>
  <c r="W1638" i="1"/>
  <c r="AG1638" i="1"/>
  <c r="T1637" i="1"/>
  <c r="W1637" i="1"/>
  <c r="AG1637" i="1"/>
  <c r="T1636" i="1"/>
  <c r="W1636" i="1"/>
  <c r="AG1636" i="1"/>
  <c r="T1635" i="1"/>
  <c r="W1635" i="1"/>
  <c r="AG1635" i="1"/>
  <c r="T1634" i="1"/>
  <c r="W1634" i="1"/>
  <c r="AG1634" i="1"/>
  <c r="T1633" i="1"/>
  <c r="W1633" i="1"/>
  <c r="AG1633" i="1"/>
  <c r="T1632" i="1"/>
  <c r="W1632" i="1"/>
  <c r="AG1632" i="1"/>
  <c r="T1631" i="1"/>
  <c r="W1631" i="1"/>
  <c r="AG1631" i="1"/>
  <c r="T1630" i="1"/>
  <c r="W1630" i="1"/>
  <c r="AG1630" i="1"/>
  <c r="T1629" i="1"/>
  <c r="W1629" i="1"/>
  <c r="AG1629" i="1"/>
  <c r="T1628" i="1"/>
  <c r="W1628" i="1"/>
  <c r="AG1628" i="1"/>
  <c r="T1627" i="1"/>
  <c r="W1627" i="1"/>
  <c r="AG1627" i="1"/>
  <c r="T1626" i="1"/>
  <c r="W1626" i="1"/>
  <c r="AG1626" i="1"/>
  <c r="T1625" i="1"/>
  <c r="W1625" i="1"/>
  <c r="AG1625" i="1"/>
  <c r="T1624" i="1"/>
  <c r="W1624" i="1"/>
  <c r="AG1624" i="1"/>
  <c r="T1623" i="1"/>
  <c r="W1623" i="1"/>
  <c r="AG1623" i="1"/>
  <c r="T1622" i="1"/>
  <c r="W1622" i="1"/>
  <c r="AG1622" i="1"/>
  <c r="T1621" i="1"/>
  <c r="W1621" i="1"/>
  <c r="AG1621" i="1"/>
  <c r="T1620" i="1"/>
  <c r="W1620" i="1"/>
  <c r="AG1620" i="1"/>
  <c r="T1619" i="1"/>
  <c r="W1619" i="1"/>
  <c r="AG1619" i="1"/>
  <c r="T1618" i="1"/>
  <c r="W1618" i="1"/>
  <c r="AG1618" i="1"/>
  <c r="T1617" i="1"/>
  <c r="W1617" i="1"/>
  <c r="AG1617" i="1"/>
  <c r="T1616" i="1"/>
  <c r="W1616" i="1"/>
  <c r="AG1616" i="1"/>
  <c r="T1615" i="1"/>
  <c r="W1615" i="1"/>
  <c r="AG1615" i="1"/>
  <c r="T1614" i="1"/>
  <c r="W1614" i="1"/>
  <c r="AG1614" i="1"/>
  <c r="T1613" i="1"/>
  <c r="W1613" i="1"/>
  <c r="AG1613" i="1"/>
  <c r="T1612" i="1"/>
  <c r="W1612" i="1"/>
  <c r="AG1612" i="1"/>
  <c r="T1611" i="1"/>
  <c r="W1611" i="1"/>
  <c r="AG1611" i="1"/>
  <c r="T1610" i="1"/>
  <c r="W1610" i="1"/>
  <c r="AG1610" i="1"/>
  <c r="T1609" i="1"/>
  <c r="W1609" i="1"/>
  <c r="AG1609" i="1"/>
  <c r="T1608" i="1"/>
  <c r="W1608" i="1"/>
  <c r="AG1608" i="1"/>
  <c r="T1607" i="1"/>
  <c r="W1607" i="1"/>
  <c r="AG1607" i="1"/>
  <c r="T1606" i="1"/>
  <c r="W1606" i="1"/>
  <c r="AG1606" i="1"/>
  <c r="T1605" i="1"/>
  <c r="W1605" i="1"/>
  <c r="AG1605" i="1"/>
  <c r="T1604" i="1"/>
  <c r="W1604" i="1"/>
  <c r="AG1604" i="1"/>
  <c r="T1603" i="1"/>
  <c r="W1603" i="1"/>
  <c r="AG1603" i="1"/>
  <c r="T1602" i="1"/>
  <c r="W1602" i="1"/>
  <c r="AG1602" i="1"/>
  <c r="T1601" i="1"/>
  <c r="W1601" i="1"/>
  <c r="AG1601" i="1"/>
  <c r="T1600" i="1"/>
  <c r="W1600" i="1"/>
  <c r="AG1600" i="1"/>
  <c r="T1599" i="1"/>
  <c r="W1599" i="1"/>
  <c r="AG1599" i="1"/>
  <c r="T1598" i="1"/>
  <c r="W1598" i="1"/>
  <c r="AG1598" i="1"/>
  <c r="T1597" i="1"/>
  <c r="W1597" i="1"/>
  <c r="AG1597" i="1"/>
  <c r="T1596" i="1"/>
  <c r="W1596" i="1"/>
  <c r="AG1596" i="1"/>
  <c r="T1595" i="1"/>
  <c r="W1595" i="1"/>
  <c r="AG1595" i="1"/>
  <c r="T1594" i="1"/>
  <c r="W1594" i="1"/>
  <c r="AG1594" i="1"/>
  <c r="T1593" i="1"/>
  <c r="W1593" i="1"/>
  <c r="AG1593" i="1"/>
  <c r="T1592" i="1"/>
  <c r="W1592" i="1"/>
  <c r="AG1592" i="1"/>
  <c r="T1591" i="1"/>
  <c r="W1591" i="1"/>
  <c r="AG1591" i="1"/>
  <c r="T1590" i="1"/>
  <c r="W1590" i="1"/>
  <c r="AG1590" i="1"/>
  <c r="T1589" i="1"/>
  <c r="W1589" i="1"/>
  <c r="AG1589" i="1"/>
  <c r="T1588" i="1"/>
  <c r="W1588" i="1"/>
  <c r="AG1588" i="1"/>
  <c r="T1587" i="1"/>
  <c r="W1587" i="1"/>
  <c r="AG1587" i="1"/>
  <c r="T1586" i="1"/>
  <c r="W1586" i="1"/>
  <c r="AG1586" i="1"/>
  <c r="T1585" i="1"/>
  <c r="W1585" i="1"/>
  <c r="AG1585" i="1"/>
  <c r="T1584" i="1"/>
  <c r="W1584" i="1"/>
  <c r="AG1584" i="1"/>
  <c r="T1583" i="1"/>
  <c r="W1583" i="1"/>
  <c r="AG1583" i="1"/>
  <c r="T1582" i="1"/>
  <c r="W1582" i="1"/>
  <c r="AG1582" i="1"/>
  <c r="T1581" i="1"/>
  <c r="W1581" i="1"/>
  <c r="AG1581" i="1"/>
  <c r="T1580" i="1"/>
  <c r="W1580" i="1"/>
  <c r="AG1580" i="1"/>
  <c r="T1579" i="1"/>
  <c r="W1579" i="1"/>
  <c r="AG1579" i="1"/>
  <c r="T1578" i="1"/>
  <c r="W1578" i="1"/>
  <c r="AG1578" i="1"/>
  <c r="T1577" i="1"/>
  <c r="W1577" i="1"/>
  <c r="AG1577" i="1"/>
  <c r="T1576" i="1"/>
  <c r="W1576" i="1"/>
  <c r="AG1576" i="1"/>
  <c r="T1575" i="1"/>
  <c r="W1575" i="1"/>
  <c r="AG1575" i="1"/>
  <c r="T1574" i="1"/>
  <c r="W1574" i="1"/>
  <c r="AG1574" i="1"/>
  <c r="T1573" i="1"/>
  <c r="W1573" i="1"/>
  <c r="AG1573" i="1"/>
  <c r="T1572" i="1"/>
  <c r="W1572" i="1"/>
  <c r="AG1572" i="1"/>
  <c r="T1571" i="1"/>
  <c r="W1571" i="1"/>
  <c r="AG1571" i="1"/>
  <c r="T1570" i="1"/>
  <c r="W1570" i="1"/>
  <c r="AG1570" i="1"/>
  <c r="T1569" i="1"/>
  <c r="W1569" i="1"/>
  <c r="AG1569" i="1"/>
  <c r="T1568" i="1"/>
  <c r="W1568" i="1"/>
  <c r="AG1568" i="1"/>
  <c r="T1567" i="1"/>
  <c r="W1567" i="1"/>
  <c r="AG1567" i="1"/>
  <c r="T1566" i="1"/>
  <c r="W1566" i="1"/>
  <c r="AG1566" i="1"/>
  <c r="T1565" i="1"/>
  <c r="W1565" i="1"/>
  <c r="AG1565" i="1"/>
  <c r="T1564" i="1"/>
  <c r="W1564" i="1"/>
  <c r="AG1564" i="1"/>
  <c r="T1563" i="1"/>
  <c r="W1563" i="1"/>
  <c r="AG1563" i="1"/>
  <c r="T1562" i="1"/>
  <c r="W1562" i="1"/>
  <c r="AG1562" i="1"/>
  <c r="T1561" i="1"/>
  <c r="W1561" i="1"/>
  <c r="AG1561" i="1"/>
  <c r="T1560" i="1"/>
  <c r="W1560" i="1"/>
  <c r="AG1560" i="1"/>
  <c r="T1559" i="1"/>
  <c r="W1559" i="1"/>
  <c r="AG1559" i="1"/>
  <c r="T1558" i="1"/>
  <c r="W1558" i="1"/>
  <c r="AG1558" i="1"/>
  <c r="T1557" i="1"/>
  <c r="W1557" i="1"/>
  <c r="AG1557" i="1"/>
  <c r="T1556" i="1"/>
  <c r="W1556" i="1"/>
  <c r="AG1556" i="1"/>
  <c r="T1555" i="1"/>
  <c r="W1555" i="1"/>
  <c r="AG1555" i="1"/>
  <c r="T1554" i="1"/>
  <c r="W1554" i="1"/>
  <c r="AG1554" i="1"/>
  <c r="T1553" i="1"/>
  <c r="W1553" i="1"/>
  <c r="AG1553" i="1"/>
  <c r="T1552" i="1"/>
  <c r="W1552" i="1"/>
  <c r="AG1552" i="1"/>
  <c r="T1551" i="1"/>
  <c r="W1551" i="1"/>
  <c r="AG1551" i="1"/>
  <c r="T1550" i="1"/>
  <c r="W1550" i="1"/>
  <c r="AG1550" i="1"/>
  <c r="T1549" i="1"/>
  <c r="W1549" i="1"/>
  <c r="AG1549" i="1"/>
  <c r="T1548" i="1"/>
  <c r="W1548" i="1"/>
  <c r="AG1548" i="1"/>
  <c r="T1547" i="1"/>
  <c r="W1547" i="1"/>
  <c r="AG1547" i="1"/>
  <c r="T1546" i="1"/>
  <c r="W1546" i="1"/>
  <c r="AG1546" i="1"/>
  <c r="T1545" i="1"/>
  <c r="W1545" i="1"/>
  <c r="AG1545" i="1"/>
  <c r="T1544" i="1"/>
  <c r="W1544" i="1"/>
  <c r="AG1544" i="1"/>
  <c r="T1543" i="1"/>
  <c r="W1543" i="1"/>
  <c r="AG1543" i="1"/>
  <c r="T1542" i="1"/>
  <c r="W1542" i="1"/>
  <c r="AG1542" i="1"/>
  <c r="T1541" i="1"/>
  <c r="W1541" i="1"/>
  <c r="AG1541" i="1"/>
  <c r="T1540" i="1"/>
  <c r="W1540" i="1"/>
  <c r="AG1540" i="1"/>
  <c r="T1539" i="1"/>
  <c r="W1539" i="1"/>
  <c r="AG1539" i="1"/>
  <c r="T1538" i="1"/>
  <c r="W1538" i="1"/>
  <c r="AG1538" i="1"/>
  <c r="T1537" i="1"/>
  <c r="W1537" i="1"/>
  <c r="AG1537" i="1"/>
  <c r="T1536" i="1"/>
  <c r="W1536" i="1"/>
  <c r="AG1536" i="1"/>
  <c r="T1535" i="1"/>
  <c r="W1535" i="1"/>
  <c r="AG1535" i="1"/>
  <c r="T1534" i="1"/>
  <c r="W1534" i="1"/>
  <c r="AG1534" i="1"/>
  <c r="T1533" i="1"/>
  <c r="W1533" i="1"/>
  <c r="AG1533" i="1"/>
  <c r="T1532" i="1"/>
  <c r="W1532" i="1"/>
  <c r="AG1532" i="1"/>
  <c r="T1531" i="1"/>
  <c r="W1531" i="1"/>
  <c r="AG1531" i="1"/>
  <c r="T1530" i="1"/>
  <c r="W1530" i="1"/>
  <c r="AG1530" i="1"/>
  <c r="T1529" i="1"/>
  <c r="W1529" i="1"/>
  <c r="AG1529" i="1"/>
  <c r="T1528" i="1"/>
  <c r="W1528" i="1"/>
  <c r="AG1528" i="1"/>
  <c r="T1527" i="1"/>
  <c r="W1527" i="1"/>
  <c r="AG1527" i="1"/>
  <c r="T1526" i="1"/>
  <c r="W1526" i="1"/>
  <c r="AG1526" i="1"/>
  <c r="T1525" i="1"/>
  <c r="W1525" i="1"/>
  <c r="AG1525" i="1"/>
  <c r="T1524" i="1"/>
  <c r="W1524" i="1"/>
  <c r="AG1524" i="1"/>
  <c r="T1523" i="1"/>
  <c r="W1523" i="1"/>
  <c r="AG1523" i="1"/>
  <c r="T1522" i="1"/>
  <c r="W1522" i="1"/>
  <c r="AG1522" i="1"/>
  <c r="T1521" i="1"/>
  <c r="W1521" i="1"/>
  <c r="AG1521" i="1"/>
  <c r="T1520" i="1"/>
  <c r="W1520" i="1"/>
  <c r="AG1520" i="1"/>
  <c r="T1519" i="1"/>
  <c r="W1519" i="1"/>
  <c r="AG1519" i="1"/>
  <c r="T1518" i="1"/>
  <c r="W1518" i="1"/>
  <c r="AG1518" i="1"/>
  <c r="T1517" i="1"/>
  <c r="W1517" i="1"/>
  <c r="AG1517" i="1"/>
  <c r="T1516" i="1"/>
  <c r="W1516" i="1"/>
  <c r="AG1516" i="1"/>
  <c r="T1515" i="1"/>
  <c r="W1515" i="1"/>
  <c r="AG1515" i="1"/>
  <c r="T1514" i="1"/>
  <c r="W1514" i="1"/>
  <c r="AG1514" i="1"/>
  <c r="T1513" i="1"/>
  <c r="W1513" i="1"/>
  <c r="AG1513" i="1"/>
  <c r="T1512" i="1"/>
  <c r="W1512" i="1"/>
  <c r="AG1512" i="1"/>
  <c r="T1511" i="1"/>
  <c r="W1511" i="1"/>
  <c r="AG1511" i="1"/>
  <c r="T1510" i="1"/>
  <c r="W1510" i="1"/>
  <c r="AG1510" i="1"/>
  <c r="T1509" i="1"/>
  <c r="W1509" i="1"/>
  <c r="AG1509" i="1"/>
  <c r="T1508" i="1"/>
  <c r="W1508" i="1"/>
  <c r="AG1508" i="1"/>
  <c r="T1507" i="1"/>
  <c r="W1507" i="1"/>
  <c r="AG1507" i="1"/>
  <c r="T1506" i="1"/>
  <c r="W1506" i="1"/>
  <c r="AG1506" i="1"/>
  <c r="T1505" i="1"/>
  <c r="W1505" i="1"/>
  <c r="AG1505" i="1"/>
  <c r="T1504" i="1"/>
  <c r="W1504" i="1"/>
  <c r="AG1504" i="1"/>
  <c r="T1503" i="1"/>
  <c r="W1503" i="1"/>
  <c r="AG1503" i="1"/>
  <c r="T1502" i="1"/>
  <c r="W1502" i="1"/>
  <c r="AG1502" i="1"/>
  <c r="T1501" i="1"/>
  <c r="W1501" i="1"/>
  <c r="AG1501" i="1"/>
  <c r="T1500" i="1"/>
  <c r="W1500" i="1"/>
  <c r="AG1500" i="1"/>
  <c r="T1499" i="1"/>
  <c r="W1499" i="1"/>
  <c r="AG1499" i="1"/>
  <c r="T1498" i="1"/>
  <c r="W1498" i="1"/>
  <c r="AG1498" i="1"/>
  <c r="T1497" i="1"/>
  <c r="W1497" i="1"/>
  <c r="AG1497" i="1"/>
  <c r="T1496" i="1"/>
  <c r="W1496" i="1"/>
  <c r="AG1496" i="1"/>
  <c r="T1495" i="1"/>
  <c r="W1495" i="1"/>
  <c r="AG1495" i="1"/>
  <c r="T1494" i="1"/>
  <c r="W1494" i="1"/>
  <c r="AG1494" i="1"/>
  <c r="T1493" i="1"/>
  <c r="W1493" i="1"/>
  <c r="AG1493" i="1"/>
  <c r="T1492" i="1"/>
  <c r="W1492" i="1"/>
  <c r="AG1492" i="1"/>
  <c r="T1491" i="1"/>
  <c r="W1491" i="1"/>
  <c r="AG1491" i="1"/>
  <c r="T1490" i="1"/>
  <c r="W1490" i="1"/>
  <c r="AG1490" i="1"/>
  <c r="T1489" i="1"/>
  <c r="W1489" i="1"/>
  <c r="AG1489" i="1"/>
  <c r="T1488" i="1"/>
  <c r="W1488" i="1"/>
  <c r="AG1488" i="1"/>
  <c r="T1487" i="1"/>
  <c r="W1487" i="1"/>
  <c r="AG1487" i="1"/>
  <c r="T1486" i="1"/>
  <c r="W1486" i="1"/>
  <c r="AG1486" i="1"/>
  <c r="T1485" i="1"/>
  <c r="W1485" i="1"/>
  <c r="AG1485" i="1"/>
  <c r="T1484" i="1"/>
  <c r="W1484" i="1"/>
  <c r="AG1484" i="1"/>
  <c r="T1483" i="1"/>
  <c r="W1483" i="1"/>
  <c r="AG1483" i="1"/>
  <c r="T1482" i="1"/>
  <c r="W1482" i="1"/>
  <c r="AG1482" i="1"/>
  <c r="T1481" i="1"/>
  <c r="W1481" i="1"/>
  <c r="AG1481" i="1"/>
  <c r="T1480" i="1"/>
  <c r="W1480" i="1"/>
  <c r="AG1480" i="1"/>
  <c r="T1479" i="1"/>
  <c r="W1479" i="1"/>
  <c r="AG1479" i="1"/>
  <c r="T1478" i="1"/>
  <c r="W1478" i="1"/>
  <c r="AG1478" i="1"/>
  <c r="T1477" i="1"/>
  <c r="W1477" i="1"/>
  <c r="AG1477" i="1"/>
  <c r="T1476" i="1"/>
  <c r="W1476" i="1"/>
  <c r="AG1476" i="1"/>
  <c r="T1475" i="1"/>
  <c r="W1475" i="1"/>
  <c r="AG1475" i="1"/>
  <c r="T1474" i="1"/>
  <c r="W1474" i="1"/>
  <c r="AG1474" i="1"/>
  <c r="T1473" i="1"/>
  <c r="W1473" i="1"/>
  <c r="AG1473" i="1"/>
  <c r="T1472" i="1"/>
  <c r="W1472" i="1"/>
  <c r="AG1472" i="1"/>
  <c r="T1471" i="1"/>
  <c r="W1471" i="1"/>
  <c r="AG1471" i="1"/>
  <c r="T1470" i="1"/>
  <c r="W1470" i="1"/>
  <c r="AG1470" i="1"/>
  <c r="T1469" i="1"/>
  <c r="W1469" i="1"/>
  <c r="AG1469" i="1"/>
  <c r="T1468" i="1"/>
  <c r="W1468" i="1"/>
  <c r="AG1468" i="1"/>
  <c r="T1467" i="1"/>
  <c r="W1467" i="1"/>
  <c r="AG1467" i="1"/>
  <c r="T1466" i="1"/>
  <c r="W1466" i="1"/>
  <c r="AG1466" i="1"/>
  <c r="T1465" i="1"/>
  <c r="W1465" i="1"/>
  <c r="AG1465" i="1"/>
  <c r="T1464" i="1"/>
  <c r="W1464" i="1"/>
  <c r="AG1464" i="1"/>
  <c r="T1463" i="1"/>
  <c r="W1463" i="1"/>
  <c r="AG1463" i="1"/>
  <c r="T1462" i="1"/>
  <c r="W1462" i="1"/>
  <c r="AG1462" i="1"/>
  <c r="T1461" i="1"/>
  <c r="W1461" i="1"/>
  <c r="AG1461" i="1"/>
  <c r="T1460" i="1"/>
  <c r="W1460" i="1"/>
  <c r="AG1460" i="1"/>
  <c r="T1459" i="1"/>
  <c r="W1459" i="1"/>
  <c r="AG1459" i="1"/>
  <c r="T1458" i="1"/>
  <c r="W1458" i="1"/>
  <c r="AG1458" i="1"/>
  <c r="T1457" i="1"/>
  <c r="W1457" i="1"/>
  <c r="AG1457" i="1"/>
  <c r="T1456" i="1"/>
  <c r="W1456" i="1"/>
  <c r="AG1456" i="1"/>
  <c r="T1455" i="1"/>
  <c r="W1455" i="1"/>
  <c r="AG1455" i="1"/>
  <c r="T1454" i="1"/>
  <c r="W1454" i="1"/>
  <c r="AG1454" i="1"/>
  <c r="T1453" i="1"/>
  <c r="W1453" i="1"/>
  <c r="AG1453" i="1"/>
  <c r="T1452" i="1"/>
  <c r="W1452" i="1"/>
  <c r="AG1452" i="1"/>
  <c r="T1451" i="1"/>
  <c r="W1451" i="1"/>
  <c r="AG1451" i="1"/>
  <c r="T1450" i="1"/>
  <c r="W1450" i="1"/>
  <c r="AG1450" i="1"/>
  <c r="T1449" i="1"/>
  <c r="W1449" i="1"/>
  <c r="AG1449" i="1"/>
  <c r="T1448" i="1"/>
  <c r="W1448" i="1"/>
  <c r="AG1448" i="1"/>
  <c r="T1447" i="1"/>
  <c r="W1447" i="1"/>
  <c r="AG1447" i="1"/>
  <c r="T1446" i="1"/>
  <c r="W1446" i="1"/>
  <c r="AG1446" i="1"/>
  <c r="T1445" i="1"/>
  <c r="W1445" i="1"/>
  <c r="AG1445" i="1"/>
  <c r="T1444" i="1"/>
  <c r="W1444" i="1"/>
  <c r="AG1444" i="1"/>
  <c r="T1443" i="1"/>
  <c r="W1443" i="1"/>
  <c r="AG1443" i="1"/>
  <c r="T1442" i="1"/>
  <c r="W1442" i="1"/>
  <c r="AG1442" i="1"/>
  <c r="T1441" i="1"/>
  <c r="W1441" i="1"/>
  <c r="AG1441" i="1"/>
  <c r="T1440" i="1"/>
  <c r="W1440" i="1"/>
  <c r="AG1440" i="1"/>
  <c r="T1439" i="1"/>
  <c r="W1439" i="1"/>
  <c r="AG1439" i="1"/>
  <c r="T1438" i="1"/>
  <c r="W1438" i="1"/>
  <c r="AG1438" i="1"/>
  <c r="T1437" i="1"/>
  <c r="W1437" i="1"/>
  <c r="AG1437" i="1"/>
  <c r="T1436" i="1"/>
  <c r="W1436" i="1"/>
  <c r="AG1436" i="1"/>
  <c r="T1435" i="1"/>
  <c r="W1435" i="1"/>
  <c r="AG1435" i="1"/>
  <c r="T1434" i="1"/>
  <c r="W1434" i="1"/>
  <c r="AG1434" i="1"/>
  <c r="T1433" i="1"/>
  <c r="W1433" i="1"/>
  <c r="AG1433" i="1"/>
  <c r="T1432" i="1"/>
  <c r="W1432" i="1"/>
  <c r="AG1432" i="1"/>
  <c r="T1431" i="1"/>
  <c r="W1431" i="1"/>
  <c r="AG1431" i="1"/>
  <c r="T1430" i="1"/>
  <c r="W1430" i="1"/>
  <c r="AG1430" i="1"/>
  <c r="T1429" i="1"/>
  <c r="W1429" i="1"/>
  <c r="AG1429" i="1"/>
  <c r="T1428" i="1"/>
  <c r="W1428" i="1"/>
  <c r="AG1428" i="1"/>
  <c r="T1427" i="1"/>
  <c r="W1427" i="1"/>
  <c r="AG1427" i="1"/>
  <c r="T1426" i="1"/>
  <c r="W1426" i="1"/>
  <c r="AG1426" i="1"/>
  <c r="T1425" i="1"/>
  <c r="W1425" i="1"/>
  <c r="AG1425" i="1"/>
  <c r="T1424" i="1"/>
  <c r="W1424" i="1"/>
  <c r="AG1424" i="1"/>
  <c r="T1423" i="1"/>
  <c r="W1423" i="1"/>
  <c r="AG1423" i="1"/>
  <c r="T1422" i="1"/>
  <c r="W1422" i="1"/>
  <c r="AG1422" i="1"/>
  <c r="T1421" i="1"/>
  <c r="W1421" i="1"/>
  <c r="AG1421" i="1"/>
  <c r="T1420" i="1"/>
  <c r="W1420" i="1"/>
  <c r="AG1420" i="1"/>
  <c r="T1419" i="1"/>
  <c r="W1419" i="1"/>
  <c r="AG1419" i="1"/>
  <c r="T1418" i="1"/>
  <c r="W1418" i="1"/>
  <c r="AG1418" i="1"/>
  <c r="T1417" i="1"/>
  <c r="W1417" i="1"/>
  <c r="AG1417" i="1"/>
  <c r="T1416" i="1"/>
  <c r="W1416" i="1"/>
  <c r="AG1416" i="1"/>
  <c r="T1415" i="1"/>
  <c r="W1415" i="1"/>
  <c r="AG1415" i="1"/>
  <c r="T1414" i="1"/>
  <c r="W1414" i="1"/>
  <c r="AG1414" i="1"/>
  <c r="T1413" i="1"/>
  <c r="W1413" i="1"/>
  <c r="AG1413" i="1"/>
  <c r="T1412" i="1"/>
  <c r="W1412" i="1"/>
  <c r="AG1412" i="1"/>
  <c r="T1411" i="1"/>
  <c r="W1411" i="1"/>
  <c r="AG1411" i="1"/>
  <c r="T1410" i="1"/>
  <c r="W1410" i="1"/>
  <c r="AG1410" i="1"/>
  <c r="T1409" i="1"/>
  <c r="W1409" i="1"/>
  <c r="AG1409" i="1"/>
  <c r="T1408" i="1"/>
  <c r="W1408" i="1"/>
  <c r="AG1408" i="1"/>
  <c r="T1407" i="1"/>
  <c r="W1407" i="1"/>
  <c r="AG1407" i="1"/>
  <c r="T1406" i="1"/>
  <c r="W1406" i="1"/>
  <c r="AG1406" i="1"/>
  <c r="T1405" i="1"/>
  <c r="W1405" i="1"/>
  <c r="AG1405" i="1"/>
  <c r="T1404" i="1"/>
  <c r="W1404" i="1"/>
  <c r="AG1404" i="1"/>
  <c r="T1403" i="1"/>
  <c r="W1403" i="1"/>
  <c r="AG1403" i="1"/>
  <c r="T1402" i="1"/>
  <c r="W1402" i="1"/>
  <c r="AG1402" i="1"/>
  <c r="T1401" i="1"/>
  <c r="W1401" i="1"/>
  <c r="AG1401" i="1"/>
  <c r="T1400" i="1"/>
  <c r="W1400" i="1"/>
  <c r="AG1400" i="1"/>
  <c r="T1399" i="1"/>
  <c r="W1399" i="1"/>
  <c r="AG1399" i="1"/>
  <c r="T1398" i="1"/>
  <c r="W1398" i="1"/>
  <c r="AG1398" i="1"/>
  <c r="T1397" i="1"/>
  <c r="W1397" i="1"/>
  <c r="AG1397" i="1"/>
  <c r="T1396" i="1"/>
  <c r="W1396" i="1"/>
  <c r="AG1396" i="1"/>
  <c r="T1395" i="1"/>
  <c r="W1395" i="1"/>
  <c r="AG1395" i="1"/>
  <c r="T1394" i="1"/>
  <c r="W1394" i="1"/>
  <c r="AG1394" i="1"/>
  <c r="T1393" i="1"/>
  <c r="W1393" i="1"/>
  <c r="AG1393" i="1"/>
  <c r="T1392" i="1"/>
  <c r="W1392" i="1"/>
  <c r="AG1392" i="1"/>
  <c r="T1391" i="1"/>
  <c r="W1391" i="1"/>
  <c r="AG1391" i="1"/>
  <c r="T1390" i="1"/>
  <c r="W1390" i="1"/>
  <c r="AG1390" i="1"/>
  <c r="T1389" i="1"/>
  <c r="W1389" i="1"/>
  <c r="AG1389" i="1"/>
  <c r="T1388" i="1"/>
  <c r="W1388" i="1"/>
  <c r="AG1388" i="1"/>
  <c r="T1387" i="1"/>
  <c r="W1387" i="1"/>
  <c r="AG1387" i="1"/>
  <c r="T1386" i="1"/>
  <c r="W1386" i="1"/>
  <c r="AG1386" i="1"/>
  <c r="T1385" i="1"/>
  <c r="W1385" i="1"/>
  <c r="AG1385" i="1"/>
  <c r="T1384" i="1"/>
  <c r="W1384" i="1"/>
  <c r="AG1384" i="1"/>
  <c r="T1383" i="1"/>
  <c r="W1383" i="1"/>
  <c r="AG1383" i="1"/>
  <c r="T1382" i="1"/>
  <c r="W1382" i="1"/>
  <c r="AG1382" i="1"/>
  <c r="T1381" i="1"/>
  <c r="W1381" i="1"/>
  <c r="AG1381" i="1"/>
  <c r="T1380" i="1"/>
  <c r="W1380" i="1"/>
  <c r="AG1380" i="1"/>
  <c r="T1379" i="1"/>
  <c r="W1379" i="1"/>
  <c r="AG1379" i="1"/>
  <c r="T1378" i="1"/>
  <c r="W1378" i="1"/>
  <c r="AG1378" i="1"/>
  <c r="T1377" i="1"/>
  <c r="W1377" i="1"/>
  <c r="AG1377" i="1"/>
  <c r="T1376" i="1"/>
  <c r="W1376" i="1"/>
  <c r="AG1376" i="1"/>
  <c r="T1375" i="1"/>
  <c r="W1375" i="1"/>
  <c r="AG1375" i="1"/>
  <c r="T1374" i="1"/>
  <c r="W1374" i="1"/>
  <c r="AG1374" i="1"/>
  <c r="T1373" i="1"/>
  <c r="W1373" i="1"/>
  <c r="AG1373" i="1"/>
  <c r="T1372" i="1"/>
  <c r="W1372" i="1"/>
  <c r="AG1372" i="1"/>
  <c r="T1371" i="1"/>
  <c r="W1371" i="1"/>
  <c r="AG1371" i="1"/>
  <c r="T1370" i="1"/>
  <c r="W1370" i="1"/>
  <c r="AG1370" i="1"/>
  <c r="T1369" i="1"/>
  <c r="W1369" i="1"/>
  <c r="AG1369" i="1"/>
  <c r="T1368" i="1"/>
  <c r="W1368" i="1"/>
  <c r="AG1368" i="1"/>
  <c r="T1367" i="1"/>
  <c r="W1367" i="1"/>
  <c r="AG1367" i="1"/>
  <c r="T1366" i="1"/>
  <c r="W1366" i="1"/>
  <c r="AG1366" i="1"/>
  <c r="T1365" i="1"/>
  <c r="W1365" i="1"/>
  <c r="AG1365" i="1"/>
  <c r="T1364" i="1"/>
  <c r="W1364" i="1"/>
  <c r="AG1364" i="1"/>
  <c r="T1363" i="1"/>
  <c r="W1363" i="1"/>
  <c r="AG1363" i="1"/>
  <c r="T1362" i="1"/>
  <c r="W1362" i="1"/>
  <c r="AG1362" i="1"/>
  <c r="T1361" i="1"/>
  <c r="W1361" i="1"/>
  <c r="AG1361" i="1"/>
  <c r="T1360" i="1"/>
  <c r="W1360" i="1"/>
  <c r="AG1360" i="1"/>
  <c r="T1359" i="1"/>
  <c r="W1359" i="1"/>
  <c r="AG1359" i="1"/>
  <c r="T1358" i="1"/>
  <c r="W1358" i="1"/>
  <c r="AG1358" i="1"/>
  <c r="T1357" i="1"/>
  <c r="W1357" i="1"/>
  <c r="AG1357" i="1"/>
  <c r="T1356" i="1"/>
  <c r="W1356" i="1"/>
  <c r="AG1356" i="1"/>
  <c r="T1355" i="1"/>
  <c r="W1355" i="1"/>
  <c r="AG1355" i="1"/>
  <c r="T1354" i="1"/>
  <c r="W1354" i="1"/>
  <c r="AG1354" i="1"/>
  <c r="T1353" i="1"/>
  <c r="W1353" i="1"/>
  <c r="AG1353" i="1"/>
  <c r="T1352" i="1"/>
  <c r="W1352" i="1"/>
  <c r="AG1352" i="1"/>
  <c r="T1351" i="1"/>
  <c r="W1351" i="1"/>
  <c r="AG1351" i="1"/>
  <c r="T1350" i="1"/>
  <c r="W1350" i="1"/>
  <c r="AG1350" i="1"/>
  <c r="T1349" i="1"/>
  <c r="W1349" i="1"/>
  <c r="AG1349" i="1"/>
  <c r="T1348" i="1"/>
  <c r="W1348" i="1"/>
  <c r="AG1348" i="1"/>
  <c r="T1347" i="1"/>
  <c r="W1347" i="1"/>
  <c r="AG1347" i="1"/>
  <c r="T1346" i="1"/>
  <c r="W1346" i="1"/>
  <c r="AG1346" i="1"/>
  <c r="T1345" i="1"/>
  <c r="W1345" i="1"/>
  <c r="AG1345" i="1"/>
  <c r="T1344" i="1"/>
  <c r="W1344" i="1"/>
  <c r="AG1344" i="1"/>
  <c r="T1343" i="1"/>
  <c r="W1343" i="1"/>
  <c r="AG1343" i="1"/>
  <c r="T1342" i="1"/>
  <c r="W1342" i="1"/>
  <c r="AG1342" i="1"/>
  <c r="T1341" i="1"/>
  <c r="W1341" i="1"/>
  <c r="AG1341" i="1"/>
  <c r="T1340" i="1"/>
  <c r="W1340" i="1"/>
  <c r="AG1340" i="1"/>
  <c r="T1339" i="1"/>
  <c r="W1339" i="1"/>
  <c r="AG1339" i="1"/>
  <c r="T1338" i="1"/>
  <c r="W1338" i="1"/>
  <c r="AG1338" i="1"/>
  <c r="T1337" i="1"/>
  <c r="W1337" i="1"/>
  <c r="AG1337" i="1"/>
  <c r="T1336" i="1"/>
  <c r="W1336" i="1"/>
  <c r="AG1336" i="1"/>
  <c r="T1335" i="1"/>
  <c r="W1335" i="1"/>
  <c r="AG1335" i="1"/>
  <c r="T1334" i="1"/>
  <c r="W1334" i="1"/>
  <c r="AG1334" i="1"/>
  <c r="T1333" i="1"/>
  <c r="W1333" i="1"/>
  <c r="AG1333" i="1"/>
  <c r="T1332" i="1"/>
  <c r="W1332" i="1"/>
  <c r="AG1332" i="1"/>
  <c r="T1331" i="1"/>
  <c r="W1331" i="1"/>
  <c r="AG1331" i="1"/>
  <c r="T1330" i="1"/>
  <c r="W1330" i="1"/>
  <c r="AG1330" i="1"/>
  <c r="T1329" i="1"/>
  <c r="W1329" i="1"/>
  <c r="AG1329" i="1"/>
  <c r="T1328" i="1"/>
  <c r="W1328" i="1"/>
  <c r="AG1328" i="1"/>
  <c r="T1327" i="1"/>
  <c r="W1327" i="1"/>
  <c r="AG1327" i="1"/>
  <c r="T1326" i="1"/>
  <c r="W1326" i="1"/>
  <c r="AG1326" i="1"/>
  <c r="T1325" i="1"/>
  <c r="W1325" i="1"/>
  <c r="AG1325" i="1"/>
  <c r="T1324" i="1"/>
  <c r="W1324" i="1"/>
  <c r="AG1324" i="1"/>
  <c r="T1323" i="1"/>
  <c r="W1323" i="1"/>
  <c r="AG1323" i="1"/>
  <c r="T1322" i="1"/>
  <c r="W1322" i="1"/>
  <c r="AG1322" i="1"/>
  <c r="T1321" i="1"/>
  <c r="W1321" i="1"/>
  <c r="AG1321" i="1"/>
  <c r="T1320" i="1"/>
  <c r="W1320" i="1"/>
  <c r="AG1320" i="1"/>
  <c r="T1319" i="1"/>
  <c r="W1319" i="1"/>
  <c r="AG1319" i="1"/>
  <c r="T1318" i="1"/>
  <c r="W1318" i="1"/>
  <c r="AG1318" i="1"/>
  <c r="T1317" i="1"/>
  <c r="W1317" i="1"/>
  <c r="AG1317" i="1"/>
  <c r="T1316" i="1"/>
  <c r="W1316" i="1"/>
  <c r="AG1316" i="1"/>
  <c r="T1315" i="1"/>
  <c r="W1315" i="1"/>
  <c r="AG1315" i="1"/>
  <c r="T1314" i="1"/>
  <c r="W1314" i="1"/>
  <c r="AG1314" i="1"/>
  <c r="T1313" i="1"/>
  <c r="W1313" i="1"/>
  <c r="AG1313" i="1"/>
  <c r="T1312" i="1"/>
  <c r="W1312" i="1"/>
  <c r="AG1312" i="1"/>
  <c r="T1311" i="1"/>
  <c r="W1311" i="1"/>
  <c r="AG1311" i="1"/>
  <c r="T1310" i="1"/>
  <c r="W1310" i="1"/>
  <c r="AG1310" i="1"/>
  <c r="T1309" i="1"/>
  <c r="W1309" i="1"/>
  <c r="AG1309" i="1"/>
  <c r="T1308" i="1"/>
  <c r="W1308" i="1"/>
  <c r="AG1308" i="1"/>
  <c r="T1307" i="1"/>
  <c r="W1307" i="1"/>
  <c r="AG1307" i="1"/>
  <c r="T1306" i="1"/>
  <c r="W1306" i="1"/>
  <c r="AG1306" i="1"/>
  <c r="T1305" i="1"/>
  <c r="W1305" i="1"/>
  <c r="AG1305" i="1"/>
  <c r="T1304" i="1"/>
  <c r="W1304" i="1"/>
  <c r="AG1304" i="1"/>
  <c r="T1303" i="1"/>
  <c r="W1303" i="1"/>
  <c r="AG1303" i="1"/>
  <c r="T1302" i="1"/>
  <c r="W1302" i="1"/>
  <c r="AG1302" i="1"/>
  <c r="T1301" i="1"/>
  <c r="W1301" i="1"/>
  <c r="AG1301" i="1"/>
  <c r="T1300" i="1"/>
  <c r="W1300" i="1"/>
  <c r="AG1300" i="1"/>
  <c r="T1299" i="1"/>
  <c r="W1299" i="1"/>
  <c r="AG1299" i="1"/>
  <c r="T1298" i="1"/>
  <c r="W1298" i="1"/>
  <c r="AG1298" i="1"/>
  <c r="T1297" i="1"/>
  <c r="W1297" i="1"/>
  <c r="AG1297" i="1"/>
  <c r="T1296" i="1"/>
  <c r="W1296" i="1"/>
  <c r="AG1296" i="1"/>
  <c r="T1295" i="1"/>
  <c r="W1295" i="1"/>
  <c r="AG1295" i="1"/>
  <c r="T1294" i="1"/>
  <c r="W1294" i="1"/>
  <c r="AG1294" i="1"/>
  <c r="T1293" i="1"/>
  <c r="W1293" i="1"/>
  <c r="AG1293" i="1"/>
  <c r="T1292" i="1"/>
  <c r="W1292" i="1"/>
  <c r="AG1292" i="1"/>
  <c r="T1291" i="1"/>
  <c r="W1291" i="1"/>
  <c r="AG1291" i="1"/>
  <c r="T1290" i="1"/>
  <c r="W1290" i="1"/>
  <c r="AG1290" i="1"/>
  <c r="T1289" i="1"/>
  <c r="W1289" i="1"/>
  <c r="AG1289" i="1"/>
  <c r="T1288" i="1"/>
  <c r="W1288" i="1"/>
  <c r="AG1288" i="1"/>
  <c r="T1287" i="1"/>
  <c r="W1287" i="1"/>
  <c r="AG1287" i="1"/>
  <c r="T1286" i="1"/>
  <c r="W1286" i="1"/>
  <c r="AG1286" i="1"/>
  <c r="T1285" i="1"/>
  <c r="W1285" i="1"/>
  <c r="AG1285" i="1"/>
  <c r="T1284" i="1"/>
  <c r="W1284" i="1"/>
  <c r="AG1284" i="1"/>
  <c r="T1283" i="1"/>
  <c r="W1283" i="1"/>
  <c r="AG1283" i="1"/>
  <c r="T1282" i="1"/>
  <c r="W1282" i="1"/>
  <c r="AG1282" i="1"/>
  <c r="T1281" i="1"/>
  <c r="W1281" i="1"/>
  <c r="AG1281" i="1"/>
  <c r="T1280" i="1"/>
  <c r="W1280" i="1"/>
  <c r="AG1280" i="1"/>
  <c r="T1279" i="1"/>
  <c r="W1279" i="1"/>
  <c r="AG1279" i="1"/>
  <c r="T1278" i="1"/>
  <c r="W1278" i="1"/>
  <c r="AG1278" i="1"/>
  <c r="T1277" i="1"/>
  <c r="W1277" i="1"/>
  <c r="AG1277" i="1"/>
  <c r="T1276" i="1"/>
  <c r="W1276" i="1"/>
  <c r="AG1276" i="1"/>
  <c r="T1275" i="1"/>
  <c r="W1275" i="1"/>
  <c r="AG1275" i="1"/>
  <c r="T1274" i="1"/>
  <c r="W1274" i="1"/>
  <c r="AG1274" i="1"/>
  <c r="T1273" i="1"/>
  <c r="W1273" i="1"/>
  <c r="AG1273" i="1"/>
  <c r="T1272" i="1"/>
  <c r="W1272" i="1"/>
  <c r="AG1272" i="1"/>
  <c r="T1271" i="1"/>
  <c r="W1271" i="1"/>
  <c r="AG1271" i="1"/>
  <c r="T1270" i="1"/>
  <c r="W1270" i="1"/>
  <c r="AG1270" i="1"/>
  <c r="T1269" i="1"/>
  <c r="W1269" i="1"/>
  <c r="AG1269" i="1"/>
  <c r="T1268" i="1"/>
  <c r="W1268" i="1"/>
  <c r="AG1268" i="1"/>
  <c r="T1267" i="1"/>
  <c r="W1267" i="1"/>
  <c r="AG1267" i="1"/>
  <c r="T1266" i="1"/>
  <c r="W1266" i="1"/>
  <c r="AG1266" i="1"/>
  <c r="T1265" i="1"/>
  <c r="W1265" i="1"/>
  <c r="AG1265" i="1"/>
  <c r="T1264" i="1"/>
  <c r="W1264" i="1"/>
  <c r="AG1264" i="1"/>
  <c r="T1263" i="1"/>
  <c r="W1263" i="1"/>
  <c r="AG1263" i="1"/>
  <c r="T1262" i="1"/>
  <c r="W1262" i="1"/>
  <c r="AG1262" i="1"/>
  <c r="T1261" i="1"/>
  <c r="W1261" i="1"/>
  <c r="AG1261" i="1"/>
  <c r="T1260" i="1"/>
  <c r="W1260" i="1"/>
  <c r="AG1260" i="1"/>
  <c r="T1259" i="1"/>
  <c r="W1259" i="1"/>
  <c r="AG1259" i="1"/>
  <c r="T1258" i="1"/>
  <c r="W1258" i="1"/>
  <c r="AG1258" i="1"/>
  <c r="T1257" i="1"/>
  <c r="W1257" i="1"/>
  <c r="AG1257" i="1"/>
  <c r="T1256" i="1"/>
  <c r="W1256" i="1"/>
  <c r="AG1256" i="1"/>
  <c r="T1255" i="1"/>
  <c r="W1255" i="1"/>
  <c r="AG1255" i="1"/>
  <c r="T1254" i="1"/>
  <c r="W1254" i="1"/>
  <c r="AG1254" i="1"/>
  <c r="T1253" i="1"/>
  <c r="W1253" i="1"/>
  <c r="AG1253" i="1"/>
  <c r="T1252" i="1"/>
  <c r="W1252" i="1"/>
  <c r="AG1252" i="1"/>
  <c r="T1251" i="1"/>
  <c r="W1251" i="1"/>
  <c r="AG1251" i="1"/>
  <c r="T1250" i="1"/>
  <c r="W1250" i="1"/>
  <c r="AG1250" i="1"/>
  <c r="T1249" i="1"/>
  <c r="W1249" i="1"/>
  <c r="AG1249" i="1"/>
  <c r="T1248" i="1"/>
  <c r="W1248" i="1"/>
  <c r="AG1248" i="1"/>
  <c r="T1247" i="1"/>
  <c r="W1247" i="1"/>
  <c r="AG1247" i="1"/>
  <c r="T1246" i="1"/>
  <c r="W1246" i="1"/>
  <c r="AG1246" i="1"/>
  <c r="T1245" i="1"/>
  <c r="W1245" i="1"/>
  <c r="AG1245" i="1"/>
  <c r="T1244" i="1"/>
  <c r="W1244" i="1"/>
  <c r="AG1244" i="1"/>
  <c r="T1243" i="1"/>
  <c r="W1243" i="1"/>
  <c r="AG1243" i="1"/>
  <c r="T1242" i="1"/>
  <c r="W1242" i="1"/>
  <c r="AG1242" i="1"/>
  <c r="T1241" i="1"/>
  <c r="W1241" i="1"/>
  <c r="AG1241" i="1"/>
  <c r="T1240" i="1"/>
  <c r="W1240" i="1"/>
  <c r="AG1240" i="1"/>
  <c r="T1239" i="1"/>
  <c r="W1239" i="1"/>
  <c r="AG1239" i="1"/>
  <c r="T1238" i="1"/>
  <c r="W1238" i="1"/>
  <c r="AG1238" i="1"/>
  <c r="T1237" i="1"/>
  <c r="W1237" i="1"/>
  <c r="AG1237" i="1"/>
  <c r="T1236" i="1"/>
  <c r="W1236" i="1"/>
  <c r="AG1236" i="1"/>
  <c r="T1235" i="1"/>
  <c r="W1235" i="1"/>
  <c r="AG1235" i="1"/>
  <c r="T1234" i="1"/>
  <c r="W1234" i="1"/>
  <c r="AG1234" i="1"/>
  <c r="T1233" i="1"/>
  <c r="W1233" i="1"/>
  <c r="AG1233" i="1"/>
  <c r="T1232" i="1"/>
  <c r="W1232" i="1"/>
  <c r="AG1232" i="1"/>
  <c r="T1231" i="1"/>
  <c r="W1231" i="1"/>
  <c r="AG1231" i="1"/>
  <c r="T1230" i="1"/>
  <c r="W1230" i="1"/>
  <c r="AG1230" i="1"/>
  <c r="T1229" i="1"/>
  <c r="W1229" i="1"/>
  <c r="AG1229" i="1"/>
  <c r="T1228" i="1"/>
  <c r="W1228" i="1"/>
  <c r="AG1228" i="1"/>
  <c r="T1227" i="1"/>
  <c r="W1227" i="1"/>
  <c r="AG1227" i="1"/>
  <c r="T1226" i="1"/>
  <c r="W1226" i="1"/>
  <c r="AG1226" i="1"/>
  <c r="T1225" i="1"/>
  <c r="W1225" i="1"/>
  <c r="AG1225" i="1"/>
  <c r="T1224" i="1"/>
  <c r="W1224" i="1"/>
  <c r="AG1224" i="1"/>
  <c r="T1223" i="1"/>
  <c r="W1223" i="1"/>
  <c r="AG1223" i="1"/>
  <c r="T1222" i="1"/>
  <c r="W1222" i="1"/>
  <c r="AG1222" i="1"/>
  <c r="T1221" i="1"/>
  <c r="W1221" i="1"/>
  <c r="AG1221" i="1"/>
  <c r="T1220" i="1"/>
  <c r="W1220" i="1"/>
  <c r="AG1220" i="1"/>
  <c r="T1219" i="1"/>
  <c r="W1219" i="1"/>
  <c r="AG1219" i="1"/>
  <c r="T1218" i="1"/>
  <c r="W1218" i="1"/>
  <c r="AG1218" i="1"/>
  <c r="T1217" i="1"/>
  <c r="W1217" i="1"/>
  <c r="AG1217" i="1"/>
  <c r="T1216" i="1"/>
  <c r="W1216" i="1"/>
  <c r="AG1216" i="1"/>
  <c r="T1215" i="1"/>
  <c r="W1215" i="1"/>
  <c r="AG1215" i="1"/>
  <c r="T1214" i="1"/>
  <c r="W1214" i="1"/>
  <c r="AG1214" i="1"/>
  <c r="T1213" i="1"/>
  <c r="W1213" i="1"/>
  <c r="AG1213" i="1"/>
  <c r="T1212" i="1"/>
  <c r="W1212" i="1"/>
  <c r="AG1212" i="1"/>
  <c r="T1211" i="1"/>
  <c r="W1211" i="1"/>
  <c r="AG1211" i="1"/>
  <c r="T1210" i="1"/>
  <c r="W1210" i="1"/>
  <c r="AG1210" i="1"/>
  <c r="T1209" i="1"/>
  <c r="W1209" i="1"/>
  <c r="AG1209" i="1"/>
  <c r="T1208" i="1"/>
  <c r="W1208" i="1"/>
  <c r="AG1208" i="1"/>
  <c r="T1207" i="1"/>
  <c r="W1207" i="1"/>
  <c r="AG1207" i="1"/>
  <c r="T1206" i="1"/>
  <c r="W1206" i="1"/>
  <c r="AG1206" i="1"/>
  <c r="T1205" i="1"/>
  <c r="W1205" i="1"/>
  <c r="AG1205" i="1"/>
  <c r="T1204" i="1"/>
  <c r="W1204" i="1"/>
  <c r="AG1204" i="1"/>
  <c r="T1203" i="1"/>
  <c r="W1203" i="1"/>
  <c r="AG1203" i="1"/>
  <c r="T1202" i="1"/>
  <c r="W1202" i="1"/>
  <c r="AG1202" i="1"/>
  <c r="T1201" i="1"/>
  <c r="W1201" i="1"/>
  <c r="AG1201" i="1"/>
  <c r="T1200" i="1"/>
  <c r="W1200" i="1"/>
  <c r="AG1200" i="1"/>
  <c r="T1199" i="1"/>
  <c r="W1199" i="1"/>
  <c r="AG1199" i="1"/>
  <c r="T1198" i="1"/>
  <c r="W1198" i="1"/>
  <c r="AG1198" i="1"/>
  <c r="T1197" i="1"/>
  <c r="W1197" i="1"/>
  <c r="AG1197" i="1"/>
  <c r="T1196" i="1"/>
  <c r="W1196" i="1"/>
  <c r="AG1196" i="1"/>
  <c r="T1195" i="1"/>
  <c r="W1195" i="1"/>
  <c r="AG1195" i="1"/>
  <c r="T1194" i="1"/>
  <c r="W1194" i="1"/>
  <c r="AG1194" i="1"/>
  <c r="T1193" i="1"/>
  <c r="W1193" i="1"/>
  <c r="AG1193" i="1"/>
  <c r="T1192" i="1"/>
  <c r="W1192" i="1"/>
  <c r="AG1192" i="1"/>
  <c r="T1191" i="1"/>
  <c r="W1191" i="1"/>
  <c r="AG1191" i="1"/>
  <c r="T1190" i="1"/>
  <c r="W1190" i="1"/>
  <c r="AG1190" i="1"/>
  <c r="T1189" i="1"/>
  <c r="W1189" i="1"/>
  <c r="AG1189" i="1"/>
  <c r="T1188" i="1"/>
  <c r="W1188" i="1"/>
  <c r="AG1188" i="1"/>
  <c r="T1187" i="1"/>
  <c r="W1187" i="1"/>
  <c r="AG1187" i="1"/>
  <c r="T1186" i="1"/>
  <c r="W1186" i="1"/>
  <c r="AG1186" i="1"/>
  <c r="T1185" i="1"/>
  <c r="W1185" i="1"/>
  <c r="AG1185" i="1"/>
  <c r="T1184" i="1"/>
  <c r="W1184" i="1"/>
  <c r="AG1184" i="1"/>
  <c r="T1183" i="1"/>
  <c r="W1183" i="1"/>
  <c r="AG1183" i="1"/>
  <c r="T1182" i="1"/>
  <c r="W1182" i="1"/>
  <c r="AG1182" i="1"/>
  <c r="T1181" i="1"/>
  <c r="W1181" i="1"/>
  <c r="AG1181" i="1"/>
  <c r="T1180" i="1"/>
  <c r="W1180" i="1"/>
  <c r="AG1180" i="1"/>
  <c r="T1179" i="1"/>
  <c r="W1179" i="1"/>
  <c r="AG1179" i="1"/>
  <c r="T1178" i="1"/>
  <c r="W1178" i="1"/>
  <c r="AG1178" i="1"/>
  <c r="T1177" i="1"/>
  <c r="W1177" i="1"/>
  <c r="AG1177" i="1"/>
  <c r="T1176" i="1"/>
  <c r="W1176" i="1"/>
  <c r="AG1176" i="1"/>
  <c r="T1175" i="1"/>
  <c r="W1175" i="1"/>
  <c r="AG1175" i="1"/>
  <c r="T1174" i="1"/>
  <c r="W1174" i="1"/>
  <c r="AG1174" i="1"/>
  <c r="T1173" i="1"/>
  <c r="W1173" i="1"/>
  <c r="AG1173" i="1"/>
  <c r="T1172" i="1"/>
  <c r="W1172" i="1"/>
  <c r="AG1172" i="1"/>
  <c r="T1171" i="1"/>
  <c r="W1171" i="1"/>
  <c r="AG1171" i="1"/>
  <c r="T1170" i="1"/>
  <c r="W1170" i="1"/>
  <c r="AG1170" i="1"/>
  <c r="T1169" i="1"/>
  <c r="W1169" i="1"/>
  <c r="AG1169" i="1"/>
  <c r="T1168" i="1"/>
  <c r="W1168" i="1"/>
  <c r="AG1168" i="1"/>
  <c r="T1167" i="1"/>
  <c r="W1167" i="1"/>
  <c r="AG1167" i="1"/>
  <c r="T1166" i="1"/>
  <c r="W1166" i="1"/>
  <c r="AG1166" i="1"/>
  <c r="T1165" i="1"/>
  <c r="W1165" i="1"/>
  <c r="AG1165" i="1"/>
  <c r="T1164" i="1"/>
  <c r="W1164" i="1"/>
  <c r="AG1164" i="1"/>
  <c r="T1163" i="1"/>
  <c r="W1163" i="1"/>
  <c r="AG1163" i="1"/>
  <c r="T1162" i="1"/>
  <c r="W1162" i="1"/>
  <c r="AG1162" i="1"/>
  <c r="T1161" i="1"/>
  <c r="W1161" i="1"/>
  <c r="AG1161" i="1"/>
  <c r="T1160" i="1"/>
  <c r="W1160" i="1"/>
  <c r="AG1160" i="1"/>
  <c r="T1159" i="1"/>
  <c r="W1159" i="1"/>
  <c r="AG1159" i="1"/>
  <c r="T1158" i="1"/>
  <c r="W1158" i="1"/>
  <c r="AG1158" i="1"/>
  <c r="T1157" i="1"/>
  <c r="W1157" i="1"/>
  <c r="AG1157" i="1"/>
  <c r="T1156" i="1"/>
  <c r="W1156" i="1"/>
  <c r="AG1156" i="1"/>
  <c r="T1155" i="1"/>
  <c r="W1155" i="1"/>
  <c r="AG1155" i="1"/>
  <c r="T1154" i="1"/>
  <c r="W1154" i="1"/>
  <c r="AG1154" i="1"/>
  <c r="T1153" i="1"/>
  <c r="W1153" i="1"/>
  <c r="AG1153" i="1"/>
  <c r="T1152" i="1"/>
  <c r="W1152" i="1"/>
  <c r="AG1152" i="1"/>
  <c r="T1151" i="1"/>
  <c r="W1151" i="1"/>
  <c r="AG1151" i="1"/>
  <c r="T1150" i="1"/>
  <c r="W1150" i="1"/>
  <c r="AG1150" i="1"/>
  <c r="T1149" i="1"/>
  <c r="W1149" i="1"/>
  <c r="AG1149" i="1"/>
  <c r="T1148" i="1"/>
  <c r="W1148" i="1"/>
  <c r="AG1148" i="1"/>
  <c r="T1147" i="1"/>
  <c r="W1147" i="1"/>
  <c r="AG1147" i="1"/>
  <c r="T1146" i="1"/>
  <c r="W1146" i="1"/>
  <c r="AG1146" i="1"/>
  <c r="T1145" i="1"/>
  <c r="W1145" i="1"/>
  <c r="AG1145" i="1"/>
  <c r="T1144" i="1"/>
  <c r="W1144" i="1"/>
  <c r="AG1144" i="1"/>
  <c r="T1143" i="1"/>
  <c r="W1143" i="1"/>
  <c r="AG1143" i="1"/>
  <c r="T1142" i="1"/>
  <c r="W1142" i="1"/>
  <c r="AG1142" i="1"/>
  <c r="T1141" i="1"/>
  <c r="W1141" i="1"/>
  <c r="AG1141" i="1"/>
  <c r="T1140" i="1"/>
  <c r="W1140" i="1"/>
  <c r="AG1140" i="1"/>
  <c r="T1139" i="1"/>
  <c r="W1139" i="1"/>
  <c r="AG1139" i="1"/>
  <c r="T1138" i="1"/>
  <c r="W1138" i="1"/>
  <c r="AG1138" i="1"/>
  <c r="T1137" i="1"/>
  <c r="W1137" i="1"/>
  <c r="AG1137" i="1"/>
  <c r="T1136" i="1"/>
  <c r="W1136" i="1"/>
  <c r="AG1136" i="1"/>
  <c r="T1135" i="1"/>
  <c r="W1135" i="1"/>
  <c r="AG1135" i="1"/>
  <c r="T1134" i="1"/>
  <c r="W1134" i="1"/>
  <c r="AG1134" i="1"/>
  <c r="T1133" i="1"/>
  <c r="W1133" i="1"/>
  <c r="AG1133" i="1"/>
  <c r="T1132" i="1"/>
  <c r="W1132" i="1"/>
  <c r="AG1132" i="1"/>
  <c r="T1131" i="1"/>
  <c r="W1131" i="1"/>
  <c r="AG1131" i="1"/>
  <c r="T1130" i="1"/>
  <c r="W1130" i="1"/>
  <c r="AG1130" i="1"/>
  <c r="T1129" i="1"/>
  <c r="W1129" i="1"/>
  <c r="AG1129" i="1"/>
  <c r="T1128" i="1"/>
  <c r="W1128" i="1"/>
  <c r="AG1128" i="1"/>
  <c r="T1127" i="1"/>
  <c r="W1127" i="1"/>
  <c r="AG1127" i="1"/>
  <c r="T1126" i="1"/>
  <c r="W1126" i="1"/>
  <c r="AG1126" i="1"/>
  <c r="T1125" i="1"/>
  <c r="W1125" i="1"/>
  <c r="AG1125" i="1"/>
  <c r="T1124" i="1"/>
  <c r="W1124" i="1"/>
  <c r="AG1124" i="1"/>
  <c r="T1123" i="1"/>
  <c r="W1123" i="1"/>
  <c r="AG1123" i="1"/>
  <c r="T1122" i="1"/>
  <c r="W1122" i="1"/>
  <c r="AG1122" i="1"/>
  <c r="T1121" i="1"/>
  <c r="W1121" i="1"/>
  <c r="AG1121" i="1"/>
  <c r="T1120" i="1"/>
  <c r="W1120" i="1"/>
  <c r="AG1120" i="1"/>
  <c r="T1119" i="1"/>
  <c r="W1119" i="1"/>
  <c r="AG1119" i="1"/>
  <c r="T1118" i="1"/>
  <c r="W1118" i="1"/>
  <c r="AG1118" i="1"/>
  <c r="T1117" i="1"/>
  <c r="W1117" i="1"/>
  <c r="AG1117" i="1"/>
  <c r="T1116" i="1"/>
  <c r="W1116" i="1"/>
  <c r="AG1116" i="1"/>
  <c r="T1115" i="1"/>
  <c r="W1115" i="1"/>
  <c r="AG1115" i="1"/>
  <c r="T1114" i="1"/>
  <c r="W1114" i="1"/>
  <c r="AG1114" i="1"/>
  <c r="T1113" i="1"/>
  <c r="W1113" i="1"/>
  <c r="AG1113" i="1"/>
  <c r="T1112" i="1"/>
  <c r="W1112" i="1"/>
  <c r="AG1112" i="1"/>
  <c r="T1111" i="1"/>
  <c r="W1111" i="1"/>
  <c r="AG1111" i="1"/>
  <c r="T1110" i="1"/>
  <c r="W1110" i="1"/>
  <c r="AG1110" i="1"/>
  <c r="T1109" i="1"/>
  <c r="W1109" i="1"/>
  <c r="AG1109" i="1"/>
  <c r="T1108" i="1"/>
  <c r="W1108" i="1"/>
  <c r="AG1108" i="1"/>
  <c r="T1107" i="1"/>
  <c r="W1107" i="1"/>
  <c r="AG1107" i="1"/>
  <c r="T1106" i="1"/>
  <c r="W1106" i="1"/>
  <c r="AG1106" i="1"/>
  <c r="T1105" i="1"/>
  <c r="W1105" i="1"/>
  <c r="AG1105" i="1"/>
  <c r="T1104" i="1"/>
  <c r="W1104" i="1"/>
  <c r="AG1104" i="1"/>
  <c r="T1103" i="1"/>
  <c r="W1103" i="1"/>
  <c r="AG1103" i="1"/>
  <c r="T1102" i="1"/>
  <c r="W1102" i="1"/>
  <c r="AG1102" i="1"/>
  <c r="T1101" i="1"/>
  <c r="W1101" i="1"/>
  <c r="AG1101" i="1"/>
  <c r="T1100" i="1"/>
  <c r="W1100" i="1"/>
  <c r="AG1100" i="1"/>
  <c r="T1099" i="1"/>
  <c r="W1099" i="1"/>
  <c r="AG1099" i="1"/>
  <c r="T1098" i="1"/>
  <c r="W1098" i="1"/>
  <c r="AG1098" i="1"/>
  <c r="T1097" i="1"/>
  <c r="W1097" i="1"/>
  <c r="AG1097" i="1"/>
  <c r="T1096" i="1"/>
  <c r="W1096" i="1"/>
  <c r="AG1096" i="1"/>
  <c r="T1095" i="1"/>
  <c r="W1095" i="1"/>
  <c r="AG1095" i="1"/>
  <c r="T1094" i="1"/>
  <c r="W1094" i="1"/>
  <c r="AG1094" i="1"/>
  <c r="T1093" i="1"/>
  <c r="W1093" i="1"/>
  <c r="AG1093" i="1"/>
  <c r="T1092" i="1"/>
  <c r="W1092" i="1"/>
  <c r="AG1092" i="1"/>
  <c r="T1091" i="1"/>
  <c r="W1091" i="1"/>
  <c r="AG1091" i="1"/>
  <c r="T1090" i="1"/>
  <c r="W1090" i="1"/>
  <c r="AG1090" i="1"/>
  <c r="T1089" i="1"/>
  <c r="W1089" i="1"/>
  <c r="AG1089" i="1"/>
  <c r="T1088" i="1"/>
  <c r="W1088" i="1"/>
  <c r="AG1088" i="1"/>
  <c r="T1087" i="1"/>
  <c r="W1087" i="1"/>
  <c r="AG1087" i="1"/>
  <c r="T1086" i="1"/>
  <c r="W1086" i="1"/>
  <c r="AG1086" i="1"/>
  <c r="T1085" i="1"/>
  <c r="W1085" i="1"/>
  <c r="AG1085" i="1"/>
  <c r="T1084" i="1"/>
  <c r="W1084" i="1"/>
  <c r="AG1084" i="1"/>
  <c r="T1083" i="1"/>
  <c r="W1083" i="1"/>
  <c r="AG1083" i="1"/>
  <c r="T1082" i="1"/>
  <c r="W1082" i="1"/>
  <c r="AG1082" i="1"/>
  <c r="T1081" i="1"/>
  <c r="W1081" i="1"/>
  <c r="AG1081" i="1"/>
  <c r="T1080" i="1"/>
  <c r="W1080" i="1"/>
  <c r="AG1080" i="1"/>
  <c r="T1079" i="1"/>
  <c r="W1079" i="1"/>
  <c r="AG1079" i="1"/>
  <c r="T1078" i="1"/>
  <c r="W1078" i="1"/>
  <c r="AG1078" i="1"/>
  <c r="T1077" i="1"/>
  <c r="W1077" i="1"/>
  <c r="AG1077" i="1"/>
  <c r="T1076" i="1"/>
  <c r="W1076" i="1"/>
  <c r="AG1076" i="1"/>
  <c r="T1075" i="1"/>
  <c r="W1075" i="1"/>
  <c r="AG1075" i="1"/>
  <c r="T1074" i="1"/>
  <c r="W1074" i="1"/>
  <c r="AG1074" i="1"/>
  <c r="T1073" i="1"/>
  <c r="W1073" i="1"/>
  <c r="AG1073" i="1"/>
  <c r="T1072" i="1"/>
  <c r="W1072" i="1"/>
  <c r="AG1072" i="1"/>
  <c r="T1071" i="1"/>
  <c r="W1071" i="1"/>
  <c r="AG1071" i="1"/>
  <c r="T1070" i="1"/>
  <c r="W1070" i="1"/>
  <c r="AG1070" i="1"/>
  <c r="T1069" i="1"/>
  <c r="W1069" i="1"/>
  <c r="AG1069" i="1"/>
  <c r="T1068" i="1"/>
  <c r="W1068" i="1"/>
  <c r="AG1068" i="1"/>
  <c r="T1067" i="1"/>
  <c r="W1067" i="1"/>
  <c r="AG1067" i="1"/>
  <c r="T1066" i="1"/>
  <c r="W1066" i="1"/>
  <c r="AG1066" i="1"/>
  <c r="T1065" i="1"/>
  <c r="W1065" i="1"/>
  <c r="AG1065" i="1"/>
  <c r="T1064" i="1"/>
  <c r="W1064" i="1"/>
  <c r="AG1064" i="1"/>
  <c r="T1063" i="1"/>
  <c r="W1063" i="1"/>
  <c r="AG1063" i="1"/>
  <c r="T1062" i="1"/>
  <c r="W1062" i="1"/>
  <c r="AG1062" i="1"/>
  <c r="T1061" i="1"/>
  <c r="W1061" i="1"/>
  <c r="AG1061" i="1"/>
  <c r="T1060" i="1"/>
  <c r="W1060" i="1"/>
  <c r="AG1060" i="1"/>
  <c r="T1059" i="1"/>
  <c r="W1059" i="1"/>
  <c r="AG1059" i="1"/>
  <c r="T1058" i="1"/>
  <c r="W1058" i="1"/>
  <c r="AG1058" i="1"/>
  <c r="T1057" i="1"/>
  <c r="W1057" i="1"/>
  <c r="AG1057" i="1"/>
  <c r="T1056" i="1"/>
  <c r="W1056" i="1"/>
  <c r="AG1056" i="1"/>
  <c r="T1055" i="1"/>
  <c r="W1055" i="1"/>
  <c r="AG1055" i="1"/>
  <c r="T1054" i="1"/>
  <c r="W1054" i="1"/>
  <c r="AG1054" i="1"/>
  <c r="T1053" i="1"/>
  <c r="W1053" i="1"/>
  <c r="AG1053" i="1"/>
  <c r="T1052" i="1"/>
  <c r="W1052" i="1"/>
  <c r="AG1052" i="1"/>
  <c r="T1051" i="1"/>
  <c r="W1051" i="1"/>
  <c r="AG1051" i="1"/>
  <c r="T1050" i="1"/>
  <c r="W1050" i="1"/>
  <c r="AG1050" i="1"/>
  <c r="T1049" i="1"/>
  <c r="W1049" i="1"/>
  <c r="AG1049" i="1"/>
  <c r="T1048" i="1"/>
  <c r="W1048" i="1"/>
  <c r="AG1048" i="1"/>
  <c r="T1047" i="1"/>
  <c r="W1047" i="1"/>
  <c r="AG1047" i="1"/>
  <c r="T1046" i="1"/>
  <c r="W1046" i="1"/>
  <c r="AG1046" i="1"/>
  <c r="T1045" i="1"/>
  <c r="W1045" i="1"/>
  <c r="AG1045" i="1"/>
  <c r="T1044" i="1"/>
  <c r="W1044" i="1"/>
  <c r="AG1044" i="1"/>
  <c r="T1043" i="1"/>
  <c r="W1043" i="1"/>
  <c r="AG1043" i="1"/>
  <c r="T1042" i="1"/>
  <c r="W1042" i="1"/>
  <c r="AG1042" i="1"/>
  <c r="T1041" i="1"/>
  <c r="W1041" i="1"/>
  <c r="AG1041" i="1"/>
  <c r="T1040" i="1"/>
  <c r="W1040" i="1"/>
  <c r="AG1040" i="1"/>
  <c r="T1039" i="1"/>
  <c r="W1039" i="1"/>
  <c r="AG1039" i="1"/>
  <c r="T1038" i="1"/>
  <c r="W1038" i="1"/>
  <c r="AG1038" i="1"/>
  <c r="T1037" i="1"/>
  <c r="W1037" i="1"/>
  <c r="AG1037" i="1"/>
  <c r="T1036" i="1"/>
  <c r="W1036" i="1"/>
  <c r="AG1036" i="1"/>
  <c r="T1035" i="1"/>
  <c r="W1035" i="1"/>
  <c r="AG1035" i="1"/>
  <c r="T1034" i="1"/>
  <c r="W1034" i="1"/>
  <c r="AG1034" i="1"/>
  <c r="T1033" i="1"/>
  <c r="W1033" i="1"/>
  <c r="AG1033" i="1"/>
  <c r="T1032" i="1"/>
  <c r="W1032" i="1"/>
  <c r="AG1032" i="1"/>
  <c r="T1031" i="1"/>
  <c r="W1031" i="1"/>
  <c r="AG1031" i="1"/>
  <c r="T1030" i="1"/>
  <c r="W1030" i="1"/>
  <c r="AG1030" i="1"/>
  <c r="T1029" i="1"/>
  <c r="W1029" i="1"/>
  <c r="AG1029" i="1"/>
  <c r="T1028" i="1"/>
  <c r="W1028" i="1"/>
  <c r="AG1028" i="1"/>
  <c r="T1027" i="1"/>
  <c r="W1027" i="1"/>
  <c r="AG1027" i="1"/>
  <c r="T1026" i="1"/>
  <c r="W1026" i="1"/>
  <c r="AG1026" i="1"/>
  <c r="T1025" i="1"/>
  <c r="W1025" i="1"/>
  <c r="AG1025" i="1"/>
  <c r="T1024" i="1"/>
  <c r="W1024" i="1"/>
  <c r="AG1024" i="1"/>
  <c r="T1023" i="1"/>
  <c r="W1023" i="1"/>
  <c r="AG1023" i="1"/>
  <c r="T1022" i="1"/>
  <c r="W1022" i="1"/>
  <c r="AG1022" i="1"/>
  <c r="T1021" i="1"/>
  <c r="W1021" i="1"/>
  <c r="AG1021" i="1"/>
  <c r="T1020" i="1"/>
  <c r="W1020" i="1"/>
  <c r="AG1020" i="1"/>
  <c r="T1019" i="1"/>
  <c r="W1019" i="1"/>
  <c r="AG1019" i="1"/>
  <c r="T1018" i="1"/>
  <c r="W1018" i="1"/>
  <c r="AG1018" i="1"/>
  <c r="T1017" i="1"/>
  <c r="W1017" i="1"/>
  <c r="AG1017" i="1"/>
  <c r="T1016" i="1"/>
  <c r="W1016" i="1"/>
  <c r="AG1016" i="1"/>
  <c r="T1015" i="1"/>
  <c r="W1015" i="1"/>
  <c r="AG1015" i="1"/>
  <c r="T1014" i="1"/>
  <c r="W1014" i="1"/>
  <c r="AG1014" i="1"/>
  <c r="T1013" i="1"/>
  <c r="W1013" i="1"/>
  <c r="AG1013" i="1"/>
  <c r="T1012" i="1"/>
  <c r="W1012" i="1"/>
  <c r="AG1012" i="1"/>
  <c r="T1011" i="1"/>
  <c r="W1011" i="1"/>
  <c r="AG1011" i="1"/>
  <c r="T1010" i="1"/>
  <c r="W1010" i="1"/>
  <c r="AG1010" i="1"/>
  <c r="T1009" i="1"/>
  <c r="W1009" i="1"/>
  <c r="AG1009" i="1"/>
  <c r="T1008" i="1"/>
  <c r="W1008" i="1"/>
  <c r="AG1008" i="1"/>
  <c r="T1007" i="1"/>
  <c r="W1007" i="1"/>
  <c r="AG1007" i="1"/>
  <c r="T1006" i="1"/>
  <c r="W1006" i="1"/>
  <c r="AG1006" i="1"/>
  <c r="T1005" i="1"/>
  <c r="W1005" i="1"/>
  <c r="AG1005" i="1"/>
  <c r="T1004" i="1"/>
  <c r="W1004" i="1"/>
  <c r="AG1004" i="1"/>
  <c r="T1003" i="1"/>
  <c r="W1003" i="1"/>
  <c r="AG1003" i="1"/>
  <c r="T1002" i="1"/>
  <c r="W1002" i="1"/>
  <c r="AG1002" i="1"/>
  <c r="T1001" i="1"/>
  <c r="W1001" i="1"/>
  <c r="AG1001" i="1"/>
  <c r="T1000" i="1"/>
  <c r="W1000" i="1"/>
  <c r="AG1000" i="1"/>
  <c r="T999" i="1"/>
  <c r="W999" i="1"/>
  <c r="AG999" i="1"/>
  <c r="T998" i="1"/>
  <c r="W998" i="1"/>
  <c r="AG998" i="1"/>
  <c r="T997" i="1"/>
  <c r="W997" i="1"/>
  <c r="AG997" i="1"/>
  <c r="T996" i="1"/>
  <c r="W996" i="1"/>
  <c r="AG996" i="1"/>
  <c r="T995" i="1"/>
  <c r="W995" i="1"/>
  <c r="AG995" i="1"/>
  <c r="T994" i="1"/>
  <c r="W994" i="1"/>
  <c r="AG994" i="1"/>
  <c r="T993" i="1"/>
  <c r="W993" i="1"/>
  <c r="AG993" i="1"/>
  <c r="T992" i="1"/>
  <c r="W992" i="1"/>
  <c r="AG992" i="1"/>
  <c r="T991" i="1"/>
  <c r="W991" i="1"/>
  <c r="AG991" i="1"/>
  <c r="T990" i="1"/>
  <c r="W990" i="1"/>
  <c r="AG990" i="1"/>
  <c r="T989" i="1"/>
  <c r="W989" i="1"/>
  <c r="AG989" i="1"/>
  <c r="T988" i="1"/>
  <c r="W988" i="1"/>
  <c r="AG988" i="1"/>
  <c r="T987" i="1"/>
  <c r="W987" i="1"/>
  <c r="AG987" i="1"/>
  <c r="T986" i="1"/>
  <c r="W986" i="1"/>
  <c r="AG986" i="1"/>
  <c r="T985" i="1"/>
  <c r="W985" i="1"/>
  <c r="AG985" i="1"/>
  <c r="T984" i="1"/>
  <c r="W984" i="1"/>
  <c r="AG984" i="1"/>
  <c r="T983" i="1"/>
  <c r="W983" i="1"/>
  <c r="AG983" i="1"/>
  <c r="T982" i="1"/>
  <c r="W982" i="1"/>
  <c r="AG982" i="1"/>
  <c r="T981" i="1"/>
  <c r="W981" i="1"/>
  <c r="AG981" i="1"/>
  <c r="T980" i="1"/>
  <c r="W980" i="1"/>
  <c r="AG980" i="1"/>
  <c r="T979" i="1"/>
  <c r="W979" i="1"/>
  <c r="AG979" i="1"/>
  <c r="T978" i="1"/>
  <c r="W978" i="1"/>
  <c r="AG978" i="1"/>
  <c r="T977" i="1"/>
  <c r="W977" i="1"/>
  <c r="AG977" i="1"/>
  <c r="T976" i="1"/>
  <c r="W976" i="1"/>
  <c r="AG976" i="1"/>
  <c r="T975" i="1"/>
  <c r="W975" i="1"/>
  <c r="AG975" i="1"/>
  <c r="T974" i="1"/>
  <c r="W974" i="1"/>
  <c r="AG974" i="1"/>
  <c r="T973" i="1"/>
  <c r="W973" i="1"/>
  <c r="AG973" i="1"/>
  <c r="T972" i="1"/>
  <c r="W972" i="1"/>
  <c r="AG972" i="1"/>
  <c r="T971" i="1"/>
  <c r="W971" i="1"/>
  <c r="AG971" i="1"/>
  <c r="T970" i="1"/>
  <c r="W970" i="1"/>
  <c r="AG970" i="1"/>
  <c r="T969" i="1"/>
  <c r="W969" i="1"/>
  <c r="AG969" i="1"/>
  <c r="T968" i="1"/>
  <c r="W968" i="1"/>
  <c r="AG968" i="1"/>
  <c r="T967" i="1"/>
  <c r="W967" i="1"/>
  <c r="AG967" i="1"/>
  <c r="T966" i="1"/>
  <c r="W966" i="1"/>
  <c r="AG966" i="1"/>
  <c r="T965" i="1"/>
  <c r="W965" i="1"/>
  <c r="AG965" i="1"/>
  <c r="T964" i="1"/>
  <c r="W964" i="1"/>
  <c r="AG964" i="1"/>
  <c r="T963" i="1"/>
  <c r="W963" i="1"/>
  <c r="AG963" i="1"/>
  <c r="T962" i="1"/>
  <c r="W962" i="1"/>
  <c r="AG962" i="1"/>
  <c r="T961" i="1"/>
  <c r="W961" i="1"/>
  <c r="AG961" i="1"/>
  <c r="T960" i="1"/>
  <c r="W960" i="1"/>
  <c r="AG960" i="1"/>
  <c r="T959" i="1"/>
  <c r="W959" i="1"/>
  <c r="AG959" i="1"/>
  <c r="T958" i="1"/>
  <c r="W958" i="1"/>
  <c r="AG958" i="1"/>
  <c r="T957" i="1"/>
  <c r="W957" i="1"/>
  <c r="AG957" i="1"/>
  <c r="T956" i="1"/>
  <c r="W956" i="1"/>
  <c r="AG956" i="1"/>
  <c r="T955" i="1"/>
  <c r="W955" i="1"/>
  <c r="AG955" i="1"/>
  <c r="T954" i="1"/>
  <c r="W954" i="1"/>
  <c r="AG954" i="1"/>
  <c r="T953" i="1"/>
  <c r="W953" i="1"/>
  <c r="AG953" i="1"/>
  <c r="T952" i="1"/>
  <c r="W952" i="1"/>
  <c r="AG952" i="1"/>
  <c r="T951" i="1"/>
  <c r="W951" i="1"/>
  <c r="AG951" i="1"/>
  <c r="T950" i="1"/>
  <c r="W950" i="1"/>
  <c r="AG950" i="1"/>
  <c r="T949" i="1"/>
  <c r="W949" i="1"/>
  <c r="AG949" i="1"/>
  <c r="T948" i="1"/>
  <c r="W948" i="1"/>
  <c r="AG948" i="1"/>
  <c r="T947" i="1"/>
  <c r="W947" i="1"/>
  <c r="AG947" i="1"/>
  <c r="T946" i="1"/>
  <c r="W946" i="1"/>
  <c r="AG946" i="1"/>
  <c r="T945" i="1"/>
  <c r="W945" i="1"/>
  <c r="AG945" i="1"/>
  <c r="T944" i="1"/>
  <c r="W944" i="1"/>
  <c r="AG944" i="1"/>
  <c r="T943" i="1"/>
  <c r="W943" i="1"/>
  <c r="AG943" i="1"/>
  <c r="T942" i="1"/>
  <c r="W942" i="1"/>
  <c r="AG942" i="1"/>
  <c r="T941" i="1"/>
  <c r="W941" i="1"/>
  <c r="AG941" i="1"/>
  <c r="T940" i="1"/>
  <c r="W940" i="1"/>
  <c r="AG940" i="1"/>
  <c r="T939" i="1"/>
  <c r="W939" i="1"/>
  <c r="AG939" i="1"/>
  <c r="T938" i="1"/>
  <c r="W938" i="1"/>
  <c r="AG938" i="1"/>
  <c r="T937" i="1"/>
  <c r="W937" i="1"/>
  <c r="AG937" i="1"/>
  <c r="T936" i="1"/>
  <c r="W936" i="1"/>
  <c r="AG936" i="1"/>
  <c r="T935" i="1"/>
  <c r="W935" i="1"/>
  <c r="AG935" i="1"/>
  <c r="T934" i="1"/>
  <c r="W934" i="1"/>
  <c r="AG934" i="1"/>
  <c r="T933" i="1"/>
  <c r="W933" i="1"/>
  <c r="AG933" i="1"/>
  <c r="T932" i="1"/>
  <c r="W932" i="1"/>
  <c r="AG932" i="1"/>
  <c r="T931" i="1"/>
  <c r="W931" i="1"/>
  <c r="AG931" i="1"/>
  <c r="T930" i="1"/>
  <c r="W930" i="1"/>
  <c r="AG930" i="1"/>
  <c r="T929" i="1"/>
  <c r="W929" i="1"/>
  <c r="AG929" i="1"/>
  <c r="T928" i="1"/>
  <c r="W928" i="1"/>
  <c r="AG928" i="1"/>
  <c r="T927" i="1"/>
  <c r="W927" i="1"/>
  <c r="AG927" i="1"/>
  <c r="T926" i="1"/>
  <c r="W926" i="1"/>
  <c r="AG926" i="1"/>
  <c r="T925" i="1"/>
  <c r="W925" i="1"/>
  <c r="AG925" i="1"/>
  <c r="T924" i="1"/>
  <c r="W924" i="1"/>
  <c r="AG924" i="1"/>
  <c r="T923" i="1"/>
  <c r="W923" i="1"/>
  <c r="AG923" i="1"/>
  <c r="T922" i="1"/>
  <c r="W922" i="1"/>
  <c r="AG922" i="1"/>
  <c r="T921" i="1"/>
  <c r="W921" i="1"/>
  <c r="AG921" i="1"/>
  <c r="T920" i="1"/>
  <c r="W920" i="1"/>
  <c r="AG920" i="1"/>
  <c r="T919" i="1"/>
  <c r="W919" i="1"/>
  <c r="AG919" i="1"/>
  <c r="T918" i="1"/>
  <c r="W918" i="1"/>
  <c r="AG918" i="1"/>
  <c r="T917" i="1"/>
  <c r="W917" i="1"/>
  <c r="AG917" i="1"/>
  <c r="T916" i="1"/>
  <c r="W916" i="1"/>
  <c r="AG916" i="1"/>
  <c r="T915" i="1"/>
  <c r="W915" i="1"/>
  <c r="AG915" i="1"/>
  <c r="T914" i="1"/>
  <c r="W914" i="1"/>
  <c r="AG914" i="1"/>
  <c r="T913" i="1"/>
  <c r="W913" i="1"/>
  <c r="AG913" i="1"/>
  <c r="T912" i="1"/>
  <c r="W912" i="1"/>
  <c r="AG912" i="1"/>
  <c r="T911" i="1"/>
  <c r="W911" i="1"/>
  <c r="AG911" i="1"/>
  <c r="T910" i="1"/>
  <c r="W910" i="1"/>
  <c r="AG910" i="1"/>
  <c r="T909" i="1"/>
  <c r="W909" i="1"/>
  <c r="AG909" i="1"/>
  <c r="T908" i="1"/>
  <c r="W908" i="1"/>
  <c r="AG908" i="1"/>
  <c r="T907" i="1"/>
  <c r="W907" i="1"/>
  <c r="AG907" i="1"/>
  <c r="T906" i="1"/>
  <c r="W906" i="1"/>
  <c r="AG906" i="1"/>
  <c r="T905" i="1"/>
  <c r="W905" i="1"/>
  <c r="AG905" i="1"/>
  <c r="T904" i="1"/>
  <c r="W904" i="1"/>
  <c r="AG904" i="1"/>
  <c r="T903" i="1"/>
  <c r="W903" i="1"/>
  <c r="AG903" i="1"/>
  <c r="T902" i="1"/>
  <c r="W902" i="1"/>
  <c r="AG902" i="1"/>
  <c r="T901" i="1"/>
  <c r="W901" i="1"/>
  <c r="AG901" i="1"/>
  <c r="T900" i="1"/>
  <c r="W900" i="1"/>
  <c r="AG900" i="1"/>
  <c r="T899" i="1"/>
  <c r="W899" i="1"/>
  <c r="AG899" i="1"/>
  <c r="T898" i="1"/>
  <c r="W898" i="1"/>
  <c r="AG898" i="1"/>
  <c r="T897" i="1"/>
  <c r="W897" i="1"/>
  <c r="AG897" i="1"/>
  <c r="T896" i="1"/>
  <c r="W896" i="1"/>
  <c r="AG896" i="1"/>
  <c r="T895" i="1"/>
  <c r="W895" i="1"/>
  <c r="AG895" i="1"/>
  <c r="T894" i="1"/>
  <c r="W894" i="1"/>
  <c r="AG894" i="1"/>
  <c r="T893" i="1"/>
  <c r="W893" i="1"/>
  <c r="AG893" i="1"/>
  <c r="T892" i="1"/>
  <c r="W892" i="1"/>
  <c r="AG892" i="1"/>
  <c r="T891" i="1"/>
  <c r="W891" i="1"/>
  <c r="AG891" i="1"/>
  <c r="T890" i="1"/>
  <c r="W890" i="1"/>
  <c r="AG890" i="1"/>
  <c r="T889" i="1"/>
  <c r="W889" i="1"/>
  <c r="AG889" i="1"/>
  <c r="T888" i="1"/>
  <c r="W888" i="1"/>
  <c r="AG888" i="1"/>
  <c r="T887" i="1"/>
  <c r="W887" i="1"/>
  <c r="AG887" i="1"/>
  <c r="T886" i="1"/>
  <c r="W886" i="1"/>
  <c r="AG886" i="1"/>
  <c r="T885" i="1"/>
  <c r="W885" i="1"/>
  <c r="AG885" i="1"/>
  <c r="T884" i="1"/>
  <c r="W884" i="1"/>
  <c r="AG884" i="1"/>
  <c r="T883" i="1"/>
  <c r="W883" i="1"/>
  <c r="AG883" i="1"/>
  <c r="T882" i="1"/>
  <c r="W882" i="1"/>
  <c r="AG882" i="1"/>
  <c r="T881" i="1"/>
  <c r="W881" i="1"/>
  <c r="AG881" i="1"/>
  <c r="T880" i="1"/>
  <c r="W880" i="1"/>
  <c r="AG880" i="1"/>
  <c r="T879" i="1"/>
  <c r="W879" i="1"/>
  <c r="AG879" i="1"/>
  <c r="T878" i="1"/>
  <c r="W878" i="1"/>
  <c r="AG878" i="1"/>
  <c r="T877" i="1"/>
  <c r="W877" i="1"/>
  <c r="AG877" i="1"/>
  <c r="T876" i="1"/>
  <c r="W876" i="1"/>
  <c r="AG876" i="1"/>
  <c r="T875" i="1"/>
  <c r="W875" i="1"/>
  <c r="AG875" i="1"/>
  <c r="T874" i="1"/>
  <c r="W874" i="1"/>
  <c r="AG874" i="1"/>
  <c r="T873" i="1"/>
  <c r="W873" i="1"/>
  <c r="AG873" i="1"/>
  <c r="T872" i="1"/>
  <c r="W872" i="1"/>
  <c r="AG872" i="1"/>
  <c r="T871" i="1"/>
  <c r="W871" i="1"/>
  <c r="AG871" i="1"/>
  <c r="T870" i="1"/>
  <c r="W870" i="1"/>
  <c r="AG870" i="1"/>
  <c r="T869" i="1"/>
  <c r="W869" i="1"/>
  <c r="AG869" i="1"/>
  <c r="T868" i="1"/>
  <c r="W868" i="1"/>
  <c r="AG868" i="1"/>
  <c r="T867" i="1"/>
  <c r="W867" i="1"/>
  <c r="AG867" i="1"/>
  <c r="T866" i="1"/>
  <c r="W866" i="1"/>
  <c r="AG866" i="1"/>
  <c r="T865" i="1"/>
  <c r="W865" i="1"/>
  <c r="AG865" i="1"/>
  <c r="T864" i="1"/>
  <c r="W864" i="1"/>
  <c r="AG864" i="1"/>
  <c r="T863" i="1"/>
  <c r="W863" i="1"/>
  <c r="AG863" i="1"/>
  <c r="T862" i="1"/>
  <c r="W862" i="1"/>
  <c r="AG862" i="1"/>
  <c r="T861" i="1"/>
  <c r="W861" i="1"/>
  <c r="AG861" i="1"/>
  <c r="T860" i="1"/>
  <c r="W860" i="1"/>
  <c r="AG860" i="1"/>
  <c r="T859" i="1"/>
  <c r="W859" i="1"/>
  <c r="AG859" i="1"/>
  <c r="T858" i="1"/>
  <c r="W858" i="1"/>
  <c r="AG858" i="1"/>
  <c r="T857" i="1"/>
  <c r="W857" i="1"/>
  <c r="AG857" i="1"/>
  <c r="T856" i="1"/>
  <c r="W856" i="1"/>
  <c r="AG856" i="1"/>
  <c r="T855" i="1"/>
  <c r="W855" i="1"/>
  <c r="AG855" i="1"/>
  <c r="T854" i="1"/>
  <c r="W854" i="1"/>
  <c r="AG854" i="1"/>
  <c r="T853" i="1"/>
  <c r="W853" i="1"/>
  <c r="AG853" i="1"/>
  <c r="T852" i="1"/>
  <c r="W852" i="1"/>
  <c r="AG852" i="1"/>
  <c r="T851" i="1"/>
  <c r="W851" i="1"/>
  <c r="AG851" i="1"/>
  <c r="T850" i="1"/>
  <c r="W850" i="1"/>
  <c r="AG850" i="1"/>
  <c r="T849" i="1"/>
  <c r="W849" i="1"/>
  <c r="AG849" i="1"/>
  <c r="T848" i="1"/>
  <c r="W848" i="1"/>
  <c r="AG848" i="1"/>
  <c r="T847" i="1"/>
  <c r="W847" i="1"/>
  <c r="AG847" i="1"/>
  <c r="T846" i="1"/>
  <c r="W846" i="1"/>
  <c r="AG846" i="1"/>
  <c r="T845" i="1"/>
  <c r="W845" i="1"/>
  <c r="AG845" i="1"/>
  <c r="T844" i="1"/>
  <c r="W844" i="1"/>
  <c r="AG844" i="1"/>
  <c r="T843" i="1"/>
  <c r="W843" i="1"/>
  <c r="AG843" i="1"/>
  <c r="T842" i="1"/>
  <c r="W842" i="1"/>
  <c r="AG842" i="1"/>
  <c r="T841" i="1"/>
  <c r="W841" i="1"/>
  <c r="AG841" i="1"/>
  <c r="T840" i="1"/>
  <c r="W840" i="1"/>
  <c r="AG840" i="1"/>
  <c r="T839" i="1"/>
  <c r="W839" i="1"/>
  <c r="AG839" i="1"/>
  <c r="T838" i="1"/>
  <c r="W838" i="1"/>
  <c r="AG838" i="1"/>
  <c r="T837" i="1"/>
  <c r="W837" i="1"/>
  <c r="AG837" i="1"/>
  <c r="T836" i="1"/>
  <c r="W836" i="1"/>
  <c r="AG836" i="1"/>
  <c r="T835" i="1"/>
  <c r="W835" i="1"/>
  <c r="AG835" i="1"/>
  <c r="T834" i="1"/>
  <c r="W834" i="1"/>
  <c r="AG834" i="1"/>
  <c r="T833" i="1"/>
  <c r="W833" i="1"/>
  <c r="AG833" i="1"/>
  <c r="T832" i="1"/>
  <c r="W832" i="1"/>
  <c r="AG832" i="1"/>
  <c r="T831" i="1"/>
  <c r="W831" i="1"/>
  <c r="AG831" i="1"/>
  <c r="T830" i="1"/>
  <c r="W830" i="1"/>
  <c r="AG830" i="1"/>
  <c r="T829" i="1"/>
  <c r="W829" i="1"/>
  <c r="AG829" i="1"/>
  <c r="T828" i="1"/>
  <c r="W828" i="1"/>
  <c r="AG828" i="1"/>
  <c r="T827" i="1"/>
  <c r="W827" i="1"/>
  <c r="AG827" i="1"/>
  <c r="T826" i="1"/>
  <c r="W826" i="1"/>
  <c r="AG826" i="1"/>
  <c r="T825" i="1"/>
  <c r="W825" i="1"/>
  <c r="AG825" i="1"/>
  <c r="T824" i="1"/>
  <c r="W824" i="1"/>
  <c r="AG824" i="1"/>
  <c r="T823" i="1"/>
  <c r="W823" i="1"/>
  <c r="AG823" i="1"/>
  <c r="T822" i="1"/>
  <c r="W822" i="1"/>
  <c r="AG822" i="1"/>
  <c r="T821" i="1"/>
  <c r="W821" i="1"/>
  <c r="AG821" i="1"/>
  <c r="T820" i="1"/>
  <c r="W820" i="1"/>
  <c r="AG820" i="1"/>
  <c r="T819" i="1"/>
  <c r="W819" i="1"/>
  <c r="AG819" i="1"/>
  <c r="T818" i="1"/>
  <c r="W818" i="1"/>
  <c r="AG818" i="1"/>
  <c r="T817" i="1"/>
  <c r="W817" i="1"/>
  <c r="AG817" i="1"/>
  <c r="T816" i="1"/>
  <c r="W816" i="1"/>
  <c r="AG816" i="1"/>
  <c r="T815" i="1"/>
  <c r="W815" i="1"/>
  <c r="AG815" i="1"/>
  <c r="T814" i="1"/>
  <c r="W814" i="1"/>
  <c r="AG814" i="1"/>
  <c r="T813" i="1"/>
  <c r="W813" i="1"/>
  <c r="AG813" i="1"/>
  <c r="T812" i="1"/>
  <c r="W812" i="1"/>
  <c r="AG812" i="1"/>
  <c r="T811" i="1"/>
  <c r="W811" i="1"/>
  <c r="AG811" i="1"/>
  <c r="T810" i="1"/>
  <c r="W810" i="1"/>
  <c r="AG810" i="1"/>
  <c r="T809" i="1"/>
  <c r="W809" i="1"/>
  <c r="AG809" i="1"/>
  <c r="T808" i="1"/>
  <c r="W808" i="1"/>
  <c r="AG808" i="1"/>
  <c r="T807" i="1"/>
  <c r="W807" i="1"/>
  <c r="AG807" i="1"/>
  <c r="T806" i="1"/>
  <c r="W806" i="1"/>
  <c r="AG806" i="1"/>
  <c r="T805" i="1"/>
  <c r="W805" i="1"/>
  <c r="AG805" i="1"/>
  <c r="T804" i="1"/>
  <c r="W804" i="1"/>
  <c r="AG804" i="1"/>
  <c r="T803" i="1"/>
  <c r="W803" i="1"/>
  <c r="AG803" i="1"/>
  <c r="T802" i="1"/>
  <c r="W802" i="1"/>
  <c r="AG802" i="1"/>
  <c r="T801" i="1"/>
  <c r="W801" i="1"/>
  <c r="AG801" i="1"/>
  <c r="T800" i="1"/>
  <c r="W800" i="1"/>
  <c r="AG800" i="1"/>
  <c r="T799" i="1"/>
  <c r="W799" i="1"/>
  <c r="AG799" i="1"/>
  <c r="T798" i="1"/>
  <c r="W798" i="1"/>
  <c r="AG798" i="1"/>
  <c r="T797" i="1"/>
  <c r="W797" i="1"/>
  <c r="AG797" i="1"/>
  <c r="T796" i="1"/>
  <c r="W796" i="1"/>
  <c r="AG796" i="1"/>
  <c r="T795" i="1"/>
  <c r="W795" i="1"/>
  <c r="AG795" i="1"/>
  <c r="T794" i="1"/>
  <c r="W794" i="1"/>
  <c r="AG794" i="1"/>
  <c r="T793" i="1"/>
  <c r="W793" i="1"/>
  <c r="AG793" i="1"/>
  <c r="T792" i="1"/>
  <c r="W792" i="1"/>
  <c r="AG792" i="1"/>
  <c r="T791" i="1"/>
  <c r="W791" i="1"/>
  <c r="AG791" i="1"/>
  <c r="T790" i="1"/>
  <c r="W790" i="1"/>
  <c r="AG790" i="1"/>
  <c r="T789" i="1"/>
  <c r="W789" i="1"/>
  <c r="AG789" i="1"/>
  <c r="T788" i="1"/>
  <c r="W788" i="1"/>
  <c r="AG788" i="1"/>
  <c r="T787" i="1"/>
  <c r="W787" i="1"/>
  <c r="AG787" i="1"/>
  <c r="T786" i="1"/>
  <c r="W786" i="1"/>
  <c r="AG786" i="1"/>
  <c r="T785" i="1"/>
  <c r="W785" i="1"/>
  <c r="AG785" i="1"/>
  <c r="T784" i="1"/>
  <c r="W784" i="1"/>
  <c r="AG784" i="1"/>
  <c r="T783" i="1"/>
  <c r="W783" i="1"/>
  <c r="AG783" i="1"/>
  <c r="T782" i="1"/>
  <c r="W782" i="1"/>
  <c r="AG782" i="1"/>
  <c r="T781" i="1"/>
  <c r="W781" i="1"/>
  <c r="AG781" i="1"/>
  <c r="T780" i="1"/>
  <c r="W780" i="1"/>
  <c r="AG780" i="1"/>
  <c r="T779" i="1"/>
  <c r="W779" i="1"/>
  <c r="AG779" i="1"/>
  <c r="T778" i="1"/>
  <c r="W778" i="1"/>
  <c r="AG778" i="1"/>
  <c r="T777" i="1"/>
  <c r="W777" i="1"/>
  <c r="AG777" i="1"/>
  <c r="T776" i="1"/>
  <c r="W776" i="1"/>
  <c r="AG776" i="1"/>
  <c r="T775" i="1"/>
  <c r="W775" i="1"/>
  <c r="AG775" i="1"/>
  <c r="T774" i="1"/>
  <c r="W774" i="1"/>
  <c r="AG774" i="1"/>
  <c r="T773" i="1"/>
  <c r="W773" i="1"/>
  <c r="AG773" i="1"/>
  <c r="T772" i="1"/>
  <c r="W772" i="1"/>
  <c r="AG772" i="1"/>
  <c r="T771" i="1"/>
  <c r="W771" i="1"/>
  <c r="AG771" i="1"/>
  <c r="T770" i="1"/>
  <c r="W770" i="1"/>
  <c r="AG770" i="1"/>
  <c r="T769" i="1"/>
  <c r="W769" i="1"/>
  <c r="AG769" i="1"/>
  <c r="T768" i="1"/>
  <c r="W768" i="1"/>
  <c r="AG768" i="1"/>
  <c r="T767" i="1"/>
  <c r="W767" i="1"/>
  <c r="AG767" i="1"/>
  <c r="T766" i="1"/>
  <c r="W766" i="1"/>
  <c r="AG766" i="1"/>
  <c r="T765" i="1"/>
  <c r="W765" i="1"/>
  <c r="AG765" i="1"/>
  <c r="T764" i="1"/>
  <c r="W764" i="1"/>
  <c r="AG764" i="1"/>
  <c r="T763" i="1"/>
  <c r="W763" i="1"/>
  <c r="AG763" i="1"/>
  <c r="T762" i="1"/>
  <c r="W762" i="1"/>
  <c r="AG762" i="1"/>
  <c r="T761" i="1"/>
  <c r="W761" i="1"/>
  <c r="AG761" i="1"/>
  <c r="T760" i="1"/>
  <c r="W760" i="1"/>
  <c r="AG760" i="1"/>
  <c r="T759" i="1"/>
  <c r="W759" i="1"/>
  <c r="AG759" i="1"/>
  <c r="T758" i="1"/>
  <c r="W758" i="1"/>
  <c r="AG758" i="1"/>
  <c r="T757" i="1"/>
  <c r="W757" i="1"/>
  <c r="AG757" i="1"/>
  <c r="T756" i="1"/>
  <c r="W756" i="1"/>
  <c r="AG756" i="1"/>
  <c r="T755" i="1"/>
  <c r="W755" i="1"/>
  <c r="AG755" i="1"/>
  <c r="T754" i="1"/>
  <c r="W754" i="1"/>
  <c r="AG754" i="1"/>
  <c r="T753" i="1"/>
  <c r="W753" i="1"/>
  <c r="AG753" i="1"/>
  <c r="T752" i="1"/>
  <c r="W752" i="1"/>
  <c r="AG752" i="1"/>
  <c r="T751" i="1"/>
  <c r="W751" i="1"/>
  <c r="AG751" i="1"/>
  <c r="T750" i="1"/>
  <c r="W750" i="1"/>
  <c r="AG750" i="1"/>
  <c r="T749" i="1"/>
  <c r="W749" i="1"/>
  <c r="AG749" i="1"/>
  <c r="T748" i="1"/>
  <c r="W748" i="1"/>
  <c r="AG748" i="1"/>
  <c r="T747" i="1"/>
  <c r="W747" i="1"/>
  <c r="AG747" i="1"/>
  <c r="T746" i="1"/>
  <c r="W746" i="1"/>
  <c r="AG746" i="1"/>
  <c r="T745" i="1"/>
  <c r="W745" i="1"/>
  <c r="AG745" i="1"/>
  <c r="T744" i="1"/>
  <c r="W744" i="1"/>
  <c r="AG744" i="1"/>
  <c r="T743" i="1"/>
  <c r="W743" i="1"/>
  <c r="AG743" i="1"/>
  <c r="T742" i="1"/>
  <c r="W742" i="1"/>
  <c r="AG742" i="1"/>
  <c r="T741" i="1"/>
  <c r="W741" i="1"/>
  <c r="AG741" i="1"/>
  <c r="T740" i="1"/>
  <c r="W740" i="1"/>
  <c r="AG740" i="1"/>
  <c r="T739" i="1"/>
  <c r="W739" i="1"/>
  <c r="AG739" i="1"/>
  <c r="T738" i="1"/>
  <c r="W738" i="1"/>
  <c r="AG738" i="1"/>
  <c r="T737" i="1"/>
  <c r="W737" i="1"/>
  <c r="AG737" i="1"/>
  <c r="T736" i="1"/>
  <c r="W736" i="1"/>
  <c r="AG736" i="1"/>
  <c r="T735" i="1"/>
  <c r="W735" i="1"/>
  <c r="AG735" i="1"/>
  <c r="T734" i="1"/>
  <c r="W734" i="1"/>
  <c r="AG734" i="1"/>
  <c r="T733" i="1"/>
  <c r="W733" i="1"/>
  <c r="AG733" i="1"/>
  <c r="T732" i="1"/>
  <c r="W732" i="1"/>
  <c r="AG732" i="1"/>
  <c r="T731" i="1"/>
  <c r="W731" i="1"/>
  <c r="AG731" i="1"/>
  <c r="T730" i="1"/>
  <c r="W730" i="1"/>
  <c r="AG730" i="1"/>
  <c r="T729" i="1"/>
  <c r="W729" i="1"/>
  <c r="AG729" i="1"/>
  <c r="T728" i="1"/>
  <c r="W728" i="1"/>
  <c r="AG728" i="1"/>
  <c r="T727" i="1"/>
  <c r="W727" i="1"/>
  <c r="AG727" i="1"/>
  <c r="T726" i="1"/>
  <c r="W726" i="1"/>
  <c r="AG726" i="1"/>
  <c r="T725" i="1"/>
  <c r="W725" i="1"/>
  <c r="AG725" i="1"/>
  <c r="T724" i="1"/>
  <c r="W724" i="1"/>
  <c r="AG724" i="1"/>
  <c r="T723" i="1"/>
  <c r="W723" i="1"/>
  <c r="AG723" i="1"/>
  <c r="T722" i="1"/>
  <c r="W722" i="1"/>
  <c r="AG722" i="1"/>
  <c r="T721" i="1"/>
  <c r="W721" i="1"/>
  <c r="AG721" i="1"/>
  <c r="T720" i="1"/>
  <c r="W720" i="1"/>
  <c r="AG720" i="1"/>
  <c r="T719" i="1"/>
  <c r="W719" i="1"/>
  <c r="AG719" i="1"/>
  <c r="T718" i="1"/>
  <c r="W718" i="1"/>
  <c r="AG718" i="1"/>
  <c r="T717" i="1"/>
  <c r="W717" i="1"/>
  <c r="AG717" i="1"/>
  <c r="T716" i="1"/>
  <c r="W716" i="1"/>
  <c r="AG716" i="1"/>
  <c r="T715" i="1"/>
  <c r="W715" i="1"/>
  <c r="AG715" i="1"/>
  <c r="T714" i="1"/>
  <c r="W714" i="1"/>
  <c r="AG714" i="1"/>
  <c r="T713" i="1"/>
  <c r="W713" i="1"/>
  <c r="AG713" i="1"/>
  <c r="T712" i="1"/>
  <c r="W712" i="1"/>
  <c r="AG712" i="1"/>
  <c r="T711" i="1"/>
  <c r="W711" i="1"/>
  <c r="AG711" i="1"/>
  <c r="T710" i="1"/>
  <c r="W710" i="1"/>
  <c r="AG710" i="1"/>
  <c r="T709" i="1"/>
  <c r="W709" i="1"/>
  <c r="AG709" i="1"/>
  <c r="T708" i="1"/>
  <c r="W708" i="1"/>
  <c r="AG708" i="1"/>
  <c r="T707" i="1"/>
  <c r="W707" i="1"/>
  <c r="AG707" i="1"/>
  <c r="T706" i="1"/>
  <c r="W706" i="1"/>
  <c r="AG706" i="1"/>
  <c r="T705" i="1"/>
  <c r="W705" i="1"/>
  <c r="AG705" i="1"/>
  <c r="T704" i="1"/>
  <c r="W704" i="1"/>
  <c r="AG704" i="1"/>
  <c r="T703" i="1"/>
  <c r="W703" i="1"/>
  <c r="AG703" i="1"/>
  <c r="T702" i="1"/>
  <c r="W702" i="1"/>
  <c r="AG702" i="1"/>
  <c r="T701" i="1"/>
  <c r="W701" i="1"/>
  <c r="AG701" i="1"/>
  <c r="T700" i="1"/>
  <c r="W700" i="1"/>
  <c r="AG700" i="1"/>
  <c r="T699" i="1"/>
  <c r="W699" i="1"/>
  <c r="AG699" i="1"/>
  <c r="T698" i="1"/>
  <c r="W698" i="1"/>
  <c r="AG698" i="1"/>
  <c r="T697" i="1"/>
  <c r="W697" i="1"/>
  <c r="AG697" i="1"/>
  <c r="T696" i="1"/>
  <c r="W696" i="1"/>
  <c r="AG696" i="1"/>
  <c r="T695" i="1"/>
  <c r="W695" i="1"/>
  <c r="AG695" i="1"/>
  <c r="T694" i="1"/>
  <c r="W694" i="1"/>
  <c r="AG694" i="1"/>
  <c r="T693" i="1"/>
  <c r="W693" i="1"/>
  <c r="AG693" i="1"/>
  <c r="T692" i="1"/>
  <c r="W692" i="1"/>
  <c r="AG692" i="1"/>
  <c r="T691" i="1"/>
  <c r="W691" i="1"/>
  <c r="AG691" i="1"/>
  <c r="T690" i="1"/>
  <c r="W690" i="1"/>
  <c r="AG690" i="1"/>
  <c r="T689" i="1"/>
  <c r="W689" i="1"/>
  <c r="AG689" i="1"/>
  <c r="T688" i="1"/>
  <c r="W688" i="1"/>
  <c r="AG688" i="1"/>
  <c r="T687" i="1"/>
  <c r="W687" i="1"/>
  <c r="AG687" i="1"/>
  <c r="T686" i="1"/>
  <c r="W686" i="1"/>
  <c r="AG686" i="1"/>
  <c r="T685" i="1"/>
  <c r="W685" i="1"/>
  <c r="AG685" i="1"/>
  <c r="T684" i="1"/>
  <c r="W684" i="1"/>
  <c r="AG684" i="1"/>
  <c r="T683" i="1"/>
  <c r="W683" i="1"/>
  <c r="AG683" i="1"/>
  <c r="T682" i="1"/>
  <c r="W682" i="1"/>
  <c r="AG682" i="1"/>
  <c r="T681" i="1"/>
  <c r="W681" i="1"/>
  <c r="AG681" i="1"/>
  <c r="T680" i="1"/>
  <c r="W680" i="1"/>
  <c r="AG680" i="1"/>
  <c r="T679" i="1"/>
  <c r="W679" i="1"/>
  <c r="AG679" i="1"/>
  <c r="T678" i="1"/>
  <c r="W678" i="1"/>
  <c r="AG678" i="1"/>
  <c r="T677" i="1"/>
  <c r="W677" i="1"/>
  <c r="AG677" i="1"/>
  <c r="T676" i="1"/>
  <c r="W676" i="1"/>
  <c r="AG676" i="1"/>
  <c r="T675" i="1"/>
  <c r="W675" i="1"/>
  <c r="AG675" i="1"/>
  <c r="T674" i="1"/>
  <c r="W674" i="1"/>
  <c r="AG674" i="1"/>
  <c r="T673" i="1"/>
  <c r="W673" i="1"/>
  <c r="AG673" i="1"/>
  <c r="T672" i="1"/>
  <c r="W672" i="1"/>
  <c r="AG672" i="1"/>
  <c r="T671" i="1"/>
  <c r="W671" i="1"/>
  <c r="AG671" i="1"/>
  <c r="T670" i="1"/>
  <c r="W670" i="1"/>
  <c r="AG670" i="1"/>
  <c r="T669" i="1"/>
  <c r="W669" i="1"/>
  <c r="AG669" i="1"/>
  <c r="T668" i="1"/>
  <c r="W668" i="1"/>
  <c r="AG668" i="1"/>
  <c r="T667" i="1"/>
  <c r="W667" i="1"/>
  <c r="AG667" i="1"/>
  <c r="T666" i="1"/>
  <c r="W666" i="1"/>
  <c r="AG666" i="1"/>
  <c r="T665" i="1"/>
  <c r="W665" i="1"/>
  <c r="AG665" i="1"/>
  <c r="T664" i="1"/>
  <c r="W664" i="1"/>
  <c r="AG664" i="1"/>
  <c r="T663" i="1"/>
  <c r="W663" i="1"/>
  <c r="AG663" i="1"/>
  <c r="T662" i="1"/>
  <c r="W662" i="1"/>
  <c r="AG662" i="1"/>
  <c r="T661" i="1"/>
  <c r="W661" i="1"/>
  <c r="AG661" i="1"/>
  <c r="T660" i="1"/>
  <c r="W660" i="1"/>
  <c r="AG660" i="1"/>
  <c r="T659" i="1"/>
  <c r="W659" i="1"/>
  <c r="AG659" i="1"/>
  <c r="T658" i="1"/>
  <c r="W658" i="1"/>
  <c r="AG658" i="1"/>
  <c r="T657" i="1"/>
  <c r="W657" i="1"/>
  <c r="AG657" i="1"/>
  <c r="T656" i="1"/>
  <c r="W656" i="1"/>
  <c r="AG656" i="1"/>
  <c r="T655" i="1"/>
  <c r="W655" i="1"/>
  <c r="AG655" i="1"/>
  <c r="T654" i="1"/>
  <c r="W654" i="1"/>
  <c r="AG654" i="1"/>
  <c r="T653" i="1"/>
  <c r="W653" i="1"/>
  <c r="AG653" i="1"/>
  <c r="T652" i="1"/>
  <c r="W652" i="1"/>
  <c r="AG652" i="1"/>
  <c r="T651" i="1"/>
  <c r="W651" i="1"/>
  <c r="AG651" i="1"/>
  <c r="T650" i="1"/>
  <c r="W650" i="1"/>
  <c r="AG650" i="1"/>
  <c r="T649" i="1"/>
  <c r="W649" i="1"/>
  <c r="AG649" i="1"/>
  <c r="T648" i="1"/>
  <c r="W648" i="1"/>
  <c r="AG648" i="1"/>
  <c r="T647" i="1"/>
  <c r="W647" i="1"/>
  <c r="AG647" i="1"/>
  <c r="T646" i="1"/>
  <c r="W646" i="1"/>
  <c r="AG646" i="1"/>
  <c r="T645" i="1"/>
  <c r="W645" i="1"/>
  <c r="AG645" i="1"/>
  <c r="T644" i="1"/>
  <c r="W644" i="1"/>
  <c r="AG644" i="1"/>
  <c r="T643" i="1"/>
  <c r="W643" i="1"/>
  <c r="AG643" i="1"/>
  <c r="T642" i="1"/>
  <c r="W642" i="1"/>
  <c r="AG642" i="1"/>
  <c r="T641" i="1"/>
  <c r="W641" i="1"/>
  <c r="AG641" i="1"/>
  <c r="T640" i="1"/>
  <c r="W640" i="1"/>
  <c r="AG640" i="1"/>
  <c r="T639" i="1"/>
  <c r="W639" i="1"/>
  <c r="AG639" i="1"/>
  <c r="T638" i="1"/>
  <c r="W638" i="1"/>
  <c r="AG638" i="1"/>
  <c r="T637" i="1"/>
  <c r="W637" i="1"/>
  <c r="AG637" i="1"/>
  <c r="T636" i="1"/>
  <c r="W636" i="1"/>
  <c r="AG636" i="1"/>
  <c r="T635" i="1"/>
  <c r="W635" i="1"/>
  <c r="AG635" i="1"/>
  <c r="T634" i="1"/>
  <c r="W634" i="1"/>
  <c r="AG634" i="1"/>
  <c r="T633" i="1"/>
  <c r="W633" i="1"/>
  <c r="AG633" i="1"/>
  <c r="T632" i="1"/>
  <c r="W632" i="1"/>
  <c r="AG632" i="1"/>
  <c r="T631" i="1"/>
  <c r="W631" i="1"/>
  <c r="AG631" i="1"/>
  <c r="T630" i="1"/>
  <c r="W630" i="1"/>
  <c r="AG630" i="1"/>
  <c r="T629" i="1"/>
  <c r="W629" i="1"/>
  <c r="AG629" i="1"/>
  <c r="T628" i="1"/>
  <c r="W628" i="1"/>
  <c r="AG628" i="1"/>
  <c r="T627" i="1"/>
  <c r="W627" i="1"/>
  <c r="AG627" i="1"/>
  <c r="T626" i="1"/>
  <c r="W626" i="1"/>
  <c r="AG626" i="1"/>
  <c r="T625" i="1"/>
  <c r="W625" i="1"/>
  <c r="AG625" i="1"/>
  <c r="T624" i="1"/>
  <c r="W624" i="1"/>
  <c r="AG624" i="1"/>
  <c r="T623" i="1"/>
  <c r="W623" i="1"/>
  <c r="AG623" i="1"/>
  <c r="T622" i="1"/>
  <c r="W622" i="1"/>
  <c r="AG622" i="1"/>
  <c r="T621" i="1"/>
  <c r="W621" i="1"/>
  <c r="AG621" i="1"/>
  <c r="T620" i="1"/>
  <c r="W620" i="1"/>
  <c r="AG620" i="1"/>
  <c r="T619" i="1"/>
  <c r="W619" i="1"/>
  <c r="AG619" i="1"/>
  <c r="T618" i="1"/>
  <c r="W618" i="1"/>
  <c r="AG618" i="1"/>
  <c r="T617" i="1"/>
  <c r="W617" i="1"/>
  <c r="AG617" i="1"/>
  <c r="T616" i="1"/>
  <c r="W616" i="1"/>
  <c r="AG616" i="1"/>
  <c r="T615" i="1"/>
  <c r="W615" i="1"/>
  <c r="AG615" i="1"/>
  <c r="T614" i="1"/>
  <c r="W614" i="1"/>
  <c r="AG614" i="1"/>
  <c r="T613" i="1"/>
  <c r="W613" i="1"/>
  <c r="AG613" i="1"/>
  <c r="T612" i="1"/>
  <c r="W612" i="1"/>
  <c r="AG612" i="1"/>
  <c r="T611" i="1"/>
  <c r="W611" i="1"/>
  <c r="AG611" i="1"/>
  <c r="T610" i="1"/>
  <c r="W610" i="1"/>
  <c r="AG610" i="1"/>
  <c r="T609" i="1"/>
  <c r="W609" i="1"/>
  <c r="AG609" i="1"/>
  <c r="T608" i="1"/>
  <c r="W608" i="1"/>
  <c r="AG608" i="1"/>
  <c r="T607" i="1"/>
  <c r="W607" i="1"/>
  <c r="AG607" i="1"/>
  <c r="T606" i="1"/>
  <c r="W606" i="1"/>
  <c r="AG606" i="1"/>
  <c r="T605" i="1"/>
  <c r="W605" i="1"/>
  <c r="AG605" i="1"/>
  <c r="T604" i="1"/>
  <c r="W604" i="1"/>
  <c r="AG604" i="1"/>
  <c r="T603" i="1"/>
  <c r="W603" i="1"/>
  <c r="AG603" i="1"/>
  <c r="T602" i="1"/>
  <c r="W602" i="1"/>
  <c r="AG602" i="1"/>
  <c r="T601" i="1"/>
  <c r="W601" i="1"/>
  <c r="AG601" i="1"/>
  <c r="T600" i="1"/>
  <c r="W600" i="1"/>
  <c r="AG600" i="1"/>
  <c r="T599" i="1"/>
  <c r="W599" i="1"/>
  <c r="AG599" i="1"/>
  <c r="T598" i="1"/>
  <c r="W598" i="1"/>
  <c r="AG598" i="1"/>
  <c r="T597" i="1"/>
  <c r="W597" i="1"/>
  <c r="AG597" i="1"/>
  <c r="T596" i="1"/>
  <c r="W596" i="1"/>
  <c r="AG596" i="1"/>
  <c r="T595" i="1"/>
  <c r="W595" i="1"/>
  <c r="AG595" i="1"/>
  <c r="T594" i="1"/>
  <c r="W594" i="1"/>
  <c r="AG594" i="1"/>
  <c r="T593" i="1"/>
  <c r="W593" i="1"/>
  <c r="AG593" i="1"/>
  <c r="T592" i="1"/>
  <c r="W592" i="1"/>
  <c r="AG592" i="1"/>
  <c r="T591" i="1"/>
  <c r="W591" i="1"/>
  <c r="AG591" i="1"/>
  <c r="T590" i="1"/>
  <c r="W590" i="1"/>
  <c r="AG590" i="1"/>
  <c r="T589" i="1"/>
  <c r="W589" i="1"/>
  <c r="AG589" i="1"/>
  <c r="T588" i="1"/>
  <c r="W588" i="1"/>
  <c r="AG588" i="1"/>
  <c r="T587" i="1"/>
  <c r="W587" i="1"/>
  <c r="AG587" i="1"/>
  <c r="T586" i="1"/>
  <c r="W586" i="1"/>
  <c r="AG586" i="1"/>
  <c r="T585" i="1"/>
  <c r="W585" i="1"/>
  <c r="AG585" i="1"/>
  <c r="T584" i="1"/>
  <c r="W584" i="1"/>
  <c r="AG584" i="1"/>
  <c r="T583" i="1"/>
  <c r="W583" i="1"/>
  <c r="AG583" i="1"/>
  <c r="T582" i="1"/>
  <c r="W582" i="1"/>
  <c r="AG582" i="1"/>
  <c r="T581" i="1"/>
  <c r="W581" i="1"/>
  <c r="AG581" i="1"/>
  <c r="T580" i="1"/>
  <c r="W580" i="1"/>
  <c r="AG580" i="1"/>
  <c r="T579" i="1"/>
  <c r="W579" i="1"/>
  <c r="AG579" i="1"/>
  <c r="T578" i="1"/>
  <c r="W578" i="1"/>
  <c r="AG578" i="1"/>
  <c r="T577" i="1"/>
  <c r="W577" i="1"/>
  <c r="AG577" i="1"/>
  <c r="T576" i="1"/>
  <c r="W576" i="1"/>
  <c r="AG576" i="1"/>
  <c r="T575" i="1"/>
  <c r="W575" i="1"/>
  <c r="AG575" i="1"/>
  <c r="T574" i="1"/>
  <c r="W574" i="1"/>
  <c r="AG574" i="1"/>
  <c r="T573" i="1"/>
  <c r="W573" i="1"/>
  <c r="AG573" i="1"/>
  <c r="T572" i="1"/>
  <c r="W572" i="1"/>
  <c r="AG572" i="1"/>
  <c r="T571" i="1"/>
  <c r="W571" i="1"/>
  <c r="AG571" i="1"/>
  <c r="T570" i="1"/>
  <c r="W570" i="1"/>
  <c r="AG570" i="1"/>
  <c r="T569" i="1"/>
  <c r="W569" i="1"/>
  <c r="AG569" i="1"/>
  <c r="T568" i="1"/>
  <c r="W568" i="1"/>
  <c r="AG568" i="1"/>
  <c r="T567" i="1"/>
  <c r="W567" i="1"/>
  <c r="AG567" i="1"/>
  <c r="T542" i="1"/>
  <c r="W542" i="1"/>
  <c r="AG542" i="1"/>
  <c r="T541" i="1"/>
  <c r="W541" i="1"/>
  <c r="AG541" i="1"/>
  <c r="T540" i="1"/>
  <c r="W540" i="1"/>
  <c r="AG540" i="1"/>
  <c r="T539" i="1"/>
  <c r="W539" i="1"/>
  <c r="AG539" i="1"/>
  <c r="T538" i="1"/>
  <c r="W538" i="1"/>
  <c r="AG538" i="1"/>
  <c r="T537" i="1"/>
  <c r="W537" i="1"/>
  <c r="AG537" i="1"/>
  <c r="T536" i="1"/>
  <c r="W536" i="1"/>
  <c r="AG536" i="1"/>
  <c r="T535" i="1"/>
  <c r="W535" i="1"/>
  <c r="AG535" i="1"/>
  <c r="T534" i="1"/>
  <c r="W534" i="1"/>
  <c r="AG534" i="1"/>
  <c r="T533" i="1"/>
  <c r="W533" i="1"/>
  <c r="AG533" i="1"/>
  <c r="T532" i="1"/>
  <c r="W532" i="1"/>
  <c r="AG532" i="1"/>
  <c r="T531" i="1"/>
  <c r="W531" i="1"/>
  <c r="AG531" i="1"/>
  <c r="T518" i="1"/>
  <c r="W518" i="1"/>
  <c r="AG518" i="1"/>
  <c r="T517" i="1"/>
  <c r="W517" i="1"/>
  <c r="AG517" i="1"/>
  <c r="T516" i="1"/>
  <c r="W516" i="1"/>
  <c r="AG516" i="1"/>
  <c r="T515" i="1"/>
  <c r="W515" i="1"/>
  <c r="AG515" i="1"/>
  <c r="T514" i="1"/>
  <c r="W514" i="1"/>
  <c r="AG514" i="1"/>
  <c r="T513" i="1"/>
  <c r="W513" i="1"/>
  <c r="AG513" i="1"/>
  <c r="T512" i="1"/>
  <c r="W512" i="1"/>
  <c r="AG512" i="1"/>
  <c r="T511" i="1"/>
  <c r="W511" i="1"/>
  <c r="AG511" i="1"/>
  <c r="T510" i="1"/>
  <c r="W510" i="1"/>
  <c r="AG510" i="1"/>
  <c r="T509" i="1"/>
  <c r="W509" i="1"/>
  <c r="AG509" i="1"/>
  <c r="T508" i="1"/>
  <c r="W508" i="1"/>
  <c r="AG508" i="1"/>
  <c r="T507" i="1"/>
  <c r="W507" i="1"/>
  <c r="AG507" i="1"/>
  <c r="T506" i="1"/>
  <c r="W506" i="1"/>
  <c r="AG506" i="1"/>
  <c r="T505" i="1"/>
  <c r="W505" i="1"/>
  <c r="AG505" i="1"/>
  <c r="T504" i="1"/>
  <c r="W504" i="1"/>
  <c r="AG504" i="1"/>
  <c r="T503" i="1"/>
  <c r="W503" i="1"/>
  <c r="AG503" i="1"/>
  <c r="T502" i="1"/>
  <c r="W502" i="1"/>
  <c r="AG502" i="1"/>
  <c r="T501" i="1"/>
  <c r="W501" i="1"/>
  <c r="AG501" i="1"/>
  <c r="T500" i="1"/>
  <c r="W500" i="1"/>
  <c r="AG500" i="1"/>
  <c r="T499" i="1"/>
  <c r="W499" i="1"/>
  <c r="AG499" i="1"/>
  <c r="T498" i="1"/>
  <c r="W498" i="1"/>
  <c r="AG498" i="1"/>
  <c r="T497" i="1"/>
  <c r="W497" i="1"/>
  <c r="AG497" i="1"/>
  <c r="T496" i="1"/>
  <c r="W496" i="1"/>
  <c r="AG496" i="1"/>
  <c r="T495" i="1"/>
  <c r="W495" i="1"/>
  <c r="AG495" i="1"/>
  <c r="T482" i="1"/>
  <c r="W482" i="1"/>
  <c r="AG482" i="1"/>
  <c r="T481" i="1"/>
  <c r="W481" i="1"/>
  <c r="AG481" i="1"/>
  <c r="T480" i="1"/>
  <c r="W480" i="1"/>
  <c r="AG480" i="1"/>
  <c r="T479" i="1"/>
  <c r="W479" i="1"/>
  <c r="AG479" i="1"/>
  <c r="T478" i="1"/>
  <c r="W478" i="1"/>
  <c r="AG478" i="1"/>
  <c r="T477" i="1"/>
  <c r="W477" i="1"/>
  <c r="AG477" i="1"/>
  <c r="T476" i="1"/>
  <c r="W476" i="1"/>
  <c r="AG476" i="1"/>
  <c r="T475" i="1"/>
  <c r="W475" i="1"/>
  <c r="AG475" i="1"/>
  <c r="T474" i="1"/>
  <c r="W474" i="1"/>
  <c r="AG474" i="1"/>
  <c r="T473" i="1"/>
  <c r="W473" i="1"/>
  <c r="AG473" i="1"/>
  <c r="T472" i="1"/>
  <c r="W472" i="1"/>
  <c r="AG472" i="1"/>
  <c r="T471" i="1"/>
  <c r="W471" i="1"/>
  <c r="AG471" i="1"/>
  <c r="T494" i="1"/>
  <c r="W494" i="1"/>
  <c r="AG494" i="1"/>
  <c r="T493" i="1"/>
  <c r="W493" i="1"/>
  <c r="AG493" i="1"/>
  <c r="T492" i="1"/>
  <c r="W492" i="1"/>
  <c r="AG492" i="1"/>
  <c r="T491" i="1"/>
  <c r="W491" i="1"/>
  <c r="AG491" i="1"/>
  <c r="T490" i="1"/>
  <c r="W490" i="1"/>
  <c r="AG490" i="1"/>
  <c r="T489" i="1"/>
  <c r="W489" i="1"/>
  <c r="AG489" i="1"/>
  <c r="T488" i="1"/>
  <c r="W488" i="1"/>
  <c r="AG488" i="1"/>
  <c r="T487" i="1"/>
  <c r="W487" i="1"/>
  <c r="AG487" i="1"/>
  <c r="T486" i="1"/>
  <c r="W486" i="1"/>
  <c r="AG486" i="1"/>
  <c r="T485" i="1"/>
  <c r="W485" i="1"/>
  <c r="AG485" i="1"/>
  <c r="T484" i="1"/>
  <c r="W484" i="1"/>
  <c r="AG484" i="1"/>
  <c r="T483" i="1"/>
  <c r="W483" i="1"/>
  <c r="AG483" i="1"/>
  <c r="T470" i="1"/>
  <c r="W470" i="1"/>
  <c r="AG470" i="1"/>
  <c r="T469" i="1"/>
  <c r="W469" i="1"/>
  <c r="AG469" i="1"/>
  <c r="T468" i="1"/>
  <c r="W468" i="1"/>
  <c r="AG468" i="1"/>
  <c r="T467" i="1"/>
  <c r="W467" i="1"/>
  <c r="AG467" i="1"/>
  <c r="T466" i="1"/>
  <c r="W466" i="1"/>
  <c r="AG466" i="1"/>
  <c r="T465" i="1"/>
  <c r="W465" i="1"/>
  <c r="AG465" i="1"/>
  <c r="T464" i="1"/>
  <c r="W464" i="1"/>
  <c r="AG464" i="1"/>
  <c r="T463" i="1"/>
  <c r="W463" i="1"/>
  <c r="AG463" i="1"/>
  <c r="T462" i="1"/>
  <c r="W462" i="1"/>
  <c r="AG462" i="1"/>
  <c r="T461" i="1"/>
  <c r="W461" i="1"/>
  <c r="AG461" i="1"/>
  <c r="T460" i="1"/>
  <c r="W460" i="1"/>
  <c r="AG460" i="1"/>
  <c r="T459" i="1"/>
  <c r="W459" i="1"/>
  <c r="AG459" i="1"/>
  <c r="T458" i="1"/>
  <c r="W458" i="1"/>
  <c r="AG458" i="1"/>
  <c r="T457" i="1"/>
  <c r="W457" i="1"/>
  <c r="AG457" i="1"/>
  <c r="T456" i="1"/>
  <c r="W456" i="1"/>
  <c r="AG456" i="1"/>
  <c r="T455" i="1"/>
  <c r="W455" i="1"/>
  <c r="AG455" i="1"/>
  <c r="T454" i="1"/>
  <c r="W454" i="1"/>
  <c r="AG454" i="1"/>
  <c r="T453" i="1"/>
  <c r="W453" i="1"/>
  <c r="AG453" i="1"/>
  <c r="T452" i="1"/>
  <c r="W452" i="1"/>
  <c r="AG452" i="1"/>
  <c r="T451" i="1"/>
  <c r="W451" i="1"/>
  <c r="AG451" i="1"/>
  <c r="T450" i="1"/>
  <c r="W450" i="1"/>
  <c r="AG450" i="1"/>
  <c r="T449" i="1"/>
  <c r="W449" i="1"/>
  <c r="AG449" i="1"/>
  <c r="T448" i="1"/>
  <c r="W448" i="1"/>
  <c r="AG448" i="1"/>
  <c r="T447" i="1"/>
  <c r="W447" i="1"/>
  <c r="AG447" i="1"/>
  <c r="T446" i="1"/>
  <c r="W446" i="1"/>
  <c r="AG446" i="1"/>
  <c r="T445" i="1"/>
  <c r="W445" i="1"/>
  <c r="AG445" i="1"/>
  <c r="T444" i="1"/>
  <c r="W444" i="1"/>
  <c r="AG444" i="1"/>
  <c r="T443" i="1"/>
  <c r="W443" i="1"/>
  <c r="AG443" i="1"/>
  <c r="T442" i="1"/>
  <c r="W442" i="1"/>
  <c r="AG442" i="1"/>
  <c r="T441" i="1"/>
  <c r="W441" i="1"/>
  <c r="AG441" i="1"/>
  <c r="T440" i="1"/>
  <c r="W440" i="1"/>
  <c r="AG440" i="1"/>
  <c r="T439" i="1"/>
  <c r="W439" i="1"/>
  <c r="AG439" i="1"/>
  <c r="T438" i="1"/>
  <c r="W438" i="1"/>
  <c r="AG438" i="1"/>
  <c r="T437" i="1"/>
  <c r="W437" i="1"/>
  <c r="AG437" i="1"/>
  <c r="T436" i="1"/>
  <c r="W436" i="1"/>
  <c r="AG436" i="1"/>
  <c r="T435" i="1"/>
  <c r="W435" i="1"/>
  <c r="AG435" i="1"/>
  <c r="T566" i="1"/>
  <c r="W566" i="1"/>
  <c r="AG566" i="1"/>
  <c r="T565" i="1"/>
  <c r="W565" i="1"/>
  <c r="AG565" i="1"/>
  <c r="T564" i="1"/>
  <c r="W564" i="1"/>
  <c r="AG564" i="1"/>
  <c r="T563" i="1"/>
  <c r="W563" i="1"/>
  <c r="AG563" i="1"/>
  <c r="T562" i="1"/>
  <c r="W562" i="1"/>
  <c r="AG562" i="1"/>
  <c r="T561" i="1"/>
  <c r="W561" i="1"/>
  <c r="AG561" i="1"/>
  <c r="T560" i="1"/>
  <c r="W560" i="1"/>
  <c r="AG560" i="1"/>
  <c r="T559" i="1"/>
  <c r="W559" i="1"/>
  <c r="AG559" i="1"/>
  <c r="T558" i="1"/>
  <c r="W558" i="1"/>
  <c r="AG558" i="1"/>
  <c r="T557" i="1"/>
  <c r="W557" i="1"/>
  <c r="AG557" i="1"/>
  <c r="T556" i="1"/>
  <c r="W556" i="1"/>
  <c r="AG556" i="1"/>
  <c r="T555" i="1"/>
  <c r="W555" i="1"/>
  <c r="AG555" i="1"/>
  <c r="T554" i="1"/>
  <c r="W554" i="1"/>
  <c r="AG554" i="1"/>
  <c r="T553" i="1"/>
  <c r="W553" i="1"/>
  <c r="AG553" i="1"/>
  <c r="T552" i="1"/>
  <c r="W552" i="1"/>
  <c r="AG552" i="1"/>
  <c r="T551" i="1"/>
  <c r="W551" i="1"/>
  <c r="AG551" i="1"/>
  <c r="T550" i="1"/>
  <c r="W550" i="1"/>
  <c r="AG550" i="1"/>
  <c r="T549" i="1"/>
  <c r="W549" i="1"/>
  <c r="AG549" i="1"/>
  <c r="T548" i="1"/>
  <c r="W548" i="1"/>
  <c r="AG548" i="1"/>
  <c r="T547" i="1"/>
  <c r="W547" i="1"/>
  <c r="AG547" i="1"/>
  <c r="T546" i="1"/>
  <c r="W546" i="1"/>
  <c r="AG546" i="1"/>
  <c r="T545" i="1"/>
  <c r="W545" i="1"/>
  <c r="AG545" i="1"/>
  <c r="T544" i="1"/>
  <c r="W544" i="1"/>
  <c r="AG544" i="1"/>
  <c r="T543" i="1"/>
  <c r="W543" i="1"/>
  <c r="AG543" i="1"/>
  <c r="T530" i="1"/>
  <c r="W530" i="1"/>
  <c r="AG530" i="1"/>
  <c r="T529" i="1"/>
  <c r="W529" i="1"/>
  <c r="AG529" i="1"/>
  <c r="T528" i="1"/>
  <c r="W528" i="1"/>
  <c r="AG528" i="1"/>
  <c r="T527" i="1"/>
  <c r="W527" i="1"/>
  <c r="AG527" i="1"/>
  <c r="T526" i="1"/>
  <c r="W526" i="1"/>
  <c r="AG526" i="1"/>
  <c r="T525" i="1"/>
  <c r="W525" i="1"/>
  <c r="AG525" i="1"/>
  <c r="T524" i="1"/>
  <c r="W524" i="1"/>
  <c r="AG524" i="1"/>
  <c r="T523" i="1"/>
  <c r="W523" i="1"/>
  <c r="AG523" i="1"/>
  <c r="T522" i="1"/>
  <c r="W522" i="1"/>
  <c r="AG522" i="1"/>
  <c r="T521" i="1"/>
  <c r="W521" i="1"/>
  <c r="AG521" i="1"/>
  <c r="T520" i="1"/>
  <c r="W520" i="1"/>
  <c r="AG520" i="1"/>
  <c r="T434" i="1"/>
  <c r="W434" i="1"/>
  <c r="AG434" i="1"/>
  <c r="T433" i="1"/>
  <c r="W433" i="1"/>
  <c r="AG433" i="1"/>
  <c r="T432" i="1"/>
  <c r="W432" i="1"/>
  <c r="AG432" i="1"/>
  <c r="T431" i="1"/>
  <c r="W431" i="1"/>
  <c r="AG431" i="1"/>
  <c r="T430" i="1"/>
  <c r="W430" i="1"/>
  <c r="AG430" i="1"/>
  <c r="T429" i="1"/>
  <c r="W429" i="1"/>
  <c r="AG429" i="1"/>
  <c r="T428" i="1"/>
  <c r="W428" i="1"/>
  <c r="AG428" i="1"/>
  <c r="T427" i="1"/>
  <c r="W427" i="1"/>
  <c r="AG427" i="1"/>
  <c r="T426" i="1"/>
  <c r="W426" i="1"/>
  <c r="AG426" i="1"/>
  <c r="T425" i="1"/>
  <c r="W425" i="1"/>
  <c r="AG425" i="1"/>
  <c r="T424" i="1"/>
  <c r="W424" i="1"/>
  <c r="AG424" i="1"/>
  <c r="T423" i="1"/>
  <c r="W423" i="1"/>
  <c r="AG423" i="1"/>
  <c r="T422" i="1"/>
  <c r="W422" i="1"/>
  <c r="AG422" i="1"/>
  <c r="T421" i="1"/>
  <c r="W421" i="1"/>
  <c r="AG421" i="1"/>
  <c r="T420" i="1"/>
  <c r="W420" i="1"/>
  <c r="AG420" i="1"/>
  <c r="T419" i="1"/>
  <c r="W419" i="1"/>
  <c r="AG419" i="1"/>
  <c r="T418" i="1"/>
  <c r="W418" i="1"/>
  <c r="AG418" i="1"/>
  <c r="T417" i="1"/>
  <c r="W417" i="1"/>
  <c r="AG417" i="1"/>
  <c r="T416" i="1"/>
  <c r="W416" i="1"/>
  <c r="AG416" i="1"/>
  <c r="T415" i="1"/>
  <c r="W415" i="1"/>
  <c r="AG415" i="1"/>
  <c r="T414" i="1"/>
  <c r="W414" i="1"/>
  <c r="AG414" i="1"/>
  <c r="T413" i="1"/>
  <c r="W413" i="1"/>
  <c r="AG413" i="1"/>
  <c r="T412" i="1"/>
  <c r="W412" i="1"/>
  <c r="AG412" i="1"/>
  <c r="T411" i="1"/>
  <c r="W411" i="1"/>
  <c r="AG411" i="1"/>
  <c r="T410" i="1"/>
  <c r="W410" i="1"/>
  <c r="AG410" i="1"/>
  <c r="T409" i="1"/>
  <c r="W409" i="1"/>
  <c r="AG409" i="1"/>
  <c r="T408" i="1"/>
  <c r="W408" i="1"/>
  <c r="AG408" i="1"/>
  <c r="T407" i="1"/>
  <c r="W407" i="1"/>
  <c r="AG407" i="1"/>
  <c r="T406" i="1"/>
  <c r="W406" i="1"/>
  <c r="AG406" i="1"/>
  <c r="T405" i="1"/>
  <c r="W405" i="1"/>
  <c r="AG405" i="1"/>
  <c r="T404" i="1"/>
  <c r="W404" i="1"/>
  <c r="AG404" i="1"/>
  <c r="T403" i="1"/>
  <c r="W403" i="1"/>
  <c r="AG403" i="1"/>
  <c r="T402" i="1"/>
  <c r="W402" i="1"/>
  <c r="AG402" i="1"/>
  <c r="T401" i="1"/>
  <c r="W401" i="1"/>
  <c r="AG401" i="1"/>
  <c r="T400" i="1"/>
  <c r="W400" i="1"/>
  <c r="AG400" i="1"/>
  <c r="T399" i="1"/>
  <c r="W399" i="1"/>
  <c r="AG399" i="1"/>
  <c r="T398" i="1"/>
  <c r="W398" i="1"/>
  <c r="AG398" i="1"/>
  <c r="T397" i="1"/>
  <c r="W397" i="1"/>
  <c r="AG397" i="1"/>
  <c r="T396" i="1"/>
  <c r="W396" i="1"/>
  <c r="AG396" i="1"/>
  <c r="T395" i="1"/>
  <c r="W395" i="1"/>
  <c r="AG395" i="1"/>
  <c r="T394" i="1"/>
  <c r="W394" i="1"/>
  <c r="AG394" i="1"/>
  <c r="T393" i="1"/>
  <c r="W393" i="1"/>
  <c r="AG393" i="1"/>
  <c r="T392" i="1"/>
  <c r="W392" i="1"/>
  <c r="AG392" i="1"/>
  <c r="T391" i="1"/>
  <c r="W391" i="1"/>
  <c r="AG391" i="1"/>
  <c r="T390" i="1"/>
  <c r="W390" i="1"/>
  <c r="AG390" i="1"/>
  <c r="T389" i="1"/>
  <c r="W389" i="1"/>
  <c r="AG389" i="1"/>
  <c r="T388" i="1"/>
  <c r="W388" i="1"/>
  <c r="AG388" i="1"/>
  <c r="T387" i="1"/>
  <c r="W387" i="1"/>
  <c r="AG387" i="1"/>
  <c r="T386" i="1"/>
  <c r="W386" i="1"/>
  <c r="AG386" i="1"/>
  <c r="T385" i="1"/>
  <c r="W385" i="1"/>
  <c r="AG385" i="1"/>
  <c r="T384" i="1"/>
  <c r="W384" i="1"/>
  <c r="AG384" i="1"/>
  <c r="T383" i="1"/>
  <c r="W383" i="1"/>
  <c r="AG383" i="1"/>
  <c r="T382" i="1"/>
  <c r="W382" i="1"/>
  <c r="AG382" i="1"/>
  <c r="T381" i="1"/>
  <c r="W381" i="1"/>
  <c r="AG381" i="1"/>
  <c r="T380" i="1"/>
  <c r="W380" i="1"/>
  <c r="AG380" i="1"/>
  <c r="T379" i="1"/>
  <c r="W379" i="1"/>
  <c r="AG379" i="1"/>
  <c r="T378" i="1"/>
  <c r="W378" i="1"/>
  <c r="AG378" i="1"/>
  <c r="T377" i="1"/>
  <c r="W377" i="1"/>
  <c r="AG377" i="1"/>
  <c r="T376" i="1"/>
  <c r="W376" i="1"/>
  <c r="AG376" i="1"/>
  <c r="T375" i="1"/>
  <c r="W375" i="1"/>
  <c r="AG375" i="1"/>
  <c r="T374" i="1"/>
  <c r="W374" i="1"/>
  <c r="AG374" i="1"/>
  <c r="T373" i="1"/>
  <c r="W373" i="1"/>
  <c r="AG373" i="1"/>
  <c r="T372" i="1"/>
  <c r="W372" i="1"/>
  <c r="AG372" i="1"/>
  <c r="T371" i="1"/>
  <c r="W371" i="1"/>
  <c r="AG371" i="1"/>
  <c r="T370" i="1"/>
  <c r="W370" i="1"/>
  <c r="AG370" i="1"/>
  <c r="T369" i="1"/>
  <c r="W369" i="1"/>
  <c r="AG369" i="1"/>
  <c r="T368" i="1"/>
  <c r="W368" i="1"/>
  <c r="AG368" i="1"/>
  <c r="T367" i="1"/>
  <c r="W367" i="1"/>
  <c r="AG367" i="1"/>
  <c r="T366" i="1"/>
  <c r="W366" i="1"/>
  <c r="AG366" i="1"/>
  <c r="T365" i="1"/>
  <c r="W365" i="1"/>
  <c r="AG365" i="1"/>
  <c r="T364" i="1"/>
  <c r="W364" i="1"/>
  <c r="AG364" i="1"/>
  <c r="T363" i="1"/>
  <c r="W363" i="1"/>
  <c r="AG363" i="1"/>
  <c r="T362" i="1"/>
  <c r="W362" i="1"/>
  <c r="AG362" i="1"/>
  <c r="T361" i="1"/>
  <c r="W361" i="1"/>
  <c r="AG361" i="1"/>
  <c r="T360" i="1"/>
  <c r="W360" i="1"/>
  <c r="AG360" i="1"/>
  <c r="T359" i="1"/>
  <c r="W359" i="1"/>
  <c r="AG359" i="1"/>
  <c r="T358" i="1"/>
  <c r="W358" i="1"/>
  <c r="AG358" i="1"/>
  <c r="T357" i="1"/>
  <c r="W357" i="1"/>
  <c r="AG357" i="1"/>
  <c r="T356" i="1"/>
  <c r="W356" i="1"/>
  <c r="AG356" i="1"/>
  <c r="T355" i="1"/>
  <c r="W355" i="1"/>
  <c r="AG355" i="1"/>
  <c r="T354" i="1"/>
  <c r="W354" i="1"/>
  <c r="AG354" i="1"/>
  <c r="T353" i="1"/>
  <c r="W353" i="1"/>
  <c r="AG353" i="1"/>
  <c r="T352" i="1"/>
  <c r="W352" i="1"/>
  <c r="AG352" i="1"/>
  <c r="T351" i="1"/>
  <c r="W351" i="1"/>
  <c r="AG351" i="1"/>
  <c r="T350" i="1"/>
  <c r="W350" i="1"/>
  <c r="AG350" i="1"/>
  <c r="T349" i="1"/>
  <c r="W349" i="1"/>
  <c r="AG349" i="1"/>
  <c r="T348" i="1"/>
  <c r="W348" i="1"/>
  <c r="AG348" i="1"/>
  <c r="T347" i="1"/>
  <c r="W347" i="1"/>
  <c r="AG347" i="1"/>
  <c r="T346" i="1"/>
  <c r="W346" i="1"/>
  <c r="AG346" i="1"/>
  <c r="T345" i="1"/>
  <c r="W345" i="1"/>
  <c r="AG345" i="1"/>
  <c r="T344" i="1"/>
  <c r="W344" i="1"/>
  <c r="AG344" i="1"/>
  <c r="T343" i="1"/>
  <c r="W343" i="1"/>
  <c r="AG343" i="1"/>
  <c r="T342" i="1"/>
  <c r="W342" i="1"/>
  <c r="AG342" i="1"/>
  <c r="T341" i="1"/>
  <c r="W341" i="1"/>
  <c r="AG341" i="1"/>
  <c r="T340" i="1"/>
  <c r="W340" i="1"/>
  <c r="AG340" i="1"/>
  <c r="T339" i="1"/>
  <c r="W339" i="1"/>
  <c r="AG339" i="1"/>
  <c r="T338" i="1"/>
  <c r="W338" i="1"/>
  <c r="AG338" i="1"/>
  <c r="T337" i="1"/>
  <c r="W337" i="1"/>
  <c r="AG337" i="1"/>
  <c r="T336" i="1"/>
  <c r="W336" i="1"/>
  <c r="AG336" i="1"/>
  <c r="T335" i="1"/>
  <c r="W335" i="1"/>
  <c r="AG335" i="1"/>
  <c r="T334" i="1"/>
  <c r="W334" i="1"/>
  <c r="AG334" i="1"/>
  <c r="T333" i="1"/>
  <c r="W333" i="1"/>
  <c r="AG333" i="1"/>
  <c r="T332" i="1"/>
  <c r="W332" i="1"/>
  <c r="AG332" i="1"/>
  <c r="T331" i="1"/>
  <c r="W331" i="1"/>
  <c r="AG331" i="1"/>
  <c r="T330" i="1"/>
  <c r="W330" i="1"/>
  <c r="AG330" i="1"/>
  <c r="T329" i="1"/>
  <c r="W329" i="1"/>
  <c r="AG329" i="1"/>
  <c r="T328" i="1"/>
  <c r="W328" i="1"/>
  <c r="AG328" i="1"/>
  <c r="T327" i="1"/>
  <c r="W327" i="1"/>
  <c r="AG327" i="1"/>
  <c r="T326" i="1"/>
  <c r="W326" i="1"/>
  <c r="AG326" i="1"/>
  <c r="T325" i="1"/>
  <c r="W325" i="1"/>
  <c r="AG325" i="1"/>
  <c r="T324" i="1"/>
  <c r="W324" i="1"/>
  <c r="AG324" i="1"/>
  <c r="T323" i="1"/>
  <c r="W323" i="1"/>
  <c r="AG323" i="1"/>
  <c r="T322" i="1"/>
  <c r="W322" i="1"/>
  <c r="AG322" i="1"/>
  <c r="T321" i="1"/>
  <c r="W321" i="1"/>
  <c r="AG321" i="1"/>
  <c r="T320" i="1"/>
  <c r="W320" i="1"/>
  <c r="AG320" i="1"/>
  <c r="T319" i="1"/>
  <c r="W319" i="1"/>
  <c r="AG319" i="1"/>
  <c r="T318" i="1"/>
  <c r="W318" i="1"/>
  <c r="AG318" i="1"/>
  <c r="T317" i="1"/>
  <c r="W317" i="1"/>
  <c r="AG317" i="1"/>
  <c r="T316" i="1"/>
  <c r="W316" i="1"/>
  <c r="AG316" i="1"/>
  <c r="T315" i="1"/>
  <c r="W315" i="1"/>
  <c r="AG315" i="1"/>
  <c r="T314" i="1"/>
  <c r="W314" i="1"/>
  <c r="AG314" i="1"/>
  <c r="T313" i="1"/>
  <c r="W313" i="1"/>
  <c r="AG313" i="1"/>
  <c r="T312" i="1"/>
  <c r="W312" i="1"/>
  <c r="AG312" i="1"/>
  <c r="T311" i="1"/>
  <c r="W311" i="1"/>
  <c r="AG311" i="1"/>
  <c r="T310" i="1"/>
  <c r="W310" i="1"/>
  <c r="AG310" i="1"/>
  <c r="T309" i="1"/>
  <c r="W309" i="1"/>
  <c r="AG309" i="1"/>
  <c r="T308" i="1"/>
  <c r="W308" i="1"/>
  <c r="AG308" i="1"/>
  <c r="T307" i="1"/>
  <c r="W307" i="1"/>
  <c r="AG307" i="1"/>
  <c r="T306" i="1"/>
  <c r="W306" i="1"/>
  <c r="AG306" i="1"/>
  <c r="T305" i="1"/>
  <c r="W305" i="1"/>
  <c r="AG305" i="1"/>
  <c r="T304" i="1"/>
  <c r="W304" i="1"/>
  <c r="AG304" i="1"/>
  <c r="T303" i="1"/>
  <c r="W303" i="1"/>
  <c r="AG303" i="1"/>
  <c r="T302" i="1"/>
  <c r="W302" i="1"/>
  <c r="AG302" i="1"/>
  <c r="T301" i="1"/>
  <c r="W301" i="1"/>
  <c r="AG301" i="1"/>
  <c r="T300" i="1"/>
  <c r="W300" i="1"/>
  <c r="AG300" i="1"/>
  <c r="T299" i="1"/>
  <c r="W299" i="1"/>
  <c r="AG299" i="1"/>
  <c r="T298" i="1"/>
  <c r="W298" i="1"/>
  <c r="AG298" i="1"/>
  <c r="T297" i="1"/>
  <c r="W297" i="1"/>
  <c r="AG297" i="1"/>
  <c r="T296" i="1"/>
  <c r="W296" i="1"/>
  <c r="AG296" i="1"/>
  <c r="T295" i="1"/>
  <c r="W295" i="1"/>
  <c r="AG295" i="1"/>
  <c r="T294" i="1"/>
  <c r="W294" i="1"/>
  <c r="AG294" i="1"/>
  <c r="T293" i="1"/>
  <c r="W293" i="1"/>
  <c r="AG293" i="1"/>
  <c r="T292" i="1"/>
  <c r="W292" i="1"/>
  <c r="AG292" i="1"/>
  <c r="T291" i="1"/>
  <c r="W291" i="1"/>
  <c r="AG291" i="1"/>
  <c r="T290" i="1"/>
  <c r="W290" i="1"/>
  <c r="AG290" i="1"/>
  <c r="T289" i="1"/>
  <c r="W289" i="1"/>
  <c r="AG289" i="1"/>
  <c r="T288" i="1"/>
  <c r="W288" i="1"/>
  <c r="AG288" i="1"/>
  <c r="T287" i="1"/>
  <c r="W287" i="1"/>
  <c r="AG287" i="1"/>
  <c r="T286" i="1"/>
  <c r="W286" i="1"/>
  <c r="AG286" i="1"/>
  <c r="T285" i="1"/>
  <c r="W285" i="1"/>
  <c r="AG285" i="1"/>
  <c r="T284" i="1"/>
  <c r="W284" i="1"/>
  <c r="AG284" i="1"/>
  <c r="T283" i="1"/>
  <c r="W283" i="1"/>
  <c r="AG283" i="1"/>
  <c r="T282" i="1"/>
  <c r="W282" i="1"/>
  <c r="AG282" i="1"/>
  <c r="T281" i="1"/>
  <c r="W281" i="1"/>
  <c r="AG281" i="1"/>
  <c r="T280" i="1"/>
  <c r="W280" i="1"/>
  <c r="AG280" i="1"/>
  <c r="T279" i="1"/>
  <c r="W279" i="1"/>
  <c r="AG279" i="1"/>
  <c r="T278" i="1"/>
  <c r="W278" i="1"/>
  <c r="AG278" i="1"/>
  <c r="T277" i="1"/>
  <c r="W277" i="1"/>
  <c r="AG277" i="1"/>
  <c r="T276" i="1"/>
  <c r="W276" i="1"/>
  <c r="AG276" i="1"/>
  <c r="T275" i="1"/>
  <c r="W275" i="1"/>
  <c r="AG275" i="1"/>
  <c r="T274" i="1"/>
  <c r="W274" i="1"/>
  <c r="AG274" i="1"/>
  <c r="T273" i="1"/>
  <c r="W273" i="1"/>
  <c r="AG273" i="1"/>
  <c r="T272" i="1"/>
  <c r="W272" i="1"/>
  <c r="AG272" i="1"/>
  <c r="T271" i="1"/>
  <c r="W271" i="1"/>
  <c r="AG271" i="1"/>
  <c r="T270" i="1"/>
  <c r="W270" i="1"/>
  <c r="AG270" i="1"/>
  <c r="T269" i="1"/>
  <c r="W269" i="1"/>
  <c r="AG269" i="1"/>
  <c r="T268" i="1"/>
  <c r="W268" i="1"/>
  <c r="AG268" i="1"/>
  <c r="T267" i="1"/>
  <c r="W267" i="1"/>
  <c r="AG267" i="1"/>
  <c r="T266" i="1"/>
  <c r="W266" i="1"/>
  <c r="AG266" i="1"/>
  <c r="T265" i="1"/>
  <c r="W265" i="1"/>
  <c r="AG265" i="1"/>
  <c r="T264" i="1"/>
  <c r="W264" i="1"/>
  <c r="AG264" i="1"/>
  <c r="T263" i="1"/>
  <c r="W263" i="1"/>
  <c r="AG263" i="1"/>
  <c r="T262" i="1"/>
  <c r="W262" i="1"/>
  <c r="AG262" i="1"/>
  <c r="T261" i="1"/>
  <c r="W261" i="1"/>
  <c r="AG261" i="1"/>
  <c r="T260" i="1"/>
  <c r="W260" i="1"/>
  <c r="AG260" i="1"/>
  <c r="T259" i="1"/>
  <c r="W259" i="1"/>
  <c r="AG259" i="1"/>
  <c r="T258" i="1"/>
  <c r="W258" i="1"/>
  <c r="AG258" i="1"/>
  <c r="T257" i="1"/>
  <c r="W257" i="1"/>
  <c r="AG257" i="1"/>
  <c r="T256" i="1"/>
  <c r="W256" i="1"/>
  <c r="AG256" i="1"/>
  <c r="T255" i="1"/>
  <c r="W255" i="1"/>
  <c r="AG255" i="1"/>
  <c r="T254" i="1"/>
  <c r="W254" i="1"/>
  <c r="AG254" i="1"/>
  <c r="T253" i="1"/>
  <c r="W253" i="1"/>
  <c r="AG253" i="1"/>
  <c r="T252" i="1"/>
  <c r="W252" i="1"/>
  <c r="AG252" i="1"/>
  <c r="T251" i="1"/>
  <c r="W251" i="1"/>
  <c r="AG251" i="1"/>
  <c r="T250" i="1"/>
  <c r="W250" i="1"/>
  <c r="AG250" i="1"/>
  <c r="T249" i="1"/>
  <c r="W249" i="1"/>
  <c r="AG249" i="1"/>
  <c r="T248" i="1"/>
  <c r="W248" i="1"/>
  <c r="AG248" i="1"/>
  <c r="T247" i="1"/>
  <c r="W247" i="1"/>
  <c r="AG247" i="1"/>
  <c r="T246" i="1"/>
  <c r="W246" i="1"/>
  <c r="AG246" i="1"/>
  <c r="T245" i="1"/>
  <c r="W245" i="1"/>
  <c r="AG245" i="1"/>
  <c r="T244" i="1"/>
  <c r="W244" i="1"/>
  <c r="AG244" i="1"/>
  <c r="T243" i="1"/>
  <c r="W243" i="1"/>
  <c r="AG243" i="1"/>
  <c r="T242" i="1"/>
  <c r="W242" i="1"/>
  <c r="AG242" i="1"/>
  <c r="T241" i="1"/>
  <c r="W241" i="1"/>
  <c r="AG241" i="1"/>
  <c r="T240" i="1"/>
  <c r="W240" i="1"/>
  <c r="AG240" i="1"/>
  <c r="T239" i="1"/>
  <c r="W239" i="1"/>
  <c r="AG239" i="1"/>
  <c r="T238" i="1"/>
  <c r="W238" i="1"/>
  <c r="AG238" i="1"/>
  <c r="T237" i="1"/>
  <c r="W237" i="1"/>
  <c r="AG237" i="1"/>
  <c r="T236" i="1"/>
  <c r="W236" i="1"/>
  <c r="AG236" i="1"/>
  <c r="T235" i="1"/>
  <c r="W235" i="1"/>
  <c r="AG235" i="1"/>
  <c r="T234" i="1"/>
  <c r="W234" i="1"/>
  <c r="AG234" i="1"/>
  <c r="T233" i="1"/>
  <c r="W233" i="1"/>
  <c r="AG233" i="1"/>
  <c r="T232" i="1"/>
  <c r="W232" i="1"/>
  <c r="AG232" i="1"/>
  <c r="T231" i="1"/>
  <c r="W231" i="1"/>
  <c r="AG231" i="1"/>
  <c r="T230" i="1"/>
  <c r="W230" i="1"/>
  <c r="AG230" i="1"/>
  <c r="T229" i="1"/>
  <c r="W229" i="1"/>
  <c r="AG229" i="1"/>
  <c r="T228" i="1"/>
  <c r="W228" i="1"/>
  <c r="AG228" i="1"/>
  <c r="T227" i="1"/>
  <c r="W227" i="1"/>
  <c r="AG227" i="1"/>
  <c r="T226" i="1"/>
  <c r="W226" i="1"/>
  <c r="AG226" i="1"/>
  <c r="T225" i="1"/>
  <c r="W225" i="1"/>
  <c r="AG225" i="1"/>
  <c r="T224" i="1"/>
  <c r="W224" i="1"/>
  <c r="AG224" i="1"/>
  <c r="T223" i="1"/>
  <c r="W223" i="1"/>
  <c r="AG223" i="1"/>
  <c r="T222" i="1"/>
  <c r="W222" i="1"/>
  <c r="AG222" i="1"/>
  <c r="T221" i="1"/>
  <c r="W221" i="1"/>
  <c r="AG221" i="1"/>
  <c r="T220" i="1"/>
  <c r="W220" i="1"/>
  <c r="AG220" i="1"/>
  <c r="T219" i="1"/>
  <c r="W219" i="1"/>
  <c r="AG219" i="1"/>
  <c r="T218" i="1"/>
  <c r="W218" i="1"/>
  <c r="AG218" i="1"/>
  <c r="T217" i="1"/>
  <c r="W217" i="1"/>
  <c r="AG217" i="1"/>
  <c r="T216" i="1"/>
  <c r="W216" i="1"/>
  <c r="AG216" i="1"/>
  <c r="T215" i="1"/>
  <c r="W215" i="1"/>
  <c r="AG215" i="1"/>
  <c r="T214" i="1"/>
  <c r="W214" i="1"/>
  <c r="AG214" i="1"/>
  <c r="T213" i="1"/>
  <c r="W213" i="1"/>
  <c r="AG213" i="1"/>
  <c r="T212" i="1"/>
  <c r="W212" i="1"/>
  <c r="AG212" i="1"/>
  <c r="T211" i="1"/>
  <c r="W211" i="1"/>
  <c r="AG211" i="1"/>
  <c r="T210" i="1"/>
  <c r="W210" i="1"/>
  <c r="AG210" i="1"/>
  <c r="T209" i="1"/>
  <c r="W209" i="1"/>
  <c r="AG209" i="1"/>
  <c r="T208" i="1"/>
  <c r="W208" i="1"/>
  <c r="AG208" i="1"/>
  <c r="T207" i="1"/>
  <c r="W207" i="1"/>
  <c r="AG207" i="1"/>
  <c r="T206" i="1"/>
  <c r="W206" i="1"/>
  <c r="AG206" i="1"/>
  <c r="T205" i="1"/>
  <c r="W205" i="1"/>
  <c r="AG205" i="1"/>
  <c r="T204" i="1"/>
  <c r="W204" i="1"/>
  <c r="AG204" i="1"/>
  <c r="T203" i="1"/>
  <c r="W203" i="1"/>
  <c r="AG203" i="1"/>
  <c r="T202" i="1"/>
  <c r="W202" i="1"/>
  <c r="AG202" i="1"/>
  <c r="T201" i="1"/>
  <c r="W201" i="1"/>
  <c r="AG201" i="1"/>
  <c r="T200" i="1"/>
  <c r="W200" i="1"/>
  <c r="AG200" i="1"/>
  <c r="T199" i="1"/>
  <c r="W199" i="1"/>
  <c r="AG199" i="1"/>
  <c r="T198" i="1"/>
  <c r="W198" i="1"/>
  <c r="AG198" i="1"/>
  <c r="T197" i="1"/>
  <c r="W197" i="1"/>
  <c r="AG197" i="1"/>
  <c r="T196" i="1"/>
  <c r="W196" i="1"/>
  <c r="AG196" i="1"/>
  <c r="T195" i="1"/>
  <c r="W195" i="1"/>
  <c r="AG195" i="1"/>
  <c r="T194" i="1"/>
  <c r="W194" i="1"/>
  <c r="AG194" i="1"/>
  <c r="T193" i="1"/>
  <c r="W193" i="1"/>
  <c r="AG193" i="1"/>
  <c r="T192" i="1"/>
  <c r="W192" i="1"/>
  <c r="AG192" i="1"/>
  <c r="T191" i="1"/>
  <c r="W191" i="1"/>
  <c r="AG191" i="1"/>
  <c r="T190" i="1"/>
  <c r="W190" i="1"/>
  <c r="AG190" i="1"/>
  <c r="T189" i="1"/>
  <c r="W189" i="1"/>
  <c r="AG189" i="1"/>
  <c r="T188" i="1"/>
  <c r="W188" i="1"/>
  <c r="AG188" i="1"/>
  <c r="T187" i="1"/>
  <c r="W187" i="1"/>
  <c r="AG187" i="1"/>
  <c r="T186" i="1"/>
  <c r="W186" i="1"/>
  <c r="AG186" i="1"/>
  <c r="T185" i="1"/>
  <c r="W185" i="1"/>
  <c r="AG185" i="1"/>
  <c r="T184" i="1"/>
  <c r="W184" i="1"/>
  <c r="AG184" i="1"/>
  <c r="T183" i="1"/>
  <c r="W183" i="1"/>
  <c r="AG183" i="1"/>
  <c r="T182" i="1"/>
  <c r="W182" i="1"/>
  <c r="AG182" i="1"/>
  <c r="T181" i="1"/>
  <c r="W181" i="1"/>
  <c r="AG181" i="1"/>
  <c r="T180" i="1"/>
  <c r="W180" i="1"/>
  <c r="AG180" i="1"/>
  <c r="T179" i="1"/>
  <c r="W179" i="1"/>
  <c r="AG179" i="1"/>
  <c r="T178" i="1"/>
  <c r="W178" i="1"/>
  <c r="AG178" i="1"/>
  <c r="T177" i="1"/>
  <c r="W177" i="1"/>
  <c r="AG177" i="1"/>
  <c r="T176" i="1"/>
  <c r="W176" i="1"/>
  <c r="AG176" i="1"/>
  <c r="T175" i="1"/>
  <c r="W175" i="1"/>
  <c r="AG175" i="1"/>
  <c r="T174" i="1"/>
  <c r="W174" i="1"/>
  <c r="AG174" i="1"/>
  <c r="T173" i="1"/>
  <c r="W173" i="1"/>
  <c r="AG173" i="1"/>
  <c r="T172" i="1"/>
  <c r="W172" i="1"/>
  <c r="AG172" i="1"/>
  <c r="T171" i="1"/>
  <c r="W171" i="1"/>
  <c r="AG171" i="1"/>
  <c r="T170" i="1"/>
  <c r="W170" i="1"/>
  <c r="AG170" i="1"/>
  <c r="T169" i="1"/>
  <c r="W169" i="1"/>
  <c r="AG169" i="1"/>
  <c r="T168" i="1"/>
  <c r="W168" i="1"/>
  <c r="AG168" i="1"/>
  <c r="T167" i="1"/>
  <c r="W167" i="1"/>
  <c r="AG167" i="1"/>
  <c r="T166" i="1"/>
  <c r="W166" i="1"/>
  <c r="AG166" i="1"/>
  <c r="T165" i="1"/>
  <c r="W165" i="1"/>
  <c r="AG165" i="1"/>
  <c r="T164" i="1"/>
  <c r="W164" i="1"/>
  <c r="AG164" i="1"/>
  <c r="T163" i="1"/>
  <c r="W163" i="1"/>
  <c r="AG163" i="1"/>
  <c r="T162" i="1"/>
  <c r="W162" i="1"/>
  <c r="AG162" i="1"/>
  <c r="T161" i="1"/>
  <c r="W161" i="1"/>
  <c r="AG161" i="1"/>
  <c r="T160" i="1"/>
  <c r="W160" i="1"/>
  <c r="AG160" i="1"/>
  <c r="T159" i="1"/>
  <c r="W159" i="1"/>
  <c r="AG159" i="1"/>
  <c r="T158" i="1"/>
  <c r="W158" i="1"/>
  <c r="AG158" i="1"/>
  <c r="T157" i="1"/>
  <c r="W157" i="1"/>
  <c r="AG157" i="1"/>
  <c r="T156" i="1"/>
  <c r="W156" i="1"/>
  <c r="AG156" i="1"/>
  <c r="T155" i="1"/>
  <c r="W155" i="1"/>
  <c r="AG155" i="1"/>
  <c r="T154" i="1"/>
  <c r="W154" i="1"/>
  <c r="AG154" i="1"/>
  <c r="T153" i="1"/>
  <c r="W153" i="1"/>
  <c r="AG153" i="1"/>
  <c r="T152" i="1"/>
  <c r="W152" i="1"/>
  <c r="AG152" i="1"/>
  <c r="T151" i="1"/>
  <c r="W151" i="1"/>
  <c r="AG151" i="1"/>
  <c r="T150" i="1"/>
  <c r="W150" i="1"/>
  <c r="AG150" i="1"/>
  <c r="T149" i="1"/>
  <c r="W149" i="1"/>
  <c r="AG149" i="1"/>
  <c r="T148" i="1"/>
  <c r="W148" i="1"/>
  <c r="AG148" i="1"/>
  <c r="T147" i="1"/>
  <c r="W147" i="1"/>
  <c r="AG147" i="1"/>
  <c r="T146" i="1"/>
  <c r="W146" i="1"/>
  <c r="AG146" i="1"/>
  <c r="T145" i="1"/>
  <c r="W145" i="1"/>
  <c r="AG145" i="1"/>
  <c r="T144" i="1"/>
  <c r="W144" i="1"/>
  <c r="AG144" i="1"/>
  <c r="T143" i="1"/>
  <c r="W143" i="1"/>
  <c r="AG143" i="1"/>
  <c r="T142" i="1"/>
  <c r="W142" i="1"/>
  <c r="AG142" i="1"/>
  <c r="T141" i="1"/>
  <c r="W141" i="1"/>
  <c r="AG141" i="1"/>
  <c r="T140" i="1"/>
  <c r="W140" i="1"/>
  <c r="AG140" i="1"/>
  <c r="T139" i="1"/>
  <c r="W139" i="1"/>
  <c r="AG139" i="1"/>
  <c r="T138" i="1"/>
  <c r="W138" i="1"/>
  <c r="AG138" i="1"/>
  <c r="T137" i="1"/>
  <c r="W137" i="1"/>
  <c r="AG137" i="1"/>
  <c r="T136" i="1"/>
  <c r="W136" i="1"/>
  <c r="AG136" i="1"/>
  <c r="T135" i="1"/>
  <c r="W135" i="1"/>
  <c r="AG135" i="1"/>
  <c r="T134" i="1"/>
  <c r="W134" i="1"/>
  <c r="AG134" i="1"/>
  <c r="T133" i="1"/>
  <c r="W133" i="1"/>
  <c r="AG133" i="1"/>
  <c r="T132" i="1"/>
  <c r="W132" i="1"/>
  <c r="AG132" i="1"/>
  <c r="T131" i="1"/>
  <c r="W131" i="1"/>
  <c r="AG131" i="1"/>
  <c r="T130" i="1"/>
  <c r="W130" i="1"/>
  <c r="AG130" i="1"/>
  <c r="T129" i="1"/>
  <c r="W129" i="1"/>
  <c r="AG129" i="1"/>
  <c r="T128" i="1"/>
  <c r="W128" i="1"/>
  <c r="AG128" i="1"/>
  <c r="T127" i="1"/>
  <c r="W127" i="1"/>
  <c r="AG127" i="1"/>
  <c r="T126" i="1"/>
  <c r="W126" i="1"/>
  <c r="AG126" i="1"/>
  <c r="T125" i="1"/>
  <c r="W125" i="1"/>
  <c r="AG125" i="1"/>
  <c r="T124" i="1"/>
  <c r="W124" i="1"/>
  <c r="AG124" i="1"/>
  <c r="T123" i="1"/>
  <c r="W123" i="1"/>
  <c r="AG123" i="1"/>
  <c r="T122" i="1"/>
  <c r="W122" i="1"/>
  <c r="AG122" i="1"/>
  <c r="T121" i="1"/>
  <c r="W121" i="1"/>
  <c r="AG121" i="1"/>
  <c r="T120" i="1"/>
  <c r="W120" i="1"/>
  <c r="AG120" i="1"/>
  <c r="T119" i="1"/>
  <c r="W119" i="1"/>
  <c r="AG119" i="1"/>
  <c r="T118" i="1"/>
  <c r="W118" i="1"/>
  <c r="AG118" i="1"/>
  <c r="T117" i="1"/>
  <c r="W117" i="1"/>
  <c r="AG117" i="1"/>
  <c r="T116" i="1"/>
  <c r="W116" i="1"/>
  <c r="AG116" i="1"/>
  <c r="T115" i="1"/>
  <c r="W115" i="1"/>
  <c r="AG115" i="1"/>
  <c r="T114" i="1"/>
  <c r="W114" i="1"/>
  <c r="AG114" i="1"/>
  <c r="T113" i="1"/>
  <c r="W113" i="1"/>
  <c r="AG113" i="1"/>
  <c r="T112" i="1"/>
  <c r="W112" i="1"/>
  <c r="AG112" i="1"/>
  <c r="T111" i="1"/>
  <c r="W111" i="1"/>
  <c r="AG111" i="1"/>
  <c r="T110" i="1"/>
  <c r="W110" i="1"/>
  <c r="AG110" i="1"/>
  <c r="T109" i="1"/>
  <c r="W109" i="1"/>
  <c r="AG109" i="1"/>
  <c r="T108" i="1"/>
  <c r="W108" i="1"/>
  <c r="AG108" i="1"/>
  <c r="T107" i="1"/>
  <c r="W107" i="1"/>
  <c r="AG107" i="1"/>
  <c r="T106" i="1"/>
  <c r="W106" i="1"/>
  <c r="AG106" i="1"/>
  <c r="T105" i="1"/>
  <c r="W105" i="1"/>
  <c r="AG105" i="1"/>
  <c r="T104" i="1"/>
  <c r="W104" i="1"/>
  <c r="AG104" i="1"/>
  <c r="T103" i="1"/>
  <c r="W103" i="1"/>
  <c r="AG103" i="1"/>
  <c r="T102" i="1"/>
  <c r="W102" i="1"/>
  <c r="AG102" i="1"/>
  <c r="T101" i="1"/>
  <c r="W101" i="1"/>
  <c r="AG101" i="1"/>
  <c r="T100" i="1"/>
  <c r="W100" i="1"/>
  <c r="AG100" i="1"/>
  <c r="T99" i="1"/>
  <c r="W99" i="1"/>
  <c r="AG99" i="1"/>
  <c r="T98" i="1"/>
  <c r="W98" i="1"/>
  <c r="AG98" i="1"/>
  <c r="T97" i="1"/>
  <c r="W97" i="1"/>
  <c r="AG97" i="1"/>
  <c r="T96" i="1"/>
  <c r="W96" i="1"/>
  <c r="AG96" i="1"/>
  <c r="T95" i="1"/>
  <c r="W95" i="1"/>
  <c r="AG95" i="1"/>
  <c r="T94" i="1"/>
  <c r="W94" i="1"/>
  <c r="AG94" i="1"/>
  <c r="T93" i="1"/>
  <c r="W93" i="1"/>
  <c r="AG93" i="1"/>
  <c r="T92" i="1"/>
  <c r="W92" i="1"/>
  <c r="AG92" i="1"/>
  <c r="T91" i="1"/>
  <c r="W91" i="1"/>
  <c r="AG91" i="1"/>
  <c r="T90" i="1"/>
  <c r="W90" i="1"/>
  <c r="AG90" i="1"/>
  <c r="T89" i="1"/>
  <c r="W89" i="1"/>
  <c r="AG89" i="1"/>
  <c r="T88" i="1"/>
  <c r="W88" i="1"/>
  <c r="AG88" i="1"/>
  <c r="T87" i="1"/>
  <c r="W87" i="1"/>
  <c r="AG87" i="1"/>
  <c r="T86" i="1"/>
  <c r="W86" i="1"/>
  <c r="AG86" i="1"/>
  <c r="T85" i="1"/>
  <c r="W85" i="1"/>
  <c r="AG85" i="1"/>
  <c r="T84" i="1"/>
  <c r="W84" i="1"/>
  <c r="AG84" i="1"/>
  <c r="T83" i="1"/>
  <c r="W83" i="1"/>
  <c r="AG83" i="1"/>
  <c r="T82" i="1"/>
  <c r="W82" i="1"/>
  <c r="AG82" i="1"/>
  <c r="T81" i="1"/>
  <c r="W81" i="1"/>
  <c r="AG81" i="1"/>
  <c r="T80" i="1"/>
  <c r="W80" i="1"/>
  <c r="AG80" i="1"/>
  <c r="T79" i="1"/>
  <c r="W79" i="1"/>
  <c r="AG79" i="1"/>
  <c r="T78" i="1"/>
  <c r="W78" i="1"/>
  <c r="AG78" i="1"/>
  <c r="T77" i="1"/>
  <c r="W77" i="1"/>
  <c r="AG77" i="1"/>
  <c r="T76" i="1"/>
  <c r="W76" i="1"/>
  <c r="AG76" i="1"/>
  <c r="T75" i="1"/>
  <c r="W75" i="1"/>
  <c r="AG75" i="1"/>
  <c r="T74" i="1"/>
  <c r="W74" i="1"/>
  <c r="AG74" i="1"/>
  <c r="T73" i="1"/>
  <c r="W73" i="1"/>
  <c r="AG73" i="1"/>
  <c r="T72" i="1"/>
  <c r="W72" i="1"/>
  <c r="AG72" i="1"/>
  <c r="T71" i="1"/>
  <c r="W71" i="1"/>
  <c r="AG71" i="1"/>
  <c r="T70" i="1"/>
  <c r="W70" i="1"/>
  <c r="AG70" i="1"/>
  <c r="T69" i="1"/>
  <c r="W69" i="1"/>
  <c r="AG69" i="1"/>
  <c r="T68" i="1"/>
  <c r="W68" i="1"/>
  <c r="AG68" i="1"/>
  <c r="T67" i="1"/>
  <c r="W67" i="1"/>
  <c r="AG67" i="1"/>
  <c r="T66" i="1"/>
  <c r="W66" i="1"/>
  <c r="AG66" i="1"/>
  <c r="T65" i="1"/>
  <c r="W65" i="1"/>
  <c r="AG65" i="1"/>
  <c r="T64" i="1"/>
  <c r="W64" i="1"/>
  <c r="AG64" i="1"/>
  <c r="T63" i="1"/>
  <c r="W63" i="1"/>
  <c r="AG63" i="1"/>
  <c r="T62" i="1"/>
  <c r="W62" i="1"/>
  <c r="AG62" i="1"/>
  <c r="T61" i="1"/>
  <c r="W61" i="1"/>
  <c r="AG61" i="1"/>
  <c r="T60" i="1"/>
  <c r="W60" i="1"/>
  <c r="AG60" i="1"/>
  <c r="T59" i="1"/>
  <c r="W59" i="1"/>
  <c r="AG59" i="1"/>
  <c r="T58" i="1"/>
  <c r="W58" i="1"/>
  <c r="AG58" i="1"/>
  <c r="T57" i="1"/>
  <c r="W57" i="1"/>
  <c r="AG57" i="1"/>
  <c r="T56" i="1"/>
  <c r="W56" i="1"/>
  <c r="AG56" i="1"/>
  <c r="T55" i="1"/>
  <c r="W55" i="1"/>
  <c r="AG55" i="1"/>
  <c r="T54" i="1"/>
  <c r="W54" i="1"/>
  <c r="AG54" i="1"/>
  <c r="T53" i="1"/>
  <c r="W53" i="1"/>
  <c r="AG53" i="1"/>
  <c r="T52" i="1"/>
  <c r="W52" i="1"/>
  <c r="AG52" i="1"/>
  <c r="T51" i="1"/>
  <c r="W51" i="1"/>
  <c r="AG51" i="1"/>
  <c r="T50" i="1"/>
  <c r="W50" i="1"/>
  <c r="AG50" i="1"/>
  <c r="T49" i="1"/>
  <c r="W49" i="1"/>
  <c r="AG49" i="1"/>
  <c r="T48" i="1"/>
  <c r="W48" i="1"/>
  <c r="AG48" i="1"/>
  <c r="T47" i="1"/>
  <c r="W47" i="1"/>
  <c r="AG47" i="1"/>
  <c r="T46" i="1"/>
  <c r="W46" i="1"/>
  <c r="AG46" i="1"/>
  <c r="T45" i="1"/>
  <c r="W45" i="1"/>
  <c r="AG45" i="1"/>
  <c r="T44" i="1"/>
  <c r="W44" i="1"/>
  <c r="AG44" i="1"/>
  <c r="T43" i="1"/>
  <c r="W43" i="1"/>
  <c r="AG43" i="1"/>
  <c r="T42" i="1"/>
  <c r="W42" i="1"/>
  <c r="AG42" i="1"/>
  <c r="T41" i="1"/>
  <c r="W41" i="1"/>
  <c r="AG41" i="1"/>
  <c r="T40" i="1"/>
  <c r="W40" i="1"/>
  <c r="AG40" i="1"/>
  <c r="T39" i="1"/>
  <c r="W39" i="1"/>
  <c r="AG39" i="1"/>
  <c r="T38" i="1"/>
  <c r="W38" i="1"/>
  <c r="AG38" i="1"/>
  <c r="T37" i="1"/>
  <c r="W37" i="1"/>
  <c r="AG37" i="1"/>
  <c r="T36" i="1"/>
  <c r="W36" i="1"/>
  <c r="AG36" i="1"/>
  <c r="T35" i="1"/>
  <c r="W35" i="1"/>
  <c r="AG35" i="1"/>
  <c r="T34" i="1"/>
  <c r="W34" i="1"/>
  <c r="AG34" i="1"/>
  <c r="T33" i="1"/>
  <c r="W33" i="1"/>
  <c r="AG33" i="1"/>
  <c r="T32" i="1"/>
  <c r="W32" i="1"/>
  <c r="AG32" i="1"/>
  <c r="T31" i="1"/>
  <c r="W31" i="1"/>
  <c r="AG31" i="1"/>
  <c r="T30" i="1"/>
  <c r="W30" i="1"/>
  <c r="AG30" i="1"/>
  <c r="T29" i="1"/>
  <c r="W29" i="1"/>
  <c r="AG29" i="1"/>
  <c r="T28" i="1"/>
  <c r="W28" i="1"/>
  <c r="AG28" i="1"/>
  <c r="T27" i="1"/>
  <c r="W27" i="1"/>
  <c r="AG27" i="1"/>
  <c r="T26" i="1"/>
  <c r="W26" i="1"/>
  <c r="AG26" i="1"/>
  <c r="T25" i="1"/>
  <c r="W25" i="1"/>
  <c r="AG25" i="1"/>
  <c r="T24" i="1"/>
  <c r="W24" i="1"/>
  <c r="AG24" i="1"/>
  <c r="T23" i="1"/>
  <c r="W23" i="1"/>
  <c r="AG23" i="1"/>
  <c r="T22" i="1"/>
  <c r="W22" i="1"/>
  <c r="AG22" i="1"/>
  <c r="T21" i="1"/>
  <c r="W21" i="1"/>
  <c r="AG21" i="1"/>
  <c r="T20" i="1"/>
  <c r="W20" i="1"/>
  <c r="AG20" i="1"/>
  <c r="T19" i="1"/>
  <c r="W19" i="1"/>
  <c r="AG19" i="1"/>
  <c r="T18" i="1"/>
  <c r="W18" i="1"/>
  <c r="AG18" i="1"/>
  <c r="T17" i="1"/>
  <c r="W17" i="1"/>
  <c r="AG17" i="1"/>
  <c r="T16" i="1"/>
  <c r="W16" i="1"/>
  <c r="AG16" i="1"/>
  <c r="T15" i="1"/>
  <c r="W15" i="1"/>
  <c r="AG15" i="1"/>
  <c r="T14" i="1"/>
  <c r="W14" i="1"/>
  <c r="AG14" i="1"/>
  <c r="T13" i="1"/>
  <c r="W13" i="1"/>
  <c r="AG13" i="1"/>
  <c r="T12" i="1"/>
  <c r="W12" i="1"/>
  <c r="AG12" i="1"/>
  <c r="T11" i="1"/>
  <c r="W11" i="1"/>
  <c r="AG11" i="1"/>
  <c r="T10" i="1"/>
  <c r="W10" i="1"/>
  <c r="AG10" i="1"/>
  <c r="T9" i="1"/>
  <c r="W9" i="1"/>
  <c r="AG9" i="1"/>
  <c r="T8" i="1"/>
  <c r="W8" i="1"/>
  <c r="AG8" i="1"/>
  <c r="T7" i="1"/>
  <c r="W7" i="1"/>
  <c r="AG7" i="1"/>
  <c r="T6" i="1"/>
  <c r="W6" i="1"/>
  <c r="AG6" i="1"/>
  <c r="T5" i="1"/>
  <c r="W5" i="1"/>
  <c r="AG5" i="1"/>
  <c r="T4" i="1"/>
  <c r="W4" i="1"/>
  <c r="AG4" i="1"/>
  <c r="T3" i="1"/>
  <c r="W3" i="1"/>
  <c r="AG3" i="1"/>
  <c r="A4" i="9"/>
  <c r="A5" i="9"/>
  <c r="A6" i="9"/>
  <c r="C3" i="1"/>
  <c r="AB3" i="1"/>
  <c r="C4" i="1"/>
  <c r="AB4" i="1"/>
  <c r="C5" i="1"/>
  <c r="AB5" i="1"/>
  <c r="C6" i="1"/>
  <c r="AB6" i="1"/>
  <c r="C7" i="1"/>
  <c r="AB7" i="1"/>
  <c r="C8" i="1"/>
  <c r="AB8" i="1"/>
  <c r="C9" i="1"/>
  <c r="AB9" i="1"/>
  <c r="C10" i="1"/>
  <c r="AB10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C30" i="1"/>
  <c r="AB30" i="1"/>
  <c r="C31" i="1"/>
  <c r="AB31" i="1"/>
  <c r="C32" i="1"/>
  <c r="AB32" i="1"/>
  <c r="C33" i="1"/>
  <c r="AB33" i="1"/>
  <c r="C34" i="1"/>
  <c r="AB34" i="1"/>
  <c r="C35" i="1"/>
  <c r="AB35" i="1"/>
  <c r="C36" i="1"/>
  <c r="AB36" i="1"/>
  <c r="C37" i="1"/>
  <c r="AB37" i="1"/>
  <c r="C38" i="1"/>
  <c r="AB38" i="1"/>
  <c r="C39" i="1"/>
  <c r="AB39" i="1"/>
  <c r="C40" i="1"/>
  <c r="AB40" i="1"/>
  <c r="C41" i="1"/>
  <c r="AB41" i="1"/>
  <c r="C42" i="1"/>
  <c r="AB42" i="1"/>
  <c r="C43" i="1"/>
  <c r="AB43" i="1"/>
  <c r="C44" i="1"/>
  <c r="AB44" i="1"/>
  <c r="C45" i="1"/>
  <c r="AB45" i="1"/>
  <c r="C46" i="1"/>
  <c r="AB46" i="1"/>
  <c r="C47" i="1"/>
  <c r="AB47" i="1"/>
  <c r="C48" i="1"/>
  <c r="AB48" i="1"/>
  <c r="C49" i="1"/>
  <c r="AB49" i="1"/>
  <c r="C50" i="1"/>
  <c r="AB50" i="1"/>
  <c r="C51" i="1"/>
  <c r="AB51" i="1"/>
  <c r="C52" i="1"/>
  <c r="AB52" i="1"/>
  <c r="C53" i="1"/>
  <c r="AB53" i="1"/>
  <c r="C54" i="1"/>
  <c r="AB54" i="1"/>
  <c r="C55" i="1"/>
  <c r="AB55" i="1"/>
  <c r="C56" i="1"/>
  <c r="AB56" i="1"/>
  <c r="C57" i="1"/>
  <c r="AB57" i="1"/>
  <c r="C58" i="1"/>
  <c r="AB58" i="1"/>
  <c r="C59" i="1"/>
  <c r="AB59" i="1"/>
  <c r="C60" i="1"/>
  <c r="AB60" i="1"/>
  <c r="C61" i="1"/>
  <c r="AB61" i="1"/>
  <c r="C62" i="1"/>
  <c r="AB62" i="1"/>
  <c r="C63" i="1"/>
  <c r="AB63" i="1"/>
  <c r="C64" i="1"/>
  <c r="AB64" i="1"/>
  <c r="C65" i="1"/>
  <c r="AB65" i="1"/>
  <c r="C66" i="1"/>
  <c r="AB66" i="1"/>
  <c r="C67" i="1"/>
  <c r="AB67" i="1"/>
  <c r="C68" i="1"/>
  <c r="AB68" i="1"/>
  <c r="C69" i="1"/>
  <c r="AB69" i="1"/>
  <c r="C70" i="1"/>
  <c r="AB70" i="1"/>
  <c r="C71" i="1"/>
  <c r="AB71" i="1"/>
  <c r="C72" i="1"/>
  <c r="AB72" i="1"/>
  <c r="C73" i="1"/>
  <c r="AB73" i="1"/>
  <c r="C74" i="1"/>
  <c r="AB74" i="1"/>
  <c r="C75" i="1"/>
  <c r="AB75" i="1"/>
  <c r="C76" i="1"/>
  <c r="AB76" i="1"/>
  <c r="C77" i="1"/>
  <c r="AB77" i="1"/>
  <c r="C78" i="1"/>
  <c r="AB78" i="1"/>
  <c r="C79" i="1"/>
  <c r="AB79" i="1"/>
  <c r="C80" i="1"/>
  <c r="AB80" i="1"/>
  <c r="C81" i="1"/>
  <c r="AB81" i="1"/>
  <c r="C82" i="1"/>
  <c r="AB82" i="1"/>
  <c r="C83" i="1"/>
  <c r="AB83" i="1"/>
  <c r="C84" i="1"/>
  <c r="AB84" i="1"/>
  <c r="C85" i="1"/>
  <c r="AB85" i="1"/>
  <c r="C86" i="1"/>
  <c r="AB86" i="1"/>
  <c r="C87" i="1"/>
  <c r="AB87" i="1"/>
  <c r="C88" i="1"/>
  <c r="AB88" i="1"/>
  <c r="C89" i="1"/>
  <c r="AB89" i="1"/>
  <c r="C90" i="1"/>
  <c r="AB90" i="1"/>
  <c r="C91" i="1"/>
  <c r="AB91" i="1"/>
  <c r="C92" i="1"/>
  <c r="AB92" i="1"/>
  <c r="C93" i="1"/>
  <c r="AB93" i="1"/>
  <c r="C94" i="1"/>
  <c r="AB94" i="1"/>
  <c r="C95" i="1"/>
  <c r="AB95" i="1"/>
  <c r="C96" i="1"/>
  <c r="AB96" i="1"/>
  <c r="C97" i="1"/>
  <c r="AB97" i="1"/>
  <c r="C98" i="1"/>
  <c r="AB98" i="1"/>
  <c r="C99" i="1"/>
  <c r="AB99" i="1"/>
  <c r="C100" i="1"/>
  <c r="AB100" i="1"/>
  <c r="C101" i="1"/>
  <c r="AB101" i="1"/>
  <c r="C102" i="1"/>
  <c r="AB102" i="1"/>
  <c r="C103" i="1"/>
  <c r="AB103" i="1"/>
  <c r="C104" i="1"/>
  <c r="AB104" i="1"/>
  <c r="C105" i="1"/>
  <c r="AB105" i="1"/>
  <c r="C106" i="1"/>
  <c r="AB106" i="1"/>
  <c r="C107" i="1"/>
  <c r="AB107" i="1"/>
  <c r="C108" i="1"/>
  <c r="AB108" i="1"/>
  <c r="C109" i="1"/>
  <c r="AB109" i="1"/>
  <c r="C110" i="1"/>
  <c r="AB110" i="1"/>
  <c r="C111" i="1"/>
  <c r="AB111" i="1"/>
  <c r="C112" i="1"/>
  <c r="AB112" i="1"/>
  <c r="C113" i="1"/>
  <c r="AB113" i="1"/>
  <c r="C114" i="1"/>
  <c r="AB114" i="1"/>
  <c r="C115" i="1"/>
  <c r="AB115" i="1"/>
  <c r="C116" i="1"/>
  <c r="AB116" i="1"/>
  <c r="C117" i="1"/>
  <c r="AB117" i="1"/>
  <c r="C118" i="1"/>
  <c r="AB118" i="1"/>
  <c r="C119" i="1"/>
  <c r="AB119" i="1"/>
  <c r="C120" i="1"/>
  <c r="AB120" i="1"/>
  <c r="C121" i="1"/>
  <c r="AB121" i="1"/>
  <c r="C122" i="1"/>
  <c r="AB122" i="1"/>
  <c r="C123" i="1"/>
  <c r="AB123" i="1"/>
  <c r="C124" i="1"/>
  <c r="AB124" i="1"/>
  <c r="C125" i="1"/>
  <c r="AB125" i="1"/>
  <c r="C126" i="1"/>
  <c r="AB126" i="1"/>
  <c r="C127" i="1"/>
  <c r="AB127" i="1"/>
  <c r="C128" i="1"/>
  <c r="AB128" i="1"/>
  <c r="C129" i="1"/>
  <c r="AB129" i="1"/>
  <c r="C130" i="1"/>
  <c r="AB130" i="1"/>
  <c r="C131" i="1"/>
  <c r="AB131" i="1"/>
  <c r="C132" i="1"/>
  <c r="AB132" i="1"/>
  <c r="C133" i="1"/>
  <c r="AB133" i="1"/>
  <c r="C134" i="1"/>
  <c r="AB134" i="1"/>
  <c r="C135" i="1"/>
  <c r="AB135" i="1"/>
  <c r="C136" i="1"/>
  <c r="AB136" i="1"/>
  <c r="C137" i="1"/>
  <c r="AB137" i="1"/>
  <c r="C138" i="1"/>
  <c r="AB138" i="1"/>
  <c r="C139" i="1"/>
  <c r="AB139" i="1"/>
  <c r="C140" i="1"/>
  <c r="AB140" i="1"/>
  <c r="C141" i="1"/>
  <c r="AB141" i="1"/>
  <c r="C142" i="1"/>
  <c r="AB142" i="1"/>
  <c r="C143" i="1"/>
  <c r="AB143" i="1"/>
  <c r="C144" i="1"/>
  <c r="AB144" i="1"/>
  <c r="C145" i="1"/>
  <c r="AB145" i="1"/>
  <c r="C146" i="1"/>
  <c r="AB146" i="1"/>
  <c r="C148" i="1"/>
  <c r="AB148" i="1"/>
  <c r="C149" i="1"/>
  <c r="AB149" i="1"/>
  <c r="C150" i="1"/>
  <c r="AB150" i="1"/>
  <c r="C151" i="1"/>
  <c r="AB151" i="1"/>
  <c r="C152" i="1"/>
  <c r="AB152" i="1"/>
  <c r="C153" i="1"/>
  <c r="AB153" i="1"/>
  <c r="C154" i="1"/>
  <c r="AB154" i="1"/>
  <c r="C155" i="1"/>
  <c r="AB155" i="1"/>
  <c r="C156" i="1"/>
  <c r="AB156" i="1"/>
  <c r="C157" i="1"/>
  <c r="AB157" i="1"/>
  <c r="C158" i="1"/>
  <c r="AB158" i="1"/>
  <c r="C159" i="1"/>
  <c r="AB159" i="1"/>
  <c r="C160" i="1"/>
  <c r="AB160" i="1"/>
  <c r="C161" i="1"/>
  <c r="AB161" i="1"/>
  <c r="C162" i="1"/>
  <c r="AB162" i="1"/>
  <c r="C163" i="1"/>
  <c r="AB163" i="1"/>
  <c r="C164" i="1"/>
  <c r="AB164" i="1"/>
  <c r="C165" i="1"/>
  <c r="AB165" i="1"/>
  <c r="C166" i="1"/>
  <c r="AB166" i="1"/>
  <c r="C167" i="1"/>
  <c r="AB167" i="1"/>
  <c r="C168" i="1"/>
  <c r="AB168" i="1"/>
  <c r="C169" i="1"/>
  <c r="AB169" i="1"/>
  <c r="C170" i="1"/>
  <c r="AB170" i="1"/>
  <c r="C171" i="1"/>
  <c r="AB171" i="1"/>
  <c r="C172" i="1"/>
  <c r="AB172" i="1"/>
  <c r="C173" i="1"/>
  <c r="AB173" i="1"/>
  <c r="C174" i="1"/>
  <c r="AB174" i="1"/>
  <c r="C175" i="1"/>
  <c r="AB175" i="1"/>
  <c r="C176" i="1"/>
  <c r="AB176" i="1"/>
  <c r="C177" i="1"/>
  <c r="AB177" i="1"/>
  <c r="C178" i="1"/>
  <c r="AB178" i="1"/>
  <c r="C179" i="1"/>
  <c r="AB179" i="1"/>
  <c r="C180" i="1"/>
  <c r="AB180" i="1"/>
  <c r="C181" i="1"/>
  <c r="AB181" i="1"/>
  <c r="C182" i="1"/>
  <c r="AB182" i="1"/>
  <c r="C183" i="1"/>
  <c r="AB183" i="1"/>
  <c r="C184" i="1"/>
  <c r="AB184" i="1"/>
  <c r="C185" i="1"/>
  <c r="AB185" i="1"/>
  <c r="C186" i="1"/>
  <c r="AB186" i="1"/>
  <c r="C187" i="1"/>
  <c r="AB187" i="1"/>
  <c r="C188" i="1"/>
  <c r="AB188" i="1"/>
  <c r="C189" i="1"/>
  <c r="AB189" i="1"/>
  <c r="C190" i="1"/>
  <c r="AB190" i="1"/>
  <c r="C191" i="1"/>
  <c r="AB191" i="1"/>
  <c r="C192" i="1"/>
  <c r="AB192" i="1"/>
  <c r="C193" i="1"/>
  <c r="AB193" i="1"/>
  <c r="C194" i="1"/>
  <c r="AB194" i="1"/>
  <c r="C195" i="1"/>
  <c r="AB195" i="1"/>
  <c r="C196" i="1"/>
  <c r="AB196" i="1"/>
  <c r="C197" i="1"/>
  <c r="AB197" i="1"/>
  <c r="C198" i="1"/>
  <c r="AB198" i="1"/>
  <c r="C199" i="1"/>
  <c r="AB199" i="1"/>
  <c r="C200" i="1"/>
  <c r="AB200" i="1"/>
  <c r="C201" i="1"/>
  <c r="AB201" i="1"/>
  <c r="C202" i="1"/>
  <c r="AB202" i="1"/>
  <c r="C203" i="1"/>
  <c r="AB203" i="1"/>
  <c r="C204" i="1"/>
  <c r="AB204" i="1"/>
  <c r="C205" i="1"/>
  <c r="AB205" i="1"/>
  <c r="C206" i="1"/>
  <c r="AB206" i="1"/>
  <c r="C207" i="1"/>
  <c r="AB207" i="1"/>
  <c r="C208" i="1"/>
  <c r="AB208" i="1"/>
  <c r="C209" i="1"/>
  <c r="AB209" i="1"/>
  <c r="C210" i="1"/>
  <c r="AB210" i="1"/>
  <c r="C211" i="1"/>
  <c r="AB211" i="1"/>
  <c r="C212" i="1"/>
  <c r="AB212" i="1"/>
  <c r="C213" i="1"/>
  <c r="AB213" i="1"/>
  <c r="C214" i="1"/>
  <c r="AB214" i="1"/>
  <c r="C215" i="1"/>
  <c r="AB215" i="1"/>
  <c r="C216" i="1"/>
  <c r="AB216" i="1"/>
  <c r="C217" i="1"/>
  <c r="AB217" i="1"/>
  <c r="C218" i="1"/>
  <c r="AB218" i="1"/>
  <c r="C219" i="1"/>
  <c r="AB219" i="1"/>
  <c r="C220" i="1"/>
  <c r="AB220" i="1"/>
  <c r="C221" i="1"/>
  <c r="AB221" i="1"/>
  <c r="C222" i="1"/>
  <c r="AB222" i="1"/>
  <c r="C223" i="1"/>
  <c r="AB223" i="1"/>
  <c r="C224" i="1"/>
  <c r="AB224" i="1"/>
  <c r="C225" i="1"/>
  <c r="AB225" i="1"/>
  <c r="C226" i="1"/>
  <c r="AB226" i="1"/>
  <c r="C227" i="1"/>
  <c r="AB227" i="1"/>
  <c r="C228" i="1"/>
  <c r="AB228" i="1"/>
  <c r="C229" i="1"/>
  <c r="AB229" i="1"/>
  <c r="C230" i="1"/>
  <c r="AB230" i="1"/>
  <c r="C231" i="1"/>
  <c r="AB231" i="1"/>
  <c r="C232" i="1"/>
  <c r="AB232" i="1"/>
  <c r="C233" i="1"/>
  <c r="AB233" i="1"/>
  <c r="C234" i="1"/>
  <c r="AB234" i="1"/>
  <c r="C235" i="1"/>
  <c r="AB235" i="1"/>
  <c r="C236" i="1"/>
  <c r="AB236" i="1"/>
  <c r="C237" i="1"/>
  <c r="AB237" i="1"/>
  <c r="C238" i="1"/>
  <c r="AB238" i="1"/>
  <c r="C239" i="1"/>
  <c r="AB239" i="1"/>
  <c r="C240" i="1"/>
  <c r="AB240" i="1"/>
  <c r="C241" i="1"/>
  <c r="AB241" i="1"/>
  <c r="C242" i="1"/>
  <c r="AB242" i="1"/>
  <c r="C243" i="1"/>
  <c r="AB243" i="1"/>
  <c r="C244" i="1"/>
  <c r="AB244" i="1"/>
  <c r="C245" i="1"/>
  <c r="AB245" i="1"/>
  <c r="C246" i="1"/>
  <c r="AB246" i="1"/>
  <c r="C247" i="1"/>
  <c r="AB247" i="1"/>
  <c r="C248" i="1"/>
  <c r="AB248" i="1"/>
  <c r="C249" i="1"/>
  <c r="AB249" i="1"/>
  <c r="C250" i="1"/>
  <c r="AB250" i="1"/>
  <c r="C251" i="1"/>
  <c r="AB251" i="1"/>
  <c r="C252" i="1"/>
  <c r="AB252" i="1"/>
  <c r="C253" i="1"/>
  <c r="AB253" i="1"/>
  <c r="C254" i="1"/>
  <c r="AB254" i="1"/>
  <c r="C255" i="1"/>
  <c r="AB255" i="1"/>
  <c r="C256" i="1"/>
  <c r="AB256" i="1"/>
  <c r="C257" i="1"/>
  <c r="AB257" i="1"/>
  <c r="C258" i="1"/>
  <c r="AB258" i="1"/>
  <c r="C259" i="1"/>
  <c r="AB259" i="1"/>
  <c r="C260" i="1"/>
  <c r="AB260" i="1"/>
  <c r="C261" i="1"/>
  <c r="AB261" i="1"/>
  <c r="C262" i="1"/>
  <c r="AB262" i="1"/>
  <c r="C263" i="1"/>
  <c r="AB263" i="1"/>
  <c r="C264" i="1"/>
  <c r="AB264" i="1"/>
  <c r="C265" i="1"/>
  <c r="AB265" i="1"/>
  <c r="C266" i="1"/>
  <c r="AB266" i="1"/>
  <c r="C267" i="1"/>
  <c r="AB267" i="1"/>
  <c r="C268" i="1"/>
  <c r="AB268" i="1"/>
  <c r="C269" i="1"/>
  <c r="AB269" i="1"/>
  <c r="C270" i="1"/>
  <c r="AB270" i="1"/>
  <c r="C271" i="1"/>
  <c r="AB271" i="1"/>
  <c r="C272" i="1"/>
  <c r="AB272" i="1"/>
  <c r="C273" i="1"/>
  <c r="AB273" i="1"/>
  <c r="C274" i="1"/>
  <c r="AB274" i="1"/>
  <c r="C275" i="1"/>
  <c r="AB275" i="1"/>
  <c r="C276" i="1"/>
  <c r="AB276" i="1"/>
  <c r="C277" i="1"/>
  <c r="AB277" i="1"/>
  <c r="C278" i="1"/>
  <c r="AB278" i="1"/>
  <c r="C279" i="1"/>
  <c r="AB279" i="1"/>
  <c r="C280" i="1"/>
  <c r="AB280" i="1"/>
  <c r="C281" i="1"/>
  <c r="AB281" i="1"/>
  <c r="C282" i="1"/>
  <c r="AB282" i="1"/>
  <c r="C283" i="1"/>
  <c r="AB283" i="1"/>
  <c r="C284" i="1"/>
  <c r="AB284" i="1"/>
  <c r="C285" i="1"/>
  <c r="AB285" i="1"/>
  <c r="C286" i="1"/>
  <c r="AB286" i="1"/>
  <c r="C287" i="1"/>
  <c r="AB287" i="1"/>
  <c r="C288" i="1"/>
  <c r="AB288" i="1"/>
  <c r="C289" i="1"/>
  <c r="AB289" i="1"/>
  <c r="C290" i="1"/>
  <c r="AB290" i="1"/>
  <c r="C292" i="1"/>
  <c r="AB292" i="1"/>
  <c r="C293" i="1"/>
  <c r="AB293" i="1"/>
  <c r="C294" i="1"/>
  <c r="AB294" i="1"/>
  <c r="C295" i="1"/>
  <c r="AB295" i="1"/>
  <c r="C296" i="1"/>
  <c r="AB296" i="1"/>
  <c r="C297" i="1"/>
  <c r="AB297" i="1"/>
  <c r="C298" i="1"/>
  <c r="AB298" i="1"/>
  <c r="C299" i="1"/>
  <c r="AB299" i="1"/>
  <c r="C300" i="1"/>
  <c r="AB300" i="1"/>
  <c r="C301" i="1"/>
  <c r="AB301" i="1"/>
  <c r="C302" i="1"/>
  <c r="AB302" i="1"/>
  <c r="C303" i="1"/>
  <c r="AB303" i="1"/>
  <c r="C304" i="1"/>
  <c r="AB304" i="1"/>
  <c r="C305" i="1"/>
  <c r="AB305" i="1"/>
  <c r="C306" i="1"/>
  <c r="AB306" i="1"/>
  <c r="C307" i="1"/>
  <c r="AB307" i="1"/>
  <c r="C308" i="1"/>
  <c r="AB308" i="1"/>
  <c r="C309" i="1"/>
  <c r="AB309" i="1"/>
  <c r="C310" i="1"/>
  <c r="AB310" i="1"/>
  <c r="C311" i="1"/>
  <c r="AB311" i="1"/>
  <c r="C312" i="1"/>
  <c r="AB312" i="1"/>
  <c r="C313" i="1"/>
  <c r="AB313" i="1"/>
  <c r="C314" i="1"/>
  <c r="AB314" i="1"/>
  <c r="C315" i="1"/>
  <c r="AB315" i="1"/>
  <c r="C316" i="1"/>
  <c r="AB316" i="1"/>
  <c r="C317" i="1"/>
  <c r="AB317" i="1"/>
  <c r="C318" i="1"/>
  <c r="AB318" i="1"/>
  <c r="C319" i="1"/>
  <c r="AB319" i="1"/>
  <c r="C320" i="1"/>
  <c r="AB320" i="1"/>
  <c r="C321" i="1"/>
  <c r="AB321" i="1"/>
  <c r="C322" i="1"/>
  <c r="AB322" i="1"/>
  <c r="C323" i="1"/>
  <c r="AB323" i="1"/>
  <c r="C324" i="1"/>
  <c r="AB324" i="1"/>
  <c r="C325" i="1"/>
  <c r="AB325" i="1"/>
  <c r="C326" i="1"/>
  <c r="AB326" i="1"/>
  <c r="C327" i="1"/>
  <c r="AB327" i="1"/>
  <c r="C328" i="1"/>
  <c r="AB328" i="1"/>
  <c r="C329" i="1"/>
  <c r="AB329" i="1"/>
  <c r="C330" i="1"/>
  <c r="AB330" i="1"/>
  <c r="C331" i="1"/>
  <c r="AB331" i="1"/>
  <c r="C332" i="1"/>
  <c r="AB332" i="1"/>
  <c r="C333" i="1"/>
  <c r="AB333" i="1"/>
  <c r="C334" i="1"/>
  <c r="AB334" i="1"/>
  <c r="C335" i="1"/>
  <c r="AB335" i="1"/>
  <c r="C336" i="1"/>
  <c r="AB336" i="1"/>
  <c r="C337" i="1"/>
  <c r="AB337" i="1"/>
  <c r="C338" i="1"/>
  <c r="AB338" i="1"/>
  <c r="C339" i="1"/>
  <c r="AB339" i="1"/>
  <c r="C340" i="1"/>
  <c r="AB340" i="1"/>
  <c r="C341" i="1"/>
  <c r="AB341" i="1"/>
  <c r="C342" i="1"/>
  <c r="AB342" i="1"/>
  <c r="C343" i="1"/>
  <c r="AB343" i="1"/>
  <c r="C344" i="1"/>
  <c r="AB344" i="1"/>
  <c r="C345" i="1"/>
  <c r="AB345" i="1"/>
  <c r="C346" i="1"/>
  <c r="AB346" i="1"/>
  <c r="C347" i="1"/>
  <c r="AB347" i="1"/>
  <c r="C348" i="1"/>
  <c r="AB348" i="1"/>
  <c r="C349" i="1"/>
  <c r="AB349" i="1"/>
  <c r="C350" i="1"/>
  <c r="AB350" i="1"/>
  <c r="C351" i="1"/>
  <c r="AB351" i="1"/>
  <c r="C352" i="1"/>
  <c r="AB352" i="1"/>
  <c r="C353" i="1"/>
  <c r="AB353" i="1"/>
  <c r="C354" i="1"/>
  <c r="AB354" i="1"/>
  <c r="C355" i="1"/>
  <c r="AB355" i="1"/>
  <c r="C356" i="1"/>
  <c r="AB356" i="1"/>
  <c r="C357" i="1"/>
  <c r="AB357" i="1"/>
  <c r="C358" i="1"/>
  <c r="AB358" i="1"/>
  <c r="C359" i="1"/>
  <c r="AB359" i="1"/>
  <c r="C360" i="1"/>
  <c r="AB360" i="1"/>
  <c r="C361" i="1"/>
  <c r="AB361" i="1"/>
  <c r="C362" i="1"/>
  <c r="AB362" i="1"/>
  <c r="C363" i="1"/>
  <c r="AB363" i="1"/>
  <c r="C364" i="1"/>
  <c r="AB364" i="1"/>
  <c r="C365" i="1"/>
  <c r="AB365" i="1"/>
  <c r="C366" i="1"/>
  <c r="AB366" i="1"/>
  <c r="C367" i="1"/>
  <c r="AB367" i="1"/>
  <c r="C368" i="1"/>
  <c r="AB368" i="1"/>
  <c r="C369" i="1"/>
  <c r="AB369" i="1"/>
  <c r="C370" i="1"/>
  <c r="AB370" i="1"/>
  <c r="C371" i="1"/>
  <c r="AB371" i="1"/>
  <c r="C372" i="1"/>
  <c r="AB372" i="1"/>
  <c r="C373" i="1"/>
  <c r="AB373" i="1"/>
  <c r="C374" i="1"/>
  <c r="AB374" i="1"/>
  <c r="C375" i="1"/>
  <c r="AB375" i="1"/>
  <c r="C376" i="1"/>
  <c r="AB376" i="1"/>
  <c r="C377" i="1"/>
  <c r="AB377" i="1"/>
  <c r="C378" i="1"/>
  <c r="AB378" i="1"/>
  <c r="C379" i="1"/>
  <c r="AB379" i="1"/>
  <c r="C380" i="1"/>
  <c r="AB380" i="1"/>
  <c r="C381" i="1"/>
  <c r="AB381" i="1"/>
  <c r="C382" i="1"/>
  <c r="AB382" i="1"/>
  <c r="C383" i="1"/>
  <c r="AB383" i="1"/>
  <c r="C384" i="1"/>
  <c r="AB384" i="1"/>
  <c r="C385" i="1"/>
  <c r="AB385" i="1"/>
  <c r="C386" i="1"/>
  <c r="AB386" i="1"/>
  <c r="C387" i="1"/>
  <c r="AB387" i="1"/>
  <c r="C388" i="1"/>
  <c r="AB388" i="1"/>
  <c r="C389" i="1"/>
  <c r="AB389" i="1"/>
  <c r="C390" i="1"/>
  <c r="AB390" i="1"/>
  <c r="C391" i="1"/>
  <c r="AB391" i="1"/>
  <c r="C392" i="1"/>
  <c r="AB392" i="1"/>
  <c r="C393" i="1"/>
  <c r="AB393" i="1"/>
  <c r="C394" i="1"/>
  <c r="AB394" i="1"/>
  <c r="C395" i="1"/>
  <c r="AB395" i="1"/>
  <c r="C396" i="1"/>
  <c r="AB396" i="1"/>
  <c r="C397" i="1"/>
  <c r="AB397" i="1"/>
  <c r="C398" i="1"/>
  <c r="AB398" i="1"/>
  <c r="C399" i="1"/>
  <c r="AB399" i="1"/>
  <c r="C400" i="1"/>
  <c r="AB400" i="1"/>
  <c r="C401" i="1"/>
  <c r="AB401" i="1"/>
  <c r="C402" i="1"/>
  <c r="AB402" i="1"/>
  <c r="C403" i="1"/>
  <c r="AB403" i="1"/>
  <c r="C404" i="1"/>
  <c r="AB404" i="1"/>
  <c r="C405" i="1"/>
  <c r="AB405" i="1"/>
  <c r="C406" i="1"/>
  <c r="AB406" i="1"/>
  <c r="C407" i="1"/>
  <c r="AB407" i="1"/>
  <c r="C408" i="1"/>
  <c r="AB408" i="1"/>
  <c r="C409" i="1"/>
  <c r="AB409" i="1"/>
  <c r="C410" i="1"/>
  <c r="AB410" i="1"/>
  <c r="C411" i="1"/>
  <c r="AB411" i="1"/>
  <c r="C412" i="1"/>
  <c r="AB412" i="1"/>
  <c r="C413" i="1"/>
  <c r="AB413" i="1"/>
  <c r="C414" i="1"/>
  <c r="AB414" i="1"/>
  <c r="C415" i="1"/>
  <c r="AB415" i="1"/>
  <c r="C416" i="1"/>
  <c r="AB416" i="1"/>
  <c r="C417" i="1"/>
  <c r="AB417" i="1"/>
  <c r="C418" i="1"/>
  <c r="AB418" i="1"/>
  <c r="C419" i="1"/>
  <c r="AB419" i="1"/>
  <c r="C420" i="1"/>
  <c r="AB420" i="1"/>
  <c r="C421" i="1"/>
  <c r="AB421" i="1"/>
  <c r="C422" i="1"/>
  <c r="AB422" i="1"/>
  <c r="C423" i="1"/>
  <c r="AB423" i="1"/>
  <c r="C424" i="1"/>
  <c r="AB424" i="1"/>
  <c r="C425" i="1"/>
  <c r="AB425" i="1"/>
  <c r="C426" i="1"/>
  <c r="AB426" i="1"/>
  <c r="C427" i="1"/>
  <c r="AB427" i="1"/>
  <c r="C428" i="1"/>
  <c r="AB428" i="1"/>
  <c r="C429" i="1"/>
  <c r="AB429" i="1"/>
  <c r="C430" i="1"/>
  <c r="AB430" i="1"/>
  <c r="C431" i="1"/>
  <c r="AB431" i="1"/>
  <c r="C432" i="1"/>
  <c r="AB432" i="1"/>
  <c r="C433" i="1"/>
  <c r="AB433" i="1"/>
  <c r="C434" i="1"/>
  <c r="AB434" i="1"/>
  <c r="C520" i="1"/>
  <c r="AB520" i="1"/>
  <c r="C521" i="1"/>
  <c r="AB521" i="1"/>
  <c r="C522" i="1"/>
  <c r="AB522" i="1"/>
  <c r="C523" i="1"/>
  <c r="AB523" i="1"/>
  <c r="C524" i="1"/>
  <c r="AB524" i="1"/>
  <c r="C525" i="1"/>
  <c r="AB525" i="1"/>
  <c r="C526" i="1"/>
  <c r="AB526" i="1"/>
  <c r="C527" i="1"/>
  <c r="AB527" i="1"/>
  <c r="C528" i="1"/>
  <c r="AB528" i="1"/>
  <c r="C529" i="1"/>
  <c r="AB529" i="1"/>
  <c r="C530" i="1"/>
  <c r="AB530" i="1"/>
  <c r="C543" i="1"/>
  <c r="AB543" i="1"/>
  <c r="C544" i="1"/>
  <c r="AB544" i="1"/>
  <c r="C545" i="1"/>
  <c r="AB545" i="1"/>
  <c r="C546" i="1"/>
  <c r="AB546" i="1"/>
  <c r="C547" i="1"/>
  <c r="AB547" i="1"/>
  <c r="C548" i="1"/>
  <c r="AB548" i="1"/>
  <c r="C549" i="1"/>
  <c r="AB549" i="1"/>
  <c r="C550" i="1"/>
  <c r="AB550" i="1"/>
  <c r="C551" i="1"/>
  <c r="AB551" i="1"/>
  <c r="C552" i="1"/>
  <c r="AB552" i="1"/>
  <c r="C553" i="1"/>
  <c r="AB553" i="1"/>
  <c r="C554" i="1"/>
  <c r="AB554" i="1"/>
  <c r="C555" i="1"/>
  <c r="AB555" i="1"/>
  <c r="C556" i="1"/>
  <c r="AB556" i="1"/>
  <c r="C557" i="1"/>
  <c r="AB557" i="1"/>
  <c r="C558" i="1"/>
  <c r="AB558" i="1"/>
  <c r="C559" i="1"/>
  <c r="AB559" i="1"/>
  <c r="C560" i="1"/>
  <c r="AB560" i="1"/>
  <c r="C561" i="1"/>
  <c r="AB561" i="1"/>
  <c r="C562" i="1"/>
  <c r="AB562" i="1"/>
  <c r="C563" i="1"/>
  <c r="AB563" i="1"/>
  <c r="C564" i="1"/>
  <c r="AB564" i="1"/>
  <c r="C565" i="1"/>
  <c r="AB565" i="1"/>
  <c r="AB566" i="1"/>
  <c r="C436" i="1"/>
  <c r="AB436" i="1"/>
  <c r="C437" i="1"/>
  <c r="AB437" i="1"/>
  <c r="C438" i="1"/>
  <c r="AB438" i="1"/>
  <c r="C439" i="1"/>
  <c r="AB439" i="1"/>
  <c r="C440" i="1"/>
  <c r="AB440" i="1"/>
  <c r="C441" i="1"/>
  <c r="AB441" i="1"/>
  <c r="C442" i="1"/>
  <c r="AB442" i="1"/>
  <c r="C443" i="1"/>
  <c r="AB443" i="1"/>
  <c r="C444" i="1"/>
  <c r="AB444" i="1"/>
  <c r="C445" i="1"/>
  <c r="AB445" i="1"/>
  <c r="C446" i="1"/>
  <c r="AB446" i="1"/>
  <c r="C447" i="1"/>
  <c r="AB447" i="1"/>
  <c r="C448" i="1"/>
  <c r="AB448" i="1"/>
  <c r="C449" i="1"/>
  <c r="AB449" i="1"/>
  <c r="C450" i="1"/>
  <c r="AB450" i="1"/>
  <c r="C451" i="1"/>
  <c r="AB451" i="1"/>
  <c r="C452" i="1"/>
  <c r="AB452" i="1"/>
  <c r="C453" i="1"/>
  <c r="AB453" i="1"/>
  <c r="C454" i="1"/>
  <c r="AB454" i="1"/>
  <c r="C455" i="1"/>
  <c r="AB455" i="1"/>
  <c r="C456" i="1"/>
  <c r="AB456" i="1"/>
  <c r="C457" i="1"/>
  <c r="AB457" i="1"/>
  <c r="C458" i="1"/>
  <c r="AB458" i="1"/>
  <c r="C459" i="1"/>
  <c r="AB459" i="1"/>
  <c r="C460" i="1"/>
  <c r="AB460" i="1"/>
  <c r="C461" i="1"/>
  <c r="AB461" i="1"/>
  <c r="C462" i="1"/>
  <c r="AB462" i="1"/>
  <c r="C463" i="1"/>
  <c r="AB463" i="1"/>
  <c r="C464" i="1"/>
  <c r="AB464" i="1"/>
  <c r="C465" i="1"/>
  <c r="AB465" i="1"/>
  <c r="C466" i="1"/>
  <c r="AB466" i="1"/>
  <c r="C467" i="1"/>
  <c r="AB467" i="1"/>
  <c r="C468" i="1"/>
  <c r="AB468" i="1"/>
  <c r="C469" i="1"/>
  <c r="AB469" i="1"/>
  <c r="C470" i="1"/>
  <c r="AB470" i="1"/>
  <c r="C483" i="1"/>
  <c r="AB483" i="1"/>
  <c r="C484" i="1"/>
  <c r="AB484" i="1"/>
  <c r="C485" i="1"/>
  <c r="AB485" i="1"/>
  <c r="C486" i="1"/>
  <c r="AB486" i="1"/>
  <c r="C487" i="1"/>
  <c r="AB487" i="1"/>
  <c r="C488" i="1"/>
  <c r="AB488" i="1"/>
  <c r="C489" i="1"/>
  <c r="AB489" i="1"/>
  <c r="C490" i="1"/>
  <c r="AB490" i="1"/>
  <c r="C491" i="1"/>
  <c r="AB491" i="1"/>
  <c r="C492" i="1"/>
  <c r="AB492" i="1"/>
  <c r="C493" i="1"/>
  <c r="AB493" i="1"/>
  <c r="C494" i="1"/>
  <c r="AB494" i="1"/>
  <c r="C472" i="1"/>
  <c r="AB472" i="1"/>
  <c r="C473" i="1"/>
  <c r="AB473" i="1"/>
  <c r="C474" i="1"/>
  <c r="AB474" i="1"/>
  <c r="C475" i="1"/>
  <c r="AB475" i="1"/>
  <c r="C476" i="1"/>
  <c r="AB476" i="1"/>
  <c r="C477" i="1"/>
  <c r="AB477" i="1"/>
  <c r="C478" i="1"/>
  <c r="AB478" i="1"/>
  <c r="C479" i="1"/>
  <c r="AB479" i="1"/>
  <c r="C480" i="1"/>
  <c r="AB480" i="1"/>
  <c r="C481" i="1"/>
  <c r="AB481" i="1"/>
  <c r="C482" i="1"/>
  <c r="AB482" i="1"/>
  <c r="C495" i="1"/>
  <c r="AB495" i="1"/>
  <c r="C496" i="1"/>
  <c r="AB496" i="1"/>
  <c r="C497" i="1"/>
  <c r="AB497" i="1"/>
  <c r="C498" i="1"/>
  <c r="AB498" i="1"/>
  <c r="C499" i="1"/>
  <c r="AB499" i="1"/>
  <c r="C500" i="1"/>
  <c r="AB500" i="1"/>
  <c r="C501" i="1"/>
  <c r="AB501" i="1"/>
  <c r="C502" i="1"/>
  <c r="AB502" i="1"/>
  <c r="C503" i="1"/>
  <c r="AB503" i="1"/>
  <c r="C504" i="1"/>
  <c r="AB504" i="1"/>
  <c r="C505" i="1"/>
  <c r="AB505" i="1"/>
  <c r="C506" i="1"/>
  <c r="AB506" i="1"/>
  <c r="C507" i="1"/>
  <c r="AB507" i="1"/>
  <c r="C508" i="1"/>
  <c r="AB508" i="1"/>
  <c r="C509" i="1"/>
  <c r="AB509" i="1"/>
  <c r="C510" i="1"/>
  <c r="AB510" i="1"/>
  <c r="C511" i="1"/>
  <c r="AB511" i="1"/>
  <c r="C512" i="1"/>
  <c r="AB512" i="1"/>
  <c r="C513" i="1"/>
  <c r="AB513" i="1"/>
  <c r="C514" i="1"/>
  <c r="AB514" i="1"/>
  <c r="C515" i="1"/>
  <c r="AB515" i="1"/>
  <c r="C516" i="1"/>
  <c r="AB516" i="1"/>
  <c r="C517" i="1"/>
  <c r="AB517" i="1"/>
  <c r="C518" i="1"/>
  <c r="AB518" i="1"/>
  <c r="C531" i="1"/>
  <c r="AB531" i="1"/>
  <c r="C532" i="1"/>
  <c r="AB532" i="1"/>
  <c r="C533" i="1"/>
  <c r="AB533" i="1"/>
  <c r="C534" i="1"/>
  <c r="AB534" i="1"/>
  <c r="C535" i="1"/>
  <c r="AB535" i="1"/>
  <c r="C536" i="1"/>
  <c r="AB536" i="1"/>
  <c r="C537" i="1"/>
  <c r="AB537" i="1"/>
  <c r="C538" i="1"/>
  <c r="AB538" i="1"/>
  <c r="C539" i="1"/>
  <c r="AB539" i="1"/>
  <c r="C540" i="1"/>
  <c r="AB540" i="1"/>
  <c r="C541" i="1"/>
  <c r="AB541" i="1"/>
  <c r="C542" i="1"/>
  <c r="AB542" i="1"/>
  <c r="C567" i="1"/>
  <c r="AB567" i="1"/>
  <c r="C568" i="1"/>
  <c r="AB568" i="1"/>
  <c r="C569" i="1"/>
  <c r="AB569" i="1"/>
  <c r="C570" i="1"/>
  <c r="AB570" i="1"/>
  <c r="C571" i="1"/>
  <c r="AB571" i="1"/>
  <c r="C572" i="1"/>
  <c r="AB572" i="1"/>
  <c r="C573" i="1"/>
  <c r="AB573" i="1"/>
  <c r="C574" i="1"/>
  <c r="AB574" i="1"/>
  <c r="C575" i="1"/>
  <c r="AB575" i="1"/>
  <c r="C576" i="1"/>
  <c r="AB576" i="1"/>
  <c r="C577" i="1"/>
  <c r="AB577" i="1"/>
  <c r="C578" i="1"/>
  <c r="AB578" i="1"/>
  <c r="C579" i="1"/>
  <c r="AB579" i="1"/>
  <c r="C580" i="1"/>
  <c r="AB580" i="1"/>
  <c r="C581" i="1"/>
  <c r="AB581" i="1"/>
  <c r="C582" i="1"/>
  <c r="AB582" i="1"/>
  <c r="C583" i="1"/>
  <c r="AB583" i="1"/>
  <c r="C584" i="1"/>
  <c r="AB584" i="1"/>
  <c r="C585" i="1"/>
  <c r="AB585" i="1"/>
  <c r="C586" i="1"/>
  <c r="AB586" i="1"/>
  <c r="C587" i="1"/>
  <c r="AB587" i="1"/>
  <c r="C588" i="1"/>
  <c r="AB588" i="1"/>
  <c r="C589" i="1"/>
  <c r="AB589" i="1"/>
  <c r="C590" i="1"/>
  <c r="AB590" i="1"/>
  <c r="C591" i="1"/>
  <c r="AB591" i="1"/>
  <c r="C592" i="1"/>
  <c r="AB592" i="1"/>
  <c r="C593" i="1"/>
  <c r="AB593" i="1"/>
  <c r="C594" i="1"/>
  <c r="AB594" i="1"/>
  <c r="C595" i="1"/>
  <c r="AB595" i="1"/>
  <c r="C596" i="1"/>
  <c r="AB596" i="1"/>
  <c r="C597" i="1"/>
  <c r="AB597" i="1"/>
  <c r="C598" i="1"/>
  <c r="AB598" i="1"/>
  <c r="C599" i="1"/>
  <c r="AB599" i="1"/>
  <c r="C600" i="1"/>
  <c r="AB600" i="1"/>
  <c r="C601" i="1"/>
  <c r="AB601" i="1"/>
  <c r="C602" i="1"/>
  <c r="AB602" i="1"/>
  <c r="C603" i="1"/>
  <c r="AB603" i="1"/>
  <c r="C604" i="1"/>
  <c r="AB604" i="1"/>
  <c r="C605" i="1"/>
  <c r="AB605" i="1"/>
  <c r="C606" i="1"/>
  <c r="AB606" i="1"/>
  <c r="C607" i="1"/>
  <c r="AB607" i="1"/>
  <c r="C608" i="1"/>
  <c r="AB608" i="1"/>
  <c r="C609" i="1"/>
  <c r="AB609" i="1"/>
  <c r="C610" i="1"/>
  <c r="AB610" i="1"/>
  <c r="C611" i="1"/>
  <c r="AB611" i="1"/>
  <c r="C612" i="1"/>
  <c r="AB612" i="1"/>
  <c r="C613" i="1"/>
  <c r="AB613" i="1"/>
  <c r="C614" i="1"/>
  <c r="AB614" i="1"/>
  <c r="C615" i="1"/>
  <c r="AB615" i="1"/>
  <c r="C616" i="1"/>
  <c r="AB616" i="1"/>
  <c r="C617" i="1"/>
  <c r="AB617" i="1"/>
  <c r="C618" i="1"/>
  <c r="AB618" i="1"/>
  <c r="C619" i="1"/>
  <c r="AB619" i="1"/>
  <c r="C620" i="1"/>
  <c r="AB620" i="1"/>
  <c r="C621" i="1"/>
  <c r="AB621" i="1"/>
  <c r="C622" i="1"/>
  <c r="AB622" i="1"/>
  <c r="C623" i="1"/>
  <c r="AB623" i="1"/>
  <c r="C624" i="1"/>
  <c r="AB624" i="1"/>
  <c r="C625" i="1"/>
  <c r="AB625" i="1"/>
  <c r="C626" i="1"/>
  <c r="AB626" i="1"/>
  <c r="C627" i="1"/>
  <c r="AB627" i="1"/>
  <c r="C628" i="1"/>
  <c r="AB628" i="1"/>
  <c r="C629" i="1"/>
  <c r="AB629" i="1"/>
  <c r="C630" i="1"/>
  <c r="AB630" i="1"/>
  <c r="C631" i="1"/>
  <c r="AB631" i="1"/>
  <c r="C632" i="1"/>
  <c r="AB632" i="1"/>
  <c r="C633" i="1"/>
  <c r="AB633" i="1"/>
  <c r="C634" i="1"/>
  <c r="AB634" i="1"/>
  <c r="C635" i="1"/>
  <c r="AB635" i="1"/>
  <c r="C636" i="1"/>
  <c r="AB636" i="1"/>
  <c r="C637" i="1"/>
  <c r="AB637" i="1"/>
  <c r="C638" i="1"/>
  <c r="AB638" i="1"/>
  <c r="C639" i="1"/>
  <c r="AB639" i="1"/>
  <c r="C640" i="1"/>
  <c r="AB640" i="1"/>
  <c r="C641" i="1"/>
  <c r="AB641" i="1"/>
  <c r="C642" i="1"/>
  <c r="AB642" i="1"/>
  <c r="C643" i="1"/>
  <c r="AB643" i="1"/>
  <c r="C644" i="1"/>
  <c r="AB644" i="1"/>
  <c r="C645" i="1"/>
  <c r="AB645" i="1"/>
  <c r="C646" i="1"/>
  <c r="AB646" i="1"/>
  <c r="C647" i="1"/>
  <c r="AB647" i="1"/>
  <c r="C648" i="1"/>
  <c r="AB648" i="1"/>
  <c r="C649" i="1"/>
  <c r="AB649" i="1"/>
  <c r="C650" i="1"/>
  <c r="AB650" i="1"/>
  <c r="C651" i="1"/>
  <c r="AB651" i="1"/>
  <c r="C652" i="1"/>
  <c r="AB652" i="1"/>
  <c r="C653" i="1"/>
  <c r="AB653" i="1"/>
  <c r="C654" i="1"/>
  <c r="AB654" i="1"/>
  <c r="C655" i="1"/>
  <c r="AB655" i="1"/>
  <c r="C656" i="1"/>
  <c r="AB656" i="1"/>
  <c r="C657" i="1"/>
  <c r="AB657" i="1"/>
  <c r="C658" i="1"/>
  <c r="AB658" i="1"/>
  <c r="C659" i="1"/>
  <c r="AB659" i="1"/>
  <c r="C660" i="1"/>
  <c r="AB660" i="1"/>
  <c r="C661" i="1"/>
  <c r="AB661" i="1"/>
  <c r="C662" i="1"/>
  <c r="AB662" i="1"/>
  <c r="C663" i="1"/>
  <c r="AB663" i="1"/>
  <c r="C664" i="1"/>
  <c r="AB664" i="1"/>
  <c r="C665" i="1"/>
  <c r="AB665" i="1"/>
  <c r="C666" i="1"/>
  <c r="AB666" i="1"/>
  <c r="C667" i="1"/>
  <c r="AB667" i="1"/>
  <c r="C668" i="1"/>
  <c r="AB668" i="1"/>
  <c r="C669" i="1"/>
  <c r="AB669" i="1"/>
  <c r="C670" i="1"/>
  <c r="AB670" i="1"/>
  <c r="C671" i="1"/>
  <c r="AB671" i="1"/>
  <c r="C672" i="1"/>
  <c r="AB672" i="1"/>
  <c r="C673" i="1"/>
  <c r="AB673" i="1"/>
  <c r="C674" i="1"/>
  <c r="AB674" i="1"/>
  <c r="C675" i="1"/>
  <c r="AB675" i="1"/>
  <c r="C676" i="1"/>
  <c r="AB676" i="1"/>
  <c r="C677" i="1"/>
  <c r="AB677" i="1"/>
  <c r="C678" i="1"/>
  <c r="AB678" i="1"/>
  <c r="C679" i="1"/>
  <c r="AB679" i="1"/>
  <c r="C680" i="1"/>
  <c r="AB680" i="1"/>
  <c r="C681" i="1"/>
  <c r="AB681" i="1"/>
  <c r="C682" i="1"/>
  <c r="AB682" i="1"/>
  <c r="C683" i="1"/>
  <c r="AB683" i="1"/>
  <c r="C684" i="1"/>
  <c r="AB684" i="1"/>
  <c r="C685" i="1"/>
  <c r="AB685" i="1"/>
  <c r="C686" i="1"/>
  <c r="AB686" i="1"/>
  <c r="C687" i="1"/>
  <c r="AB687" i="1"/>
  <c r="C688" i="1"/>
  <c r="AB688" i="1"/>
  <c r="C689" i="1"/>
  <c r="AB689" i="1"/>
  <c r="C690" i="1"/>
  <c r="AB690" i="1"/>
  <c r="C691" i="1"/>
  <c r="AB691" i="1"/>
  <c r="C692" i="1"/>
  <c r="AB692" i="1"/>
  <c r="C693" i="1"/>
  <c r="AB693" i="1"/>
  <c r="C694" i="1"/>
  <c r="AB694" i="1"/>
  <c r="C695" i="1"/>
  <c r="AB695" i="1"/>
  <c r="C696" i="1"/>
  <c r="AB696" i="1"/>
  <c r="C697" i="1"/>
  <c r="AB697" i="1"/>
  <c r="C698" i="1"/>
  <c r="AB698" i="1"/>
  <c r="C699" i="1"/>
  <c r="AB699" i="1"/>
  <c r="C700" i="1"/>
  <c r="AB700" i="1"/>
  <c r="C701" i="1"/>
  <c r="AB701" i="1"/>
  <c r="C702" i="1"/>
  <c r="AB702" i="1"/>
  <c r="C703" i="1"/>
  <c r="AB703" i="1"/>
  <c r="C704" i="1"/>
  <c r="AB704" i="1"/>
  <c r="C705" i="1"/>
  <c r="AB705" i="1"/>
  <c r="C706" i="1"/>
  <c r="AB706" i="1"/>
  <c r="C707" i="1"/>
  <c r="AB707" i="1"/>
  <c r="C708" i="1"/>
  <c r="AB708" i="1"/>
  <c r="C709" i="1"/>
  <c r="AB709" i="1"/>
  <c r="C710" i="1"/>
  <c r="AB710" i="1"/>
  <c r="C711" i="1"/>
  <c r="AB711" i="1"/>
  <c r="C712" i="1"/>
  <c r="AB712" i="1"/>
  <c r="C713" i="1"/>
  <c r="AB713" i="1"/>
  <c r="C714" i="1"/>
  <c r="AB714" i="1"/>
  <c r="C715" i="1"/>
  <c r="AB715" i="1"/>
  <c r="C716" i="1"/>
  <c r="AB716" i="1"/>
  <c r="C717" i="1"/>
  <c r="AB717" i="1"/>
  <c r="C718" i="1"/>
  <c r="AB718" i="1"/>
  <c r="C719" i="1"/>
  <c r="AB719" i="1"/>
  <c r="C720" i="1"/>
  <c r="AB720" i="1"/>
  <c r="C721" i="1"/>
  <c r="AB721" i="1"/>
  <c r="C722" i="1"/>
  <c r="AB722" i="1"/>
  <c r="C723" i="1"/>
  <c r="AB723" i="1"/>
  <c r="C724" i="1"/>
  <c r="AB724" i="1"/>
  <c r="C725" i="1"/>
  <c r="AB725" i="1"/>
  <c r="C726" i="1"/>
  <c r="AB726" i="1"/>
  <c r="C727" i="1"/>
  <c r="AB727" i="1"/>
  <c r="C728" i="1"/>
  <c r="AB728" i="1"/>
  <c r="C729" i="1"/>
  <c r="AB729" i="1"/>
  <c r="C730" i="1"/>
  <c r="AB730" i="1"/>
  <c r="C731" i="1"/>
  <c r="AB731" i="1"/>
  <c r="C732" i="1"/>
  <c r="AB732" i="1"/>
  <c r="C733" i="1"/>
  <c r="AB733" i="1"/>
  <c r="C734" i="1"/>
  <c r="AB734" i="1"/>
  <c r="C735" i="1"/>
  <c r="AB735" i="1"/>
  <c r="C736" i="1"/>
  <c r="AB736" i="1"/>
  <c r="C737" i="1"/>
  <c r="AB737" i="1"/>
  <c r="C738" i="1"/>
  <c r="AB738" i="1"/>
  <c r="C739" i="1"/>
  <c r="AB739" i="1"/>
  <c r="C740" i="1"/>
  <c r="AB740" i="1"/>
  <c r="C741" i="1"/>
  <c r="AB741" i="1"/>
  <c r="C742" i="1"/>
  <c r="AB742" i="1"/>
  <c r="C743" i="1"/>
  <c r="AB743" i="1"/>
  <c r="C744" i="1"/>
  <c r="AB744" i="1"/>
  <c r="C745" i="1"/>
  <c r="AB745" i="1"/>
  <c r="C746" i="1"/>
  <c r="AB746" i="1"/>
  <c r="C747" i="1"/>
  <c r="AB747" i="1"/>
  <c r="C748" i="1"/>
  <c r="AB748" i="1"/>
  <c r="C749" i="1"/>
  <c r="AB749" i="1"/>
  <c r="C750" i="1"/>
  <c r="AB750" i="1"/>
  <c r="C751" i="1"/>
  <c r="AB751" i="1"/>
  <c r="C752" i="1"/>
  <c r="AB752" i="1"/>
  <c r="C753" i="1"/>
  <c r="AB753" i="1"/>
  <c r="C754" i="1"/>
  <c r="AB754" i="1"/>
  <c r="C755" i="1"/>
  <c r="AB755" i="1"/>
  <c r="C756" i="1"/>
  <c r="AB756" i="1"/>
  <c r="C757" i="1"/>
  <c r="AB757" i="1"/>
  <c r="C758" i="1"/>
  <c r="AB758" i="1"/>
  <c r="C759" i="1"/>
  <c r="AB759" i="1"/>
  <c r="C760" i="1"/>
  <c r="AB760" i="1"/>
  <c r="C761" i="1"/>
  <c r="AB761" i="1"/>
  <c r="C762" i="1"/>
  <c r="AB762" i="1"/>
  <c r="C763" i="1"/>
  <c r="AB763" i="1"/>
  <c r="C764" i="1"/>
  <c r="AB764" i="1"/>
  <c r="C765" i="1"/>
  <c r="AB765" i="1"/>
  <c r="C766" i="1"/>
  <c r="AB766" i="1"/>
  <c r="C767" i="1"/>
  <c r="AB767" i="1"/>
  <c r="C768" i="1"/>
  <c r="AB768" i="1"/>
  <c r="C769" i="1"/>
  <c r="AB769" i="1"/>
  <c r="C770" i="1"/>
  <c r="AB770" i="1"/>
  <c r="C771" i="1"/>
  <c r="AB771" i="1"/>
  <c r="C772" i="1"/>
  <c r="AB772" i="1"/>
  <c r="C773" i="1"/>
  <c r="AB773" i="1"/>
  <c r="C774" i="1"/>
  <c r="AB774" i="1"/>
  <c r="C775" i="1"/>
  <c r="AB775" i="1"/>
  <c r="C776" i="1"/>
  <c r="AB776" i="1"/>
  <c r="C777" i="1"/>
  <c r="AB777" i="1"/>
  <c r="C778" i="1"/>
  <c r="AB778" i="1"/>
  <c r="C779" i="1"/>
  <c r="AB779" i="1"/>
  <c r="C780" i="1"/>
  <c r="AB780" i="1"/>
  <c r="C781" i="1"/>
  <c r="AB781" i="1"/>
  <c r="C782" i="1"/>
  <c r="AB782" i="1"/>
  <c r="C783" i="1"/>
  <c r="AB783" i="1"/>
  <c r="C784" i="1"/>
  <c r="AB784" i="1"/>
  <c r="C785" i="1"/>
  <c r="AB785" i="1"/>
  <c r="C786" i="1"/>
  <c r="AB786" i="1"/>
  <c r="C787" i="1"/>
  <c r="AB787" i="1"/>
  <c r="C788" i="1"/>
  <c r="AB788" i="1"/>
  <c r="C789" i="1"/>
  <c r="AB789" i="1"/>
  <c r="C790" i="1"/>
  <c r="AB790" i="1"/>
  <c r="C791" i="1"/>
  <c r="AB791" i="1"/>
  <c r="C792" i="1"/>
  <c r="AB792" i="1"/>
  <c r="C793" i="1"/>
  <c r="AB793" i="1"/>
  <c r="C794" i="1"/>
  <c r="AB794" i="1"/>
  <c r="C795" i="1"/>
  <c r="AB795" i="1"/>
  <c r="C796" i="1"/>
  <c r="AB796" i="1"/>
  <c r="C797" i="1"/>
  <c r="AB797" i="1"/>
  <c r="C798" i="1"/>
  <c r="AB798" i="1"/>
  <c r="C799" i="1"/>
  <c r="AB799" i="1"/>
  <c r="C800" i="1"/>
  <c r="AB800" i="1"/>
  <c r="C801" i="1"/>
  <c r="AB801" i="1"/>
  <c r="C802" i="1"/>
  <c r="AB802" i="1"/>
  <c r="C803" i="1"/>
  <c r="AB803" i="1"/>
  <c r="C804" i="1"/>
  <c r="AB804" i="1"/>
  <c r="C805" i="1"/>
  <c r="AB805" i="1"/>
  <c r="C806" i="1"/>
  <c r="AB806" i="1"/>
  <c r="C807" i="1"/>
  <c r="AB807" i="1"/>
  <c r="C808" i="1"/>
  <c r="AB808" i="1"/>
  <c r="C809" i="1"/>
  <c r="AB809" i="1"/>
  <c r="C810" i="1"/>
  <c r="AB810" i="1"/>
  <c r="C811" i="1"/>
  <c r="AB811" i="1"/>
  <c r="C812" i="1"/>
  <c r="AB812" i="1"/>
  <c r="C813" i="1"/>
  <c r="AB813" i="1"/>
  <c r="C814" i="1"/>
  <c r="AB814" i="1"/>
  <c r="C815" i="1"/>
  <c r="AB815" i="1"/>
  <c r="C816" i="1"/>
  <c r="AB816" i="1"/>
  <c r="C817" i="1"/>
  <c r="AB817" i="1"/>
  <c r="C818" i="1"/>
  <c r="AB818" i="1"/>
  <c r="C819" i="1"/>
  <c r="AB819" i="1"/>
  <c r="C820" i="1"/>
  <c r="AB820" i="1"/>
  <c r="C821" i="1"/>
  <c r="AB821" i="1"/>
  <c r="C822" i="1"/>
  <c r="AB822" i="1"/>
  <c r="C823" i="1"/>
  <c r="AB823" i="1"/>
  <c r="C824" i="1"/>
  <c r="AB824" i="1"/>
  <c r="C825" i="1"/>
  <c r="AB825" i="1"/>
  <c r="C826" i="1"/>
  <c r="AB826" i="1"/>
  <c r="C827" i="1"/>
  <c r="AB827" i="1"/>
  <c r="C828" i="1"/>
  <c r="AB828" i="1"/>
  <c r="C829" i="1"/>
  <c r="AB829" i="1"/>
  <c r="C830" i="1"/>
  <c r="AB830" i="1"/>
  <c r="C831" i="1"/>
  <c r="AB831" i="1"/>
  <c r="C832" i="1"/>
  <c r="AB832" i="1"/>
  <c r="C833" i="1"/>
  <c r="AB833" i="1"/>
  <c r="C834" i="1"/>
  <c r="AB834" i="1"/>
  <c r="C835" i="1"/>
  <c r="AB835" i="1"/>
  <c r="C836" i="1"/>
  <c r="AB836" i="1"/>
  <c r="C837" i="1"/>
  <c r="AB837" i="1"/>
  <c r="C838" i="1"/>
  <c r="AB838" i="1"/>
  <c r="C839" i="1"/>
  <c r="AB839" i="1"/>
  <c r="C840" i="1"/>
  <c r="AB840" i="1"/>
  <c r="C841" i="1"/>
  <c r="AB841" i="1"/>
  <c r="C842" i="1"/>
  <c r="AB842" i="1"/>
  <c r="C843" i="1"/>
  <c r="AB843" i="1"/>
  <c r="C844" i="1"/>
  <c r="AB844" i="1"/>
  <c r="C845" i="1"/>
  <c r="AB845" i="1"/>
  <c r="C846" i="1"/>
  <c r="AB846" i="1"/>
  <c r="C847" i="1"/>
  <c r="AB847" i="1"/>
  <c r="C848" i="1"/>
  <c r="AB848" i="1"/>
  <c r="C849" i="1"/>
  <c r="AB849" i="1"/>
  <c r="C850" i="1"/>
  <c r="AB850" i="1"/>
  <c r="C851" i="1"/>
  <c r="AB851" i="1"/>
  <c r="C852" i="1"/>
  <c r="AB852" i="1"/>
  <c r="C853" i="1"/>
  <c r="AB853" i="1"/>
  <c r="C854" i="1"/>
  <c r="AB854" i="1"/>
  <c r="C855" i="1"/>
  <c r="AB855" i="1"/>
  <c r="C856" i="1"/>
  <c r="AB856" i="1"/>
  <c r="C857" i="1"/>
  <c r="AB857" i="1"/>
  <c r="C858" i="1"/>
  <c r="AB858" i="1"/>
  <c r="C859" i="1"/>
  <c r="AB859" i="1"/>
  <c r="C860" i="1"/>
  <c r="AB860" i="1"/>
  <c r="C861" i="1"/>
  <c r="AB861" i="1"/>
  <c r="C862" i="1"/>
  <c r="AB862" i="1"/>
  <c r="C863" i="1"/>
  <c r="AB863" i="1"/>
  <c r="C864" i="1"/>
  <c r="AB864" i="1"/>
  <c r="C865" i="1"/>
  <c r="AB865" i="1"/>
  <c r="C866" i="1"/>
  <c r="AB866" i="1"/>
  <c r="C867" i="1"/>
  <c r="AB867" i="1"/>
  <c r="C868" i="1"/>
  <c r="AB868" i="1"/>
  <c r="C869" i="1"/>
  <c r="AB869" i="1"/>
  <c r="C870" i="1"/>
  <c r="AB870" i="1"/>
  <c r="C871" i="1"/>
  <c r="AB871" i="1"/>
  <c r="C872" i="1"/>
  <c r="AB872" i="1"/>
  <c r="C873" i="1"/>
  <c r="AB873" i="1"/>
  <c r="C874" i="1"/>
  <c r="AB874" i="1"/>
  <c r="C875" i="1"/>
  <c r="AB875" i="1"/>
  <c r="C876" i="1"/>
  <c r="AB876" i="1"/>
  <c r="C877" i="1"/>
  <c r="AB877" i="1"/>
  <c r="C878" i="1"/>
  <c r="AB878" i="1"/>
  <c r="C879" i="1"/>
  <c r="AB879" i="1"/>
  <c r="C880" i="1"/>
  <c r="AB880" i="1"/>
  <c r="C881" i="1"/>
  <c r="AB881" i="1"/>
  <c r="C882" i="1"/>
  <c r="AB882" i="1"/>
  <c r="C883" i="1"/>
  <c r="AB883" i="1"/>
  <c r="C884" i="1"/>
  <c r="AB884" i="1"/>
  <c r="C885" i="1"/>
  <c r="AB885" i="1"/>
  <c r="C886" i="1"/>
  <c r="AB886" i="1"/>
  <c r="C887" i="1"/>
  <c r="AB887" i="1"/>
  <c r="C888" i="1"/>
  <c r="AB888" i="1"/>
  <c r="C889" i="1"/>
  <c r="AB889" i="1"/>
  <c r="C890" i="1"/>
  <c r="AB890" i="1"/>
  <c r="C891" i="1"/>
  <c r="AB891" i="1"/>
  <c r="C892" i="1"/>
  <c r="AB892" i="1"/>
  <c r="C893" i="1"/>
  <c r="AB893" i="1"/>
  <c r="C894" i="1"/>
  <c r="AB894" i="1"/>
  <c r="C895" i="1"/>
  <c r="AB895" i="1"/>
  <c r="C896" i="1"/>
  <c r="AB896" i="1"/>
  <c r="C897" i="1"/>
  <c r="AB897" i="1"/>
  <c r="C898" i="1"/>
  <c r="AB898" i="1"/>
  <c r="C899" i="1"/>
  <c r="AB899" i="1"/>
  <c r="C900" i="1"/>
  <c r="AB900" i="1"/>
  <c r="C901" i="1"/>
  <c r="AB901" i="1"/>
  <c r="C902" i="1"/>
  <c r="AB902" i="1"/>
  <c r="C903" i="1"/>
  <c r="AB903" i="1"/>
  <c r="C904" i="1"/>
  <c r="AB904" i="1"/>
  <c r="C905" i="1"/>
  <c r="AB905" i="1"/>
  <c r="C906" i="1"/>
  <c r="AB906" i="1"/>
  <c r="C907" i="1"/>
  <c r="AB907" i="1"/>
  <c r="C908" i="1"/>
  <c r="AB908" i="1"/>
  <c r="C909" i="1"/>
  <c r="AB909" i="1"/>
  <c r="C910" i="1"/>
  <c r="AB910" i="1"/>
  <c r="C911" i="1"/>
  <c r="AB911" i="1"/>
  <c r="C912" i="1"/>
  <c r="AB912" i="1"/>
  <c r="C913" i="1"/>
  <c r="AB913" i="1"/>
  <c r="C914" i="1"/>
  <c r="AB914" i="1"/>
  <c r="C915" i="1"/>
  <c r="AB915" i="1"/>
  <c r="C916" i="1"/>
  <c r="AB916" i="1"/>
  <c r="C917" i="1"/>
  <c r="AB917" i="1"/>
  <c r="C918" i="1"/>
  <c r="AB918" i="1"/>
  <c r="C919" i="1"/>
  <c r="AB919" i="1"/>
  <c r="C920" i="1"/>
  <c r="AB920" i="1"/>
  <c r="C921" i="1"/>
  <c r="AB921" i="1"/>
  <c r="C922" i="1"/>
  <c r="AB922" i="1"/>
  <c r="C923" i="1"/>
  <c r="AB923" i="1"/>
  <c r="C924" i="1"/>
  <c r="AB924" i="1"/>
  <c r="C925" i="1"/>
  <c r="AB925" i="1"/>
  <c r="C926" i="1"/>
  <c r="AB926" i="1"/>
  <c r="C927" i="1"/>
  <c r="AB927" i="1"/>
  <c r="C928" i="1"/>
  <c r="AB928" i="1"/>
  <c r="C929" i="1"/>
  <c r="AB929" i="1"/>
  <c r="C930" i="1"/>
  <c r="AB930" i="1"/>
  <c r="C931" i="1"/>
  <c r="AB931" i="1"/>
  <c r="C932" i="1"/>
  <c r="AB932" i="1"/>
  <c r="C933" i="1"/>
  <c r="AB933" i="1"/>
  <c r="C934" i="1"/>
  <c r="AB934" i="1"/>
  <c r="C935" i="1"/>
  <c r="AB935" i="1"/>
  <c r="C936" i="1"/>
  <c r="AB936" i="1"/>
  <c r="C937" i="1"/>
  <c r="AB937" i="1"/>
  <c r="C938" i="1"/>
  <c r="AB938" i="1"/>
  <c r="C939" i="1"/>
  <c r="AB939" i="1"/>
  <c r="C940" i="1"/>
  <c r="AB940" i="1"/>
  <c r="C941" i="1"/>
  <c r="AB941" i="1"/>
  <c r="C942" i="1"/>
  <c r="AB942" i="1"/>
  <c r="C943" i="1"/>
  <c r="AB943" i="1"/>
  <c r="C944" i="1"/>
  <c r="AB944" i="1"/>
  <c r="C945" i="1"/>
  <c r="AB945" i="1"/>
  <c r="C946" i="1"/>
  <c r="AB946" i="1"/>
  <c r="C947" i="1"/>
  <c r="AB947" i="1"/>
  <c r="C948" i="1"/>
  <c r="AB948" i="1"/>
  <c r="C949" i="1"/>
  <c r="AB949" i="1"/>
  <c r="C950" i="1"/>
  <c r="AB950" i="1"/>
  <c r="C951" i="1"/>
  <c r="AB951" i="1"/>
  <c r="C952" i="1"/>
  <c r="AB952" i="1"/>
  <c r="C953" i="1"/>
  <c r="AB953" i="1"/>
  <c r="C954" i="1"/>
  <c r="AB954" i="1"/>
  <c r="C955" i="1"/>
  <c r="AB955" i="1"/>
  <c r="C956" i="1"/>
  <c r="AB956" i="1"/>
  <c r="C957" i="1"/>
  <c r="AB957" i="1"/>
  <c r="C958" i="1"/>
  <c r="AB958" i="1"/>
  <c r="C959" i="1"/>
  <c r="AB959" i="1"/>
  <c r="C960" i="1"/>
  <c r="AB960" i="1"/>
  <c r="C961" i="1"/>
  <c r="AB961" i="1"/>
  <c r="C962" i="1"/>
  <c r="AB962" i="1"/>
  <c r="C963" i="1"/>
  <c r="AB963" i="1"/>
  <c r="C964" i="1"/>
  <c r="AB964" i="1"/>
  <c r="C965" i="1"/>
  <c r="AB965" i="1"/>
  <c r="C966" i="1"/>
  <c r="AB966" i="1"/>
  <c r="C967" i="1"/>
  <c r="AB967" i="1"/>
  <c r="C968" i="1"/>
  <c r="AB968" i="1"/>
  <c r="C969" i="1"/>
  <c r="AB969" i="1"/>
  <c r="C970" i="1"/>
  <c r="AB970" i="1"/>
  <c r="C971" i="1"/>
  <c r="AB971" i="1"/>
  <c r="C972" i="1"/>
  <c r="AB972" i="1"/>
  <c r="C973" i="1"/>
  <c r="AB973" i="1"/>
  <c r="C974" i="1"/>
  <c r="AB974" i="1"/>
  <c r="C975" i="1"/>
  <c r="AB975" i="1"/>
  <c r="C976" i="1"/>
  <c r="AB976" i="1"/>
  <c r="C977" i="1"/>
  <c r="AB977" i="1"/>
  <c r="C978" i="1"/>
  <c r="AB978" i="1"/>
  <c r="C979" i="1"/>
  <c r="AB979" i="1"/>
  <c r="C980" i="1"/>
  <c r="AB980" i="1"/>
  <c r="C981" i="1"/>
  <c r="AB981" i="1"/>
  <c r="C982" i="1"/>
  <c r="AB982" i="1"/>
  <c r="C983" i="1"/>
  <c r="AB983" i="1"/>
  <c r="C984" i="1"/>
  <c r="AB984" i="1"/>
  <c r="C985" i="1"/>
  <c r="AB985" i="1"/>
  <c r="C986" i="1"/>
  <c r="AB986" i="1"/>
  <c r="C987" i="1"/>
  <c r="AB987" i="1"/>
  <c r="C988" i="1"/>
  <c r="AB988" i="1"/>
  <c r="C989" i="1"/>
  <c r="AB989" i="1"/>
  <c r="C990" i="1"/>
  <c r="AB990" i="1"/>
  <c r="C991" i="1"/>
  <c r="AB991" i="1"/>
  <c r="C992" i="1"/>
  <c r="AB992" i="1"/>
  <c r="C993" i="1"/>
  <c r="AB993" i="1"/>
  <c r="C994" i="1"/>
  <c r="AB994" i="1"/>
  <c r="C995" i="1"/>
  <c r="AB995" i="1"/>
  <c r="C996" i="1"/>
  <c r="AB996" i="1"/>
  <c r="C997" i="1"/>
  <c r="AB997" i="1"/>
  <c r="C998" i="1"/>
  <c r="AB998" i="1"/>
  <c r="C999" i="1"/>
  <c r="AB999" i="1"/>
  <c r="C1000" i="1"/>
  <c r="AB1000" i="1"/>
  <c r="C1001" i="1"/>
  <c r="AB1001" i="1"/>
  <c r="C1002" i="1"/>
  <c r="AB1002" i="1"/>
  <c r="C1003" i="1"/>
  <c r="AB1003" i="1"/>
  <c r="C1004" i="1"/>
  <c r="AB1004" i="1"/>
  <c r="C1005" i="1"/>
  <c r="AB1005" i="1"/>
  <c r="C1006" i="1"/>
  <c r="AB1006" i="1"/>
  <c r="C1007" i="1"/>
  <c r="AB1007" i="1"/>
  <c r="C1008" i="1"/>
  <c r="AB1008" i="1"/>
  <c r="C1009" i="1"/>
  <c r="AB1009" i="1"/>
  <c r="C1010" i="1"/>
  <c r="AB1010" i="1"/>
  <c r="C1011" i="1"/>
  <c r="AB1011" i="1"/>
  <c r="C1012" i="1"/>
  <c r="AB1012" i="1"/>
  <c r="C1013" i="1"/>
  <c r="AB1013" i="1"/>
  <c r="C1014" i="1"/>
  <c r="AB1014" i="1"/>
  <c r="C1015" i="1"/>
  <c r="AB1015" i="1"/>
  <c r="C1016" i="1"/>
  <c r="AB1016" i="1"/>
  <c r="C1017" i="1"/>
  <c r="AB1017" i="1"/>
  <c r="C1018" i="1"/>
  <c r="AB1018" i="1"/>
  <c r="C1019" i="1"/>
  <c r="AB1019" i="1"/>
  <c r="C1020" i="1"/>
  <c r="AB1020" i="1"/>
  <c r="C1021" i="1"/>
  <c r="AB1021" i="1"/>
  <c r="C1022" i="1"/>
  <c r="AB1022" i="1"/>
  <c r="C1023" i="1"/>
  <c r="AB1023" i="1"/>
  <c r="C1024" i="1"/>
  <c r="AB1024" i="1"/>
  <c r="C1025" i="1"/>
  <c r="AB1025" i="1"/>
  <c r="C1026" i="1"/>
  <c r="AB1026" i="1"/>
  <c r="C1027" i="1"/>
  <c r="AB1027" i="1"/>
  <c r="C1028" i="1"/>
  <c r="AB1028" i="1"/>
  <c r="C1029" i="1"/>
  <c r="AB1029" i="1"/>
  <c r="C1030" i="1"/>
  <c r="AB1030" i="1"/>
  <c r="C1031" i="1"/>
  <c r="AB1031" i="1"/>
  <c r="C1032" i="1"/>
  <c r="AB1032" i="1"/>
  <c r="C1033" i="1"/>
  <c r="AB1033" i="1"/>
  <c r="C1034" i="1"/>
  <c r="AB1034" i="1"/>
  <c r="C1035" i="1"/>
  <c r="AB1035" i="1"/>
  <c r="C1036" i="1"/>
  <c r="AB1036" i="1"/>
  <c r="C1037" i="1"/>
  <c r="AB1037" i="1"/>
  <c r="C1038" i="1"/>
  <c r="AB1038" i="1"/>
  <c r="C1039" i="1"/>
  <c r="AB1039" i="1"/>
  <c r="C1040" i="1"/>
  <c r="AB1040" i="1"/>
  <c r="C1041" i="1"/>
  <c r="AB1041" i="1"/>
  <c r="C1042" i="1"/>
  <c r="AB1042" i="1"/>
  <c r="C1043" i="1"/>
  <c r="AB1043" i="1"/>
  <c r="C1044" i="1"/>
  <c r="AB1044" i="1"/>
  <c r="C1045" i="1"/>
  <c r="AB1045" i="1"/>
  <c r="C1046" i="1"/>
  <c r="AB1046" i="1"/>
  <c r="C1047" i="1"/>
  <c r="AB1047" i="1"/>
  <c r="C1048" i="1"/>
  <c r="AB1048" i="1"/>
  <c r="C1049" i="1"/>
  <c r="AB1049" i="1"/>
  <c r="C1050" i="1"/>
  <c r="AB1050" i="1"/>
  <c r="C1051" i="1"/>
  <c r="AB1051" i="1"/>
  <c r="C1052" i="1"/>
  <c r="AB1052" i="1"/>
  <c r="C1053" i="1"/>
  <c r="AB1053" i="1"/>
  <c r="C1054" i="1"/>
  <c r="AB1054" i="1"/>
  <c r="C1055" i="1"/>
  <c r="AB1055" i="1"/>
  <c r="C1056" i="1"/>
  <c r="AB1056" i="1"/>
  <c r="C1057" i="1"/>
  <c r="AB1057" i="1"/>
  <c r="C1058" i="1"/>
  <c r="AB1058" i="1"/>
  <c r="C1059" i="1"/>
  <c r="AB1059" i="1"/>
  <c r="C1060" i="1"/>
  <c r="AB1060" i="1"/>
  <c r="C1061" i="1"/>
  <c r="AB1061" i="1"/>
  <c r="C1062" i="1"/>
  <c r="AB1062" i="1"/>
  <c r="C1063" i="1"/>
  <c r="AB1063" i="1"/>
  <c r="C1064" i="1"/>
  <c r="AB1064" i="1"/>
  <c r="C1065" i="1"/>
  <c r="AB1065" i="1"/>
  <c r="C1066" i="1"/>
  <c r="AB1066" i="1"/>
  <c r="C1067" i="1"/>
  <c r="AB1067" i="1"/>
  <c r="C1068" i="1"/>
  <c r="AB1068" i="1"/>
  <c r="C1069" i="1"/>
  <c r="AB1069" i="1"/>
  <c r="C1070" i="1"/>
  <c r="AB1070" i="1"/>
  <c r="C1071" i="1"/>
  <c r="AB1071" i="1"/>
  <c r="C1072" i="1"/>
  <c r="AB1072" i="1"/>
  <c r="C1073" i="1"/>
  <c r="AB1073" i="1"/>
  <c r="C1074" i="1"/>
  <c r="AB1074" i="1"/>
  <c r="C1075" i="1"/>
  <c r="AB1075" i="1"/>
  <c r="C1076" i="1"/>
  <c r="AB1076" i="1"/>
  <c r="C1077" i="1"/>
  <c r="AB1077" i="1"/>
  <c r="C1078" i="1"/>
  <c r="AB1078" i="1"/>
  <c r="C1079" i="1"/>
  <c r="AB1079" i="1"/>
  <c r="C1080" i="1"/>
  <c r="AB1080" i="1"/>
  <c r="C1081" i="1"/>
  <c r="AB1081" i="1"/>
  <c r="C1082" i="1"/>
  <c r="AB1082" i="1"/>
  <c r="C1083" i="1"/>
  <c r="AB1083" i="1"/>
  <c r="C1084" i="1"/>
  <c r="AB1084" i="1"/>
  <c r="C1085" i="1"/>
  <c r="AB1085" i="1"/>
  <c r="C1086" i="1"/>
  <c r="AB1086" i="1"/>
  <c r="C1087" i="1"/>
  <c r="AB1087" i="1"/>
  <c r="C1088" i="1"/>
  <c r="AB1088" i="1"/>
  <c r="C1089" i="1"/>
  <c r="AB1089" i="1"/>
  <c r="C1090" i="1"/>
  <c r="AB1090" i="1"/>
  <c r="C1091" i="1"/>
  <c r="AB1091" i="1"/>
  <c r="C1092" i="1"/>
  <c r="AB1092" i="1"/>
  <c r="C1093" i="1"/>
  <c r="AB1093" i="1"/>
  <c r="C1094" i="1"/>
  <c r="AB1094" i="1"/>
  <c r="C1095" i="1"/>
  <c r="AB1095" i="1"/>
  <c r="C1096" i="1"/>
  <c r="AB1096" i="1"/>
  <c r="C1097" i="1"/>
  <c r="AB1097" i="1"/>
  <c r="C1098" i="1"/>
  <c r="AB1098" i="1"/>
  <c r="C1099" i="1"/>
  <c r="AB1099" i="1"/>
  <c r="C1100" i="1"/>
  <c r="AB1100" i="1"/>
  <c r="C1101" i="1"/>
  <c r="AB1101" i="1"/>
  <c r="C1102" i="1"/>
  <c r="AB1102" i="1"/>
  <c r="C1103" i="1"/>
  <c r="AB1103" i="1"/>
  <c r="C1104" i="1"/>
  <c r="AB1104" i="1"/>
  <c r="C1105" i="1"/>
  <c r="AB1105" i="1"/>
  <c r="C1106" i="1"/>
  <c r="AB1106" i="1"/>
  <c r="C1107" i="1"/>
  <c r="AB1107" i="1"/>
  <c r="C1108" i="1"/>
  <c r="AB1108" i="1"/>
  <c r="C1109" i="1"/>
  <c r="AB1109" i="1"/>
  <c r="C1110" i="1"/>
  <c r="AB1110" i="1"/>
  <c r="C1111" i="1"/>
  <c r="AB1111" i="1"/>
  <c r="C1112" i="1"/>
  <c r="AB1112" i="1"/>
  <c r="C1113" i="1"/>
  <c r="AB1113" i="1"/>
  <c r="C1114" i="1"/>
  <c r="AB1114" i="1"/>
  <c r="C1115" i="1"/>
  <c r="AB1115" i="1"/>
  <c r="C1116" i="1"/>
  <c r="AB1116" i="1"/>
  <c r="C1117" i="1"/>
  <c r="AB1117" i="1"/>
  <c r="C1118" i="1"/>
  <c r="AB1118" i="1"/>
  <c r="C1119" i="1"/>
  <c r="AB1119" i="1"/>
  <c r="C1120" i="1"/>
  <c r="AB1120" i="1"/>
  <c r="C1121" i="1"/>
  <c r="AB1121" i="1"/>
  <c r="C1122" i="1"/>
  <c r="AB1122" i="1"/>
  <c r="C1123" i="1"/>
  <c r="AB1123" i="1"/>
  <c r="C1124" i="1"/>
  <c r="AB1124" i="1"/>
  <c r="C1125" i="1"/>
  <c r="AB1125" i="1"/>
  <c r="C1126" i="1"/>
  <c r="AB1126" i="1"/>
  <c r="C1127" i="1"/>
  <c r="AB1127" i="1"/>
  <c r="C1128" i="1"/>
  <c r="AB1128" i="1"/>
  <c r="C1129" i="1"/>
  <c r="AB1129" i="1"/>
  <c r="C1130" i="1"/>
  <c r="AB1130" i="1"/>
  <c r="C1131" i="1"/>
  <c r="AB1131" i="1"/>
  <c r="C1132" i="1"/>
  <c r="AB1132" i="1"/>
  <c r="C1133" i="1"/>
  <c r="AB1133" i="1"/>
  <c r="C1134" i="1"/>
  <c r="AB1134" i="1"/>
  <c r="C1135" i="1"/>
  <c r="AB1135" i="1"/>
  <c r="C1136" i="1"/>
  <c r="AB1136" i="1"/>
  <c r="C1137" i="1"/>
  <c r="AB1137" i="1"/>
  <c r="C1138" i="1"/>
  <c r="AB1138" i="1"/>
  <c r="C1139" i="1"/>
  <c r="AB1139" i="1"/>
  <c r="C1140" i="1"/>
  <c r="AB1140" i="1"/>
  <c r="C1141" i="1"/>
  <c r="AB1141" i="1"/>
  <c r="C1142" i="1"/>
  <c r="AB1142" i="1"/>
  <c r="C1143" i="1"/>
  <c r="AB1143" i="1"/>
  <c r="C1144" i="1"/>
  <c r="AB1144" i="1"/>
  <c r="C1145" i="1"/>
  <c r="AB1145" i="1"/>
  <c r="C1146" i="1"/>
  <c r="AB1146" i="1"/>
  <c r="C1147" i="1"/>
  <c r="AB1147" i="1"/>
  <c r="C1148" i="1"/>
  <c r="AB1148" i="1"/>
  <c r="C1149" i="1"/>
  <c r="AB1149" i="1"/>
  <c r="C1150" i="1"/>
  <c r="AB1150" i="1"/>
  <c r="C1151" i="1"/>
  <c r="AB1151" i="1"/>
  <c r="C1152" i="1"/>
  <c r="AB1152" i="1"/>
  <c r="C1153" i="1"/>
  <c r="AB1153" i="1"/>
  <c r="C1154" i="1"/>
  <c r="AB1154" i="1"/>
  <c r="C1155" i="1"/>
  <c r="AB1155" i="1"/>
  <c r="C1156" i="1"/>
  <c r="AB1156" i="1"/>
  <c r="C1157" i="1"/>
  <c r="AB1157" i="1"/>
  <c r="C1158" i="1"/>
  <c r="AB1158" i="1"/>
  <c r="C1159" i="1"/>
  <c r="AB1159" i="1"/>
  <c r="C1160" i="1"/>
  <c r="AB1160" i="1"/>
  <c r="C1161" i="1"/>
  <c r="AB1161" i="1"/>
  <c r="C1162" i="1"/>
  <c r="AB1162" i="1"/>
  <c r="C1163" i="1"/>
  <c r="AB1163" i="1"/>
  <c r="C1164" i="1"/>
  <c r="AB1164" i="1"/>
  <c r="C1165" i="1"/>
  <c r="AB1165" i="1"/>
  <c r="C1166" i="1"/>
  <c r="AB1166" i="1"/>
  <c r="C1167" i="1"/>
  <c r="AB1167" i="1"/>
  <c r="C1168" i="1"/>
  <c r="AB1168" i="1"/>
  <c r="C1169" i="1"/>
  <c r="AB1169" i="1"/>
  <c r="C1170" i="1"/>
  <c r="AB1170" i="1"/>
  <c r="C1171" i="1"/>
  <c r="AB1171" i="1"/>
  <c r="C1172" i="1"/>
  <c r="AB1172" i="1"/>
  <c r="C1173" i="1"/>
  <c r="AB1173" i="1"/>
  <c r="C1174" i="1"/>
  <c r="AB1174" i="1"/>
  <c r="C1175" i="1"/>
  <c r="AB1175" i="1"/>
  <c r="C1176" i="1"/>
  <c r="AB1176" i="1"/>
  <c r="C1177" i="1"/>
  <c r="AB1177" i="1"/>
  <c r="C1178" i="1"/>
  <c r="AB1178" i="1"/>
  <c r="C1179" i="1"/>
  <c r="AB1179" i="1"/>
  <c r="C1180" i="1"/>
  <c r="AB1180" i="1"/>
  <c r="C1181" i="1"/>
  <c r="AB1181" i="1"/>
  <c r="C1182" i="1"/>
  <c r="AB1182" i="1"/>
  <c r="C1183" i="1"/>
  <c r="AB1183" i="1"/>
  <c r="C1184" i="1"/>
  <c r="AB1184" i="1"/>
  <c r="C1185" i="1"/>
  <c r="AB1185" i="1"/>
  <c r="C1186" i="1"/>
  <c r="AB1186" i="1"/>
  <c r="C1187" i="1"/>
  <c r="AB1187" i="1"/>
  <c r="C1188" i="1"/>
  <c r="AB1188" i="1"/>
  <c r="C1189" i="1"/>
  <c r="AB1189" i="1"/>
  <c r="C1190" i="1"/>
  <c r="AB1190" i="1"/>
  <c r="C1191" i="1"/>
  <c r="AB1191" i="1"/>
  <c r="C1192" i="1"/>
  <c r="AB1192" i="1"/>
  <c r="C1193" i="1"/>
  <c r="AB1193" i="1"/>
  <c r="C1194" i="1"/>
  <c r="AB1194" i="1"/>
  <c r="C1195" i="1"/>
  <c r="AB1195" i="1"/>
  <c r="C1196" i="1"/>
  <c r="AB1196" i="1"/>
  <c r="C1197" i="1"/>
  <c r="AB1197" i="1"/>
  <c r="C1198" i="1"/>
  <c r="AB1198" i="1"/>
  <c r="C1199" i="1"/>
  <c r="AB1199" i="1"/>
  <c r="C1200" i="1"/>
  <c r="AB1200" i="1"/>
  <c r="C1201" i="1"/>
  <c r="AB1201" i="1"/>
  <c r="C1202" i="1"/>
  <c r="AB1202" i="1"/>
  <c r="C1203" i="1"/>
  <c r="AB1203" i="1"/>
  <c r="C1204" i="1"/>
  <c r="AB1204" i="1"/>
  <c r="C1205" i="1"/>
  <c r="AB1205" i="1"/>
  <c r="C1206" i="1"/>
  <c r="AB1206" i="1"/>
  <c r="C1207" i="1"/>
  <c r="AB1207" i="1"/>
  <c r="C1208" i="1"/>
  <c r="AB1208" i="1"/>
  <c r="C1209" i="1"/>
  <c r="AB1209" i="1"/>
  <c r="C1210" i="1"/>
  <c r="AB1210" i="1"/>
  <c r="C1211" i="1"/>
  <c r="AB1211" i="1"/>
  <c r="C1212" i="1"/>
  <c r="AB1212" i="1"/>
  <c r="C1213" i="1"/>
  <c r="AB1213" i="1"/>
  <c r="C1214" i="1"/>
  <c r="AB1214" i="1"/>
  <c r="C1215" i="1"/>
  <c r="AB1215" i="1"/>
  <c r="C1216" i="1"/>
  <c r="AB1216" i="1"/>
  <c r="C1217" i="1"/>
  <c r="AB1217" i="1"/>
  <c r="C1218" i="1"/>
  <c r="AB1218" i="1"/>
  <c r="C1219" i="1"/>
  <c r="AB1219" i="1"/>
  <c r="C1220" i="1"/>
  <c r="AB1220" i="1"/>
  <c r="C1221" i="1"/>
  <c r="AB1221" i="1"/>
  <c r="C1222" i="1"/>
  <c r="AB1222" i="1"/>
  <c r="C1223" i="1"/>
  <c r="AB1223" i="1"/>
  <c r="C1224" i="1"/>
  <c r="AB1224" i="1"/>
  <c r="C1225" i="1"/>
  <c r="AB1225" i="1"/>
  <c r="C1226" i="1"/>
  <c r="AB1226" i="1"/>
  <c r="C1227" i="1"/>
  <c r="AB1227" i="1"/>
  <c r="C1228" i="1"/>
  <c r="AB1228" i="1"/>
  <c r="C1229" i="1"/>
  <c r="AB1229" i="1"/>
  <c r="C1230" i="1"/>
  <c r="AB1230" i="1"/>
  <c r="C1231" i="1"/>
  <c r="AB1231" i="1"/>
  <c r="C1232" i="1"/>
  <c r="AB1232" i="1"/>
  <c r="C1233" i="1"/>
  <c r="AB1233" i="1"/>
  <c r="C1234" i="1"/>
  <c r="AB1234" i="1"/>
  <c r="C1235" i="1"/>
  <c r="AB1235" i="1"/>
  <c r="C1236" i="1"/>
  <c r="AB1236" i="1"/>
  <c r="C1237" i="1"/>
  <c r="AB1237" i="1"/>
  <c r="C1238" i="1"/>
  <c r="AB1238" i="1"/>
  <c r="C1239" i="1"/>
  <c r="AB1239" i="1"/>
  <c r="C1240" i="1"/>
  <c r="AB1240" i="1"/>
  <c r="C1241" i="1"/>
  <c r="AB1241" i="1"/>
  <c r="C1242" i="1"/>
  <c r="AB1242" i="1"/>
  <c r="C1243" i="1"/>
  <c r="AB1243" i="1"/>
  <c r="C1244" i="1"/>
  <c r="AB1244" i="1"/>
  <c r="C1245" i="1"/>
  <c r="AB1245" i="1"/>
  <c r="C1246" i="1"/>
  <c r="AB1246" i="1"/>
  <c r="C1247" i="1"/>
  <c r="AB1247" i="1"/>
  <c r="C1248" i="1"/>
  <c r="AB1248" i="1"/>
  <c r="C1249" i="1"/>
  <c r="AB1249" i="1"/>
  <c r="C1250" i="1"/>
  <c r="AB1250" i="1"/>
  <c r="C1251" i="1"/>
  <c r="AB1251" i="1"/>
  <c r="C1252" i="1"/>
  <c r="AB1252" i="1"/>
  <c r="C1253" i="1"/>
  <c r="AB1253" i="1"/>
  <c r="C1254" i="1"/>
  <c r="AB1254" i="1"/>
  <c r="C1255" i="1"/>
  <c r="AB1255" i="1"/>
  <c r="C1256" i="1"/>
  <c r="AB1256" i="1"/>
  <c r="C1257" i="1"/>
  <c r="AB1257" i="1"/>
  <c r="C1258" i="1"/>
  <c r="AB1258" i="1"/>
  <c r="C1259" i="1"/>
  <c r="AB1259" i="1"/>
  <c r="C1260" i="1"/>
  <c r="AB1260" i="1"/>
  <c r="C1261" i="1"/>
  <c r="AB1261" i="1"/>
  <c r="C1262" i="1"/>
  <c r="AB1262" i="1"/>
  <c r="C1263" i="1"/>
  <c r="AB1263" i="1"/>
  <c r="C1264" i="1"/>
  <c r="AB1264" i="1"/>
  <c r="C1265" i="1"/>
  <c r="AB1265" i="1"/>
  <c r="C1266" i="1"/>
  <c r="AB1266" i="1"/>
  <c r="C1267" i="1"/>
  <c r="AB1267" i="1"/>
  <c r="C1268" i="1"/>
  <c r="AB1268" i="1"/>
  <c r="C1269" i="1"/>
  <c r="AB1269" i="1"/>
  <c r="C1270" i="1"/>
  <c r="AB1270" i="1"/>
  <c r="C1271" i="1"/>
  <c r="AB1271" i="1"/>
  <c r="C1272" i="1"/>
  <c r="AB1272" i="1"/>
  <c r="C1273" i="1"/>
  <c r="AB1273" i="1"/>
  <c r="C1274" i="1"/>
  <c r="AB1274" i="1"/>
  <c r="C1275" i="1"/>
  <c r="AB1275" i="1"/>
  <c r="C1276" i="1"/>
  <c r="AB1276" i="1"/>
  <c r="C1277" i="1"/>
  <c r="AB1277" i="1"/>
  <c r="C1278" i="1"/>
  <c r="AB1278" i="1"/>
  <c r="C1279" i="1"/>
  <c r="AB1279" i="1"/>
  <c r="C1280" i="1"/>
  <c r="AB1280" i="1"/>
  <c r="C1281" i="1"/>
  <c r="AB1281" i="1"/>
  <c r="C1282" i="1"/>
  <c r="AB1282" i="1"/>
  <c r="C1283" i="1"/>
  <c r="AB1283" i="1"/>
  <c r="C1284" i="1"/>
  <c r="AB1284" i="1"/>
  <c r="C1285" i="1"/>
  <c r="AB1285" i="1"/>
  <c r="C1286" i="1"/>
  <c r="AB1286" i="1"/>
  <c r="C1287" i="1"/>
  <c r="AB1287" i="1"/>
  <c r="C1288" i="1"/>
  <c r="AB1288" i="1"/>
  <c r="C1289" i="1"/>
  <c r="AB1289" i="1"/>
  <c r="C1290" i="1"/>
  <c r="AB1290" i="1"/>
  <c r="C1291" i="1"/>
  <c r="AB1291" i="1"/>
  <c r="C1292" i="1"/>
  <c r="AB1292" i="1"/>
  <c r="C1293" i="1"/>
  <c r="AB1293" i="1"/>
  <c r="C1294" i="1"/>
  <c r="AB1294" i="1"/>
  <c r="C1295" i="1"/>
  <c r="AB1295" i="1"/>
  <c r="C1296" i="1"/>
  <c r="AB1296" i="1"/>
  <c r="C1297" i="1"/>
  <c r="AB1297" i="1"/>
  <c r="C1298" i="1"/>
  <c r="AB1298" i="1"/>
  <c r="C1299" i="1"/>
  <c r="AB1299" i="1"/>
  <c r="C1300" i="1"/>
  <c r="AB1300" i="1"/>
  <c r="C1301" i="1"/>
  <c r="AB1301" i="1"/>
  <c r="C1302" i="1"/>
  <c r="AB1302" i="1"/>
  <c r="C1303" i="1"/>
  <c r="AB1303" i="1"/>
  <c r="C1304" i="1"/>
  <c r="AB1304" i="1"/>
  <c r="C1305" i="1"/>
  <c r="AB1305" i="1"/>
  <c r="C1306" i="1"/>
  <c r="AB1306" i="1"/>
  <c r="C1307" i="1"/>
  <c r="AB1307" i="1"/>
  <c r="C1308" i="1"/>
  <c r="AB1308" i="1"/>
  <c r="C1309" i="1"/>
  <c r="AB1309" i="1"/>
  <c r="C1310" i="1"/>
  <c r="AB1310" i="1"/>
  <c r="C1311" i="1"/>
  <c r="AB1311" i="1"/>
  <c r="C1312" i="1"/>
  <c r="AB1312" i="1"/>
  <c r="C1313" i="1"/>
  <c r="AB1313" i="1"/>
  <c r="C1314" i="1"/>
  <c r="AB1314" i="1"/>
  <c r="C1315" i="1"/>
  <c r="AB1315" i="1"/>
  <c r="C1316" i="1"/>
  <c r="AB1316" i="1"/>
  <c r="C1317" i="1"/>
  <c r="AB1317" i="1"/>
  <c r="C1318" i="1"/>
  <c r="AB1318" i="1"/>
  <c r="C1319" i="1"/>
  <c r="AB1319" i="1"/>
  <c r="C1320" i="1"/>
  <c r="AB1320" i="1"/>
  <c r="C1321" i="1"/>
  <c r="AB1321" i="1"/>
  <c r="C1322" i="1"/>
  <c r="AB1322" i="1"/>
  <c r="C1323" i="1"/>
  <c r="AB1323" i="1"/>
  <c r="C1324" i="1"/>
  <c r="AB1324" i="1"/>
  <c r="C1325" i="1"/>
  <c r="AB1325" i="1"/>
  <c r="C1326" i="1"/>
  <c r="AB1326" i="1"/>
  <c r="C1327" i="1"/>
  <c r="AB1327" i="1"/>
  <c r="C1328" i="1"/>
  <c r="AB1328" i="1"/>
  <c r="C1329" i="1"/>
  <c r="AB1329" i="1"/>
  <c r="C1330" i="1"/>
  <c r="AB1330" i="1"/>
  <c r="C1331" i="1"/>
  <c r="AB1331" i="1"/>
  <c r="C1332" i="1"/>
  <c r="AB1332" i="1"/>
  <c r="C1333" i="1"/>
  <c r="AB1333" i="1"/>
  <c r="C1334" i="1"/>
  <c r="AB1334" i="1"/>
  <c r="C1335" i="1"/>
  <c r="AB1335" i="1"/>
  <c r="C1336" i="1"/>
  <c r="AB1336" i="1"/>
  <c r="C1337" i="1"/>
  <c r="AB1337" i="1"/>
  <c r="C1338" i="1"/>
  <c r="AB1338" i="1"/>
  <c r="C1339" i="1"/>
  <c r="AB1339" i="1"/>
  <c r="C1340" i="1"/>
  <c r="AB1340" i="1"/>
  <c r="C1341" i="1"/>
  <c r="AB1341" i="1"/>
  <c r="C1342" i="1"/>
  <c r="AB1342" i="1"/>
  <c r="C1343" i="1"/>
  <c r="AB1343" i="1"/>
  <c r="C1344" i="1"/>
  <c r="AB1344" i="1"/>
  <c r="C1345" i="1"/>
  <c r="AB1345" i="1"/>
  <c r="C1346" i="1"/>
  <c r="AB1346" i="1"/>
  <c r="C1347" i="1"/>
  <c r="AB1347" i="1"/>
  <c r="C1348" i="1"/>
  <c r="AB1348" i="1"/>
  <c r="C1349" i="1"/>
  <c r="AB1349" i="1"/>
  <c r="C1350" i="1"/>
  <c r="AB1350" i="1"/>
  <c r="C1351" i="1"/>
  <c r="AB1351" i="1"/>
  <c r="C1352" i="1"/>
  <c r="AB1352" i="1"/>
  <c r="C1353" i="1"/>
  <c r="AB1353" i="1"/>
  <c r="C1354" i="1"/>
  <c r="AB1354" i="1"/>
  <c r="C1355" i="1"/>
  <c r="AB1355" i="1"/>
  <c r="C1356" i="1"/>
  <c r="AB1356" i="1"/>
  <c r="C1357" i="1"/>
  <c r="AB1357" i="1"/>
  <c r="C1358" i="1"/>
  <c r="AB1358" i="1"/>
  <c r="C1359" i="1"/>
  <c r="AB1359" i="1"/>
  <c r="C1360" i="1"/>
  <c r="AB1360" i="1"/>
  <c r="C1361" i="1"/>
  <c r="AB1361" i="1"/>
  <c r="C1362" i="1"/>
  <c r="AB1362" i="1"/>
  <c r="C1363" i="1"/>
  <c r="AB1363" i="1"/>
  <c r="C1364" i="1"/>
  <c r="AB1364" i="1"/>
  <c r="C1365" i="1"/>
  <c r="AB1365" i="1"/>
  <c r="C1366" i="1"/>
  <c r="AB1366" i="1"/>
  <c r="C1367" i="1"/>
  <c r="AB1367" i="1"/>
  <c r="C1368" i="1"/>
  <c r="AB1368" i="1"/>
  <c r="C1369" i="1"/>
  <c r="AB1369" i="1"/>
  <c r="C1370" i="1"/>
  <c r="AB1370" i="1"/>
  <c r="C1371" i="1"/>
  <c r="AB1371" i="1"/>
  <c r="C1372" i="1"/>
  <c r="AB1372" i="1"/>
  <c r="C1373" i="1"/>
  <c r="AB1373" i="1"/>
  <c r="C1374" i="1"/>
  <c r="AB1374" i="1"/>
  <c r="C1375" i="1"/>
  <c r="AB1375" i="1"/>
  <c r="C1376" i="1"/>
  <c r="AB1376" i="1"/>
  <c r="C1377" i="1"/>
  <c r="AB1377" i="1"/>
  <c r="C1378" i="1"/>
  <c r="AB1378" i="1"/>
  <c r="C1379" i="1"/>
  <c r="AB1379" i="1"/>
  <c r="C1380" i="1"/>
  <c r="AB1380" i="1"/>
  <c r="C1381" i="1"/>
  <c r="AB1381" i="1"/>
  <c r="C1382" i="1"/>
  <c r="AB1382" i="1"/>
  <c r="C1383" i="1"/>
  <c r="AB1383" i="1"/>
  <c r="C1384" i="1"/>
  <c r="AB1384" i="1"/>
  <c r="C1385" i="1"/>
  <c r="AB1385" i="1"/>
  <c r="C1386" i="1"/>
  <c r="AB1386" i="1"/>
  <c r="C1387" i="1"/>
  <c r="AB1387" i="1"/>
  <c r="C1388" i="1"/>
  <c r="AB1388" i="1"/>
  <c r="C1389" i="1"/>
  <c r="AB1389" i="1"/>
  <c r="C1390" i="1"/>
  <c r="AB1390" i="1"/>
  <c r="C1391" i="1"/>
  <c r="AB1391" i="1"/>
  <c r="C1392" i="1"/>
  <c r="AB1392" i="1"/>
  <c r="C1393" i="1"/>
  <c r="AB1393" i="1"/>
  <c r="C1394" i="1"/>
  <c r="AB1394" i="1"/>
  <c r="C1395" i="1"/>
  <c r="AB1395" i="1"/>
  <c r="C1396" i="1"/>
  <c r="AB1396" i="1"/>
  <c r="C1397" i="1"/>
  <c r="AB1397" i="1"/>
  <c r="C1398" i="1"/>
  <c r="AB1398" i="1"/>
  <c r="C1399" i="1"/>
  <c r="AB1399" i="1"/>
  <c r="C1400" i="1"/>
  <c r="AB1400" i="1"/>
  <c r="C1401" i="1"/>
  <c r="AB1401" i="1"/>
  <c r="C1402" i="1"/>
  <c r="AB1402" i="1"/>
  <c r="C1403" i="1"/>
  <c r="AB1403" i="1"/>
  <c r="C1404" i="1"/>
  <c r="AB1404" i="1"/>
  <c r="C1405" i="1"/>
  <c r="AB1405" i="1"/>
  <c r="C1406" i="1"/>
  <c r="AB1406" i="1"/>
  <c r="C1407" i="1"/>
  <c r="AB1407" i="1"/>
  <c r="C1408" i="1"/>
  <c r="AB1408" i="1"/>
  <c r="C1409" i="1"/>
  <c r="AB1409" i="1"/>
  <c r="C1410" i="1"/>
  <c r="AB1410" i="1"/>
  <c r="C1411" i="1"/>
  <c r="AB1411" i="1"/>
  <c r="C1412" i="1"/>
  <c r="AB1412" i="1"/>
  <c r="C1413" i="1"/>
  <c r="AB1413" i="1"/>
  <c r="C1414" i="1"/>
  <c r="AB1414" i="1"/>
  <c r="C1415" i="1"/>
  <c r="AB1415" i="1"/>
  <c r="C1416" i="1"/>
  <c r="AB1416" i="1"/>
  <c r="C1417" i="1"/>
  <c r="AB1417" i="1"/>
  <c r="C1418" i="1"/>
  <c r="AB1418" i="1"/>
  <c r="C1419" i="1"/>
  <c r="AB1419" i="1"/>
  <c r="C1420" i="1"/>
  <c r="AB1420" i="1"/>
  <c r="C1421" i="1"/>
  <c r="AB1421" i="1"/>
  <c r="C1422" i="1"/>
  <c r="AB1422" i="1"/>
  <c r="C1423" i="1"/>
  <c r="AB1423" i="1"/>
  <c r="C1424" i="1"/>
  <c r="AB1424" i="1"/>
  <c r="C1425" i="1"/>
  <c r="AB1425" i="1"/>
  <c r="C1426" i="1"/>
  <c r="AB1426" i="1"/>
  <c r="C1427" i="1"/>
  <c r="AB1427" i="1"/>
  <c r="C1428" i="1"/>
  <c r="AB1428" i="1"/>
  <c r="C1429" i="1"/>
  <c r="AB1429" i="1"/>
  <c r="C1430" i="1"/>
  <c r="AB1430" i="1"/>
  <c r="C1431" i="1"/>
  <c r="AB1431" i="1"/>
  <c r="C1432" i="1"/>
  <c r="AB1432" i="1"/>
  <c r="C1433" i="1"/>
  <c r="AB1433" i="1"/>
  <c r="C1434" i="1"/>
  <c r="AB1434" i="1"/>
  <c r="C1435" i="1"/>
  <c r="AB1435" i="1"/>
  <c r="C1436" i="1"/>
  <c r="AB1436" i="1"/>
  <c r="C1437" i="1"/>
  <c r="AB1437" i="1"/>
  <c r="C1438" i="1"/>
  <c r="AB1438" i="1"/>
  <c r="C1439" i="1"/>
  <c r="AB1439" i="1"/>
  <c r="C1440" i="1"/>
  <c r="AB1440" i="1"/>
  <c r="C1441" i="1"/>
  <c r="AB1441" i="1"/>
  <c r="C1442" i="1"/>
  <c r="AB1442" i="1"/>
  <c r="C1443" i="1"/>
  <c r="AB1443" i="1"/>
  <c r="C1444" i="1"/>
  <c r="AB1444" i="1"/>
  <c r="C1445" i="1"/>
  <c r="AB1445" i="1"/>
  <c r="C1446" i="1"/>
  <c r="AB1446" i="1"/>
  <c r="C1447" i="1"/>
  <c r="AB1447" i="1"/>
  <c r="C1448" i="1"/>
  <c r="AB1448" i="1"/>
  <c r="C1449" i="1"/>
  <c r="AB1449" i="1"/>
  <c r="C1450" i="1"/>
  <c r="AB1450" i="1"/>
  <c r="C1451" i="1"/>
  <c r="AB1451" i="1"/>
  <c r="C1452" i="1"/>
  <c r="AB1452" i="1"/>
  <c r="C1453" i="1"/>
  <c r="AB1453" i="1"/>
  <c r="C1454" i="1"/>
  <c r="AB1454" i="1"/>
  <c r="C1455" i="1"/>
  <c r="AB1455" i="1"/>
  <c r="C1456" i="1"/>
  <c r="AB1456" i="1"/>
  <c r="C1457" i="1"/>
  <c r="AB1457" i="1"/>
  <c r="C1458" i="1"/>
  <c r="AB1458" i="1"/>
  <c r="C1459" i="1"/>
  <c r="AB1459" i="1"/>
  <c r="C1460" i="1"/>
  <c r="AB1460" i="1"/>
  <c r="C1461" i="1"/>
  <c r="AB1461" i="1"/>
  <c r="C1462" i="1"/>
  <c r="AB1462" i="1"/>
  <c r="C1463" i="1"/>
  <c r="AB1463" i="1"/>
  <c r="C1464" i="1"/>
  <c r="AB1464" i="1"/>
  <c r="C1465" i="1"/>
  <c r="AB1465" i="1"/>
  <c r="C1466" i="1"/>
  <c r="AB1466" i="1"/>
  <c r="C1467" i="1"/>
  <c r="AB1467" i="1"/>
  <c r="C1468" i="1"/>
  <c r="AB1468" i="1"/>
  <c r="C1469" i="1"/>
  <c r="AB1469" i="1"/>
  <c r="C1470" i="1"/>
  <c r="AB1470" i="1"/>
  <c r="C1471" i="1"/>
  <c r="AB1471" i="1"/>
  <c r="C1472" i="1"/>
  <c r="AB1472" i="1"/>
  <c r="C1473" i="1"/>
  <c r="AB1473" i="1"/>
  <c r="C1474" i="1"/>
  <c r="AB1474" i="1"/>
  <c r="C1475" i="1"/>
  <c r="AB1475" i="1"/>
  <c r="C1476" i="1"/>
  <c r="AB1476" i="1"/>
  <c r="C1477" i="1"/>
  <c r="AB1477" i="1"/>
  <c r="C1478" i="1"/>
  <c r="AB1478" i="1"/>
  <c r="C1479" i="1"/>
  <c r="AB1479" i="1"/>
  <c r="C1480" i="1"/>
  <c r="AB1480" i="1"/>
  <c r="C1481" i="1"/>
  <c r="AB1481" i="1"/>
  <c r="C1482" i="1"/>
  <c r="AB1482" i="1"/>
  <c r="C1483" i="1"/>
  <c r="AB1483" i="1"/>
  <c r="C1484" i="1"/>
  <c r="AB1484" i="1"/>
  <c r="C1485" i="1"/>
  <c r="AB1485" i="1"/>
  <c r="C1486" i="1"/>
  <c r="AB1486" i="1"/>
  <c r="C1487" i="1"/>
  <c r="AB1487" i="1"/>
  <c r="C1488" i="1"/>
  <c r="AB1488" i="1"/>
  <c r="C1489" i="1"/>
  <c r="AB1489" i="1"/>
  <c r="C1490" i="1"/>
  <c r="AB1490" i="1"/>
  <c r="C1491" i="1"/>
  <c r="AB1491" i="1"/>
  <c r="C1492" i="1"/>
  <c r="AB1492" i="1"/>
  <c r="C1493" i="1"/>
  <c r="AB1493" i="1"/>
  <c r="C1494" i="1"/>
  <c r="AB1494" i="1"/>
  <c r="C1495" i="1"/>
  <c r="AB1495" i="1"/>
  <c r="C1496" i="1"/>
  <c r="AB1496" i="1"/>
  <c r="C1497" i="1"/>
  <c r="AB1497" i="1"/>
  <c r="C1498" i="1"/>
  <c r="AB1498" i="1"/>
  <c r="C1499" i="1"/>
  <c r="AB1499" i="1"/>
  <c r="C1500" i="1"/>
  <c r="AB1500" i="1"/>
  <c r="C1501" i="1"/>
  <c r="AB1501" i="1"/>
  <c r="C1502" i="1"/>
  <c r="AB1502" i="1"/>
  <c r="C1503" i="1"/>
  <c r="AB1503" i="1"/>
  <c r="C1504" i="1"/>
  <c r="AB1504" i="1"/>
  <c r="C1505" i="1"/>
  <c r="AB1505" i="1"/>
  <c r="C1506" i="1"/>
  <c r="AB1506" i="1"/>
  <c r="C1507" i="1"/>
  <c r="AB1507" i="1"/>
  <c r="C1508" i="1"/>
  <c r="AB1508" i="1"/>
  <c r="C1509" i="1"/>
  <c r="AB1509" i="1"/>
  <c r="C1510" i="1"/>
  <c r="AB1510" i="1"/>
  <c r="C1511" i="1"/>
  <c r="AB1511" i="1"/>
  <c r="C1512" i="1"/>
  <c r="AB1512" i="1"/>
  <c r="C1513" i="1"/>
  <c r="AB1513" i="1"/>
  <c r="C1514" i="1"/>
  <c r="AB1514" i="1"/>
  <c r="C1515" i="1"/>
  <c r="AB1515" i="1"/>
  <c r="C1516" i="1"/>
  <c r="AB1516" i="1"/>
  <c r="C1517" i="1"/>
  <c r="AB1517" i="1"/>
  <c r="C1518" i="1"/>
  <c r="AB1518" i="1"/>
  <c r="C1519" i="1"/>
  <c r="AB1519" i="1"/>
  <c r="C1520" i="1"/>
  <c r="AB1520" i="1"/>
  <c r="C1521" i="1"/>
  <c r="AB1521" i="1"/>
  <c r="C1522" i="1"/>
  <c r="AB1522" i="1"/>
  <c r="C1523" i="1"/>
  <c r="AB1523" i="1"/>
  <c r="C1524" i="1"/>
  <c r="AB1524" i="1"/>
  <c r="C1525" i="1"/>
  <c r="AB1525" i="1"/>
  <c r="C1526" i="1"/>
  <c r="AB1526" i="1"/>
  <c r="C1527" i="1"/>
  <c r="AB1527" i="1"/>
  <c r="C1528" i="1"/>
  <c r="AB1528" i="1"/>
  <c r="C1529" i="1"/>
  <c r="AB1529" i="1"/>
  <c r="C1530" i="1"/>
  <c r="AB1530" i="1"/>
  <c r="C1531" i="1"/>
  <c r="AB1531" i="1"/>
  <c r="C1532" i="1"/>
  <c r="AB1532" i="1"/>
  <c r="C1533" i="1"/>
  <c r="AB1533" i="1"/>
  <c r="C1534" i="1"/>
  <c r="AB1534" i="1"/>
  <c r="C1535" i="1"/>
  <c r="AB1535" i="1"/>
  <c r="C1536" i="1"/>
  <c r="AB1536" i="1"/>
  <c r="C1537" i="1"/>
  <c r="AB1537" i="1"/>
  <c r="C1538" i="1"/>
  <c r="AB1538" i="1"/>
  <c r="C1539" i="1"/>
  <c r="AB1539" i="1"/>
  <c r="C1540" i="1"/>
  <c r="AB1540" i="1"/>
  <c r="C1541" i="1"/>
  <c r="AB1541" i="1"/>
  <c r="C1542" i="1"/>
  <c r="AB1542" i="1"/>
  <c r="C1543" i="1"/>
  <c r="AB1543" i="1"/>
  <c r="C1544" i="1"/>
  <c r="AB1544" i="1"/>
  <c r="C1545" i="1"/>
  <c r="AB1545" i="1"/>
  <c r="C1546" i="1"/>
  <c r="AB1546" i="1"/>
  <c r="C1547" i="1"/>
  <c r="AB1547" i="1"/>
  <c r="C1548" i="1"/>
  <c r="AB1548" i="1"/>
  <c r="C1549" i="1"/>
  <c r="AB1549" i="1"/>
  <c r="C1550" i="1"/>
  <c r="AB1550" i="1"/>
  <c r="C1551" i="1"/>
  <c r="AB1551" i="1"/>
  <c r="C1552" i="1"/>
  <c r="AB1552" i="1"/>
  <c r="C1553" i="1"/>
  <c r="AB1553" i="1"/>
  <c r="C1554" i="1"/>
  <c r="AB1554" i="1"/>
  <c r="C1555" i="1"/>
  <c r="AB1555" i="1"/>
  <c r="C1556" i="1"/>
  <c r="AB1556" i="1"/>
  <c r="C1557" i="1"/>
  <c r="AB1557" i="1"/>
  <c r="C1558" i="1"/>
  <c r="AB1558" i="1"/>
  <c r="C1559" i="1"/>
  <c r="AB1559" i="1"/>
  <c r="C1560" i="1"/>
  <c r="AB1560" i="1"/>
  <c r="C1561" i="1"/>
  <c r="AB1561" i="1"/>
  <c r="C1562" i="1"/>
  <c r="AB1562" i="1"/>
  <c r="C1563" i="1"/>
  <c r="AB1563" i="1"/>
  <c r="C1564" i="1"/>
  <c r="AB1564" i="1"/>
  <c r="C1565" i="1"/>
  <c r="AB1565" i="1"/>
  <c r="C1566" i="1"/>
  <c r="AB1566" i="1"/>
  <c r="C1567" i="1"/>
  <c r="AB1567" i="1"/>
  <c r="C1568" i="1"/>
  <c r="AB1568" i="1"/>
  <c r="C1569" i="1"/>
  <c r="AB1569" i="1"/>
  <c r="C1570" i="1"/>
  <c r="AB1570" i="1"/>
  <c r="C1571" i="1"/>
  <c r="AB1571" i="1"/>
  <c r="C1572" i="1"/>
  <c r="AB1572" i="1"/>
  <c r="C1573" i="1"/>
  <c r="AB1573" i="1"/>
  <c r="C1574" i="1"/>
  <c r="AB1574" i="1"/>
  <c r="C1575" i="1"/>
  <c r="AB1575" i="1"/>
  <c r="C1576" i="1"/>
  <c r="AB1576" i="1"/>
  <c r="C1577" i="1"/>
  <c r="AB1577" i="1"/>
  <c r="C1578" i="1"/>
  <c r="AB1578" i="1"/>
  <c r="C1579" i="1"/>
  <c r="AB1579" i="1"/>
  <c r="C1580" i="1"/>
  <c r="AB1580" i="1"/>
  <c r="C1581" i="1"/>
  <c r="AB1581" i="1"/>
  <c r="C1582" i="1"/>
  <c r="AB1582" i="1"/>
  <c r="C1583" i="1"/>
  <c r="AB1583" i="1"/>
  <c r="C1584" i="1"/>
  <c r="AB1584" i="1"/>
  <c r="C1585" i="1"/>
  <c r="AB1585" i="1"/>
  <c r="C1586" i="1"/>
  <c r="AB1586" i="1"/>
  <c r="C1587" i="1"/>
  <c r="AB1587" i="1"/>
  <c r="C1588" i="1"/>
  <c r="AB1588" i="1"/>
  <c r="C1589" i="1"/>
  <c r="AB1589" i="1"/>
  <c r="C1590" i="1"/>
  <c r="AB1590" i="1"/>
  <c r="C1591" i="1"/>
  <c r="AB1591" i="1"/>
  <c r="C1592" i="1"/>
  <c r="AB1592" i="1"/>
  <c r="C1593" i="1"/>
  <c r="AB1593" i="1"/>
  <c r="C1594" i="1"/>
  <c r="AB1594" i="1"/>
  <c r="C1595" i="1"/>
  <c r="AB1595" i="1"/>
  <c r="C1596" i="1"/>
  <c r="AB1596" i="1"/>
  <c r="C1597" i="1"/>
  <c r="AB1597" i="1"/>
  <c r="C1598" i="1"/>
  <c r="AB1598" i="1"/>
  <c r="C1599" i="1"/>
  <c r="AB1599" i="1"/>
  <c r="C1600" i="1"/>
  <c r="AB1600" i="1"/>
  <c r="C1601" i="1"/>
  <c r="AB1601" i="1"/>
  <c r="C1602" i="1"/>
  <c r="AB1602" i="1"/>
  <c r="C1603" i="1"/>
  <c r="AB1603" i="1"/>
  <c r="C1604" i="1"/>
  <c r="AB1604" i="1"/>
  <c r="C1605" i="1"/>
  <c r="AB1605" i="1"/>
  <c r="C1606" i="1"/>
  <c r="AB1606" i="1"/>
  <c r="C1607" i="1"/>
  <c r="AB1607" i="1"/>
  <c r="C1608" i="1"/>
  <c r="AB1608" i="1"/>
  <c r="C1609" i="1"/>
  <c r="AB1609" i="1"/>
  <c r="C1610" i="1"/>
  <c r="AB1610" i="1"/>
  <c r="C1611" i="1"/>
  <c r="AB1611" i="1"/>
  <c r="C1612" i="1"/>
  <c r="AB1612" i="1"/>
  <c r="C1613" i="1"/>
  <c r="AB1613" i="1"/>
  <c r="C1614" i="1"/>
  <c r="AB1614" i="1"/>
  <c r="C1615" i="1"/>
  <c r="AB1615" i="1"/>
  <c r="C1616" i="1"/>
  <c r="AB1616" i="1"/>
  <c r="C1617" i="1"/>
  <c r="AB1617" i="1"/>
  <c r="C1618" i="1"/>
  <c r="AB1618" i="1"/>
  <c r="C1619" i="1"/>
  <c r="AB1619" i="1"/>
  <c r="C1620" i="1"/>
  <c r="AB1620" i="1"/>
  <c r="C1621" i="1"/>
  <c r="AB1621" i="1"/>
  <c r="C1622" i="1"/>
  <c r="AB1622" i="1"/>
  <c r="C1623" i="1"/>
  <c r="AB1623" i="1"/>
  <c r="C1624" i="1"/>
  <c r="AB1624" i="1"/>
  <c r="C1625" i="1"/>
  <c r="AB1625" i="1"/>
  <c r="C1626" i="1"/>
  <c r="AB1626" i="1"/>
  <c r="C1627" i="1"/>
  <c r="AB1627" i="1"/>
  <c r="C1628" i="1"/>
  <c r="AB1628" i="1"/>
  <c r="C1629" i="1"/>
  <c r="AB1629" i="1"/>
  <c r="C1630" i="1"/>
  <c r="AB1630" i="1"/>
  <c r="C1631" i="1"/>
  <c r="AB1631" i="1"/>
  <c r="C1632" i="1"/>
  <c r="AB1632" i="1"/>
  <c r="C1633" i="1"/>
  <c r="AB1633" i="1"/>
  <c r="C1634" i="1"/>
  <c r="AB1634" i="1"/>
  <c r="C1635" i="1"/>
  <c r="AB1635" i="1"/>
  <c r="C1636" i="1"/>
  <c r="AB1636" i="1"/>
  <c r="C1637" i="1"/>
  <c r="AB1637" i="1"/>
  <c r="C1638" i="1"/>
  <c r="AB1638" i="1"/>
  <c r="C1639" i="1"/>
  <c r="AB1639" i="1"/>
  <c r="C1640" i="1"/>
  <c r="AB1640" i="1"/>
  <c r="C1641" i="1"/>
  <c r="AB1641" i="1"/>
  <c r="C1642" i="1"/>
  <c r="AB1642" i="1"/>
  <c r="C1643" i="1"/>
  <c r="AB1643" i="1"/>
  <c r="C1644" i="1"/>
  <c r="AB1644" i="1"/>
  <c r="C1645" i="1"/>
  <c r="AB1645" i="1"/>
  <c r="C1646" i="1"/>
  <c r="AB1646" i="1"/>
  <c r="C1647" i="1"/>
  <c r="AB1647" i="1"/>
  <c r="C1648" i="1"/>
  <c r="AB1648" i="1"/>
  <c r="C1649" i="1"/>
  <c r="AB1649" i="1"/>
  <c r="C1650" i="1"/>
  <c r="AB1650" i="1"/>
  <c r="C1651" i="1"/>
  <c r="AB1651" i="1"/>
  <c r="C1652" i="1"/>
  <c r="AB1652" i="1"/>
  <c r="C1653" i="1"/>
  <c r="AB1653" i="1"/>
  <c r="C1654" i="1"/>
  <c r="AB1654" i="1"/>
  <c r="C1655" i="1"/>
  <c r="AB1655" i="1"/>
  <c r="C1656" i="1"/>
  <c r="AB1656" i="1"/>
  <c r="C1657" i="1"/>
  <c r="AB1657" i="1"/>
  <c r="C1658" i="1"/>
  <c r="AB1658" i="1"/>
  <c r="C1659" i="1"/>
  <c r="AB1659" i="1"/>
  <c r="C1660" i="1"/>
  <c r="AB1660" i="1"/>
  <c r="C1661" i="1"/>
  <c r="AB1661" i="1"/>
  <c r="C1662" i="1"/>
  <c r="AB1662" i="1"/>
  <c r="C1663" i="1"/>
  <c r="AB1663" i="1"/>
  <c r="C1664" i="1"/>
  <c r="AB1664" i="1"/>
  <c r="C1665" i="1"/>
  <c r="AB1665" i="1"/>
  <c r="C1666" i="1"/>
  <c r="AB1666" i="1"/>
  <c r="C1667" i="1"/>
  <c r="AB1667" i="1"/>
  <c r="C1668" i="1"/>
  <c r="AB1668" i="1"/>
  <c r="C1669" i="1"/>
  <c r="AB1669" i="1"/>
  <c r="C1670" i="1"/>
  <c r="AB1670" i="1"/>
  <c r="C1671" i="1"/>
  <c r="AB1671" i="1"/>
  <c r="C1672" i="1"/>
  <c r="AB1672" i="1"/>
  <c r="C1673" i="1"/>
  <c r="AB1673" i="1"/>
  <c r="C1674" i="1"/>
  <c r="AB1674" i="1"/>
  <c r="C1675" i="1"/>
  <c r="AB1675" i="1"/>
  <c r="C1676" i="1"/>
  <c r="AB1676" i="1"/>
  <c r="C1677" i="1"/>
  <c r="AB1677" i="1"/>
  <c r="C1678" i="1"/>
  <c r="AB1678" i="1"/>
  <c r="C1679" i="1"/>
  <c r="AB1679" i="1"/>
  <c r="C1680" i="1"/>
  <c r="AB1680" i="1"/>
  <c r="C1681" i="1"/>
  <c r="AB1681" i="1"/>
  <c r="C1682" i="1"/>
  <c r="AB1682" i="1"/>
  <c r="C1683" i="1"/>
  <c r="AB1683" i="1"/>
  <c r="C1684" i="1"/>
  <c r="AB1684" i="1"/>
  <c r="C1685" i="1"/>
  <c r="AB1685" i="1"/>
  <c r="C1686" i="1"/>
  <c r="AB1686" i="1"/>
  <c r="C1687" i="1"/>
  <c r="AB1687" i="1"/>
  <c r="C1688" i="1"/>
  <c r="AB1688" i="1"/>
  <c r="C1689" i="1"/>
  <c r="AB1689" i="1"/>
  <c r="C1690" i="1"/>
  <c r="AB1690" i="1"/>
  <c r="C1691" i="1"/>
  <c r="AB1691" i="1"/>
  <c r="C1692" i="1"/>
  <c r="AB1692" i="1"/>
  <c r="C1693" i="1"/>
  <c r="AB1693" i="1"/>
  <c r="C1694" i="1"/>
  <c r="AB1694" i="1"/>
  <c r="C1695" i="1"/>
  <c r="AB1695" i="1"/>
  <c r="C1696" i="1"/>
  <c r="AB1696" i="1"/>
  <c r="C1697" i="1"/>
  <c r="AB1697" i="1"/>
  <c r="C1698" i="1"/>
  <c r="AB1698" i="1"/>
  <c r="C1699" i="1"/>
  <c r="AB1699" i="1"/>
  <c r="C1700" i="1"/>
  <c r="AB1700" i="1"/>
  <c r="C1701" i="1"/>
  <c r="AB1701" i="1"/>
  <c r="C1702" i="1"/>
  <c r="AB1702" i="1"/>
  <c r="C1703" i="1"/>
  <c r="AB1703" i="1"/>
  <c r="C1704" i="1"/>
  <c r="AB1704" i="1"/>
  <c r="C1705" i="1"/>
  <c r="AB1705" i="1"/>
  <c r="C1706" i="1"/>
  <c r="AB1706" i="1"/>
  <c r="C1707" i="1"/>
  <c r="AB1707" i="1"/>
  <c r="C1708" i="1"/>
  <c r="AB1708" i="1"/>
  <c r="C1709" i="1"/>
  <c r="AB1709" i="1"/>
  <c r="C1710" i="1"/>
  <c r="AB1710" i="1"/>
  <c r="C1711" i="1"/>
  <c r="AB1711" i="1"/>
  <c r="C1712" i="1"/>
  <c r="AB1712" i="1"/>
  <c r="C1713" i="1"/>
  <c r="AB1713" i="1"/>
  <c r="C1714" i="1"/>
  <c r="AB1714" i="1"/>
  <c r="C1715" i="1"/>
  <c r="AB1715" i="1"/>
  <c r="C1716" i="1"/>
  <c r="AB1716" i="1"/>
  <c r="C1717" i="1"/>
  <c r="AB1717" i="1"/>
  <c r="C1718" i="1"/>
  <c r="AB1718" i="1"/>
  <c r="C1719" i="1"/>
  <c r="AB1719" i="1"/>
  <c r="C1720" i="1"/>
  <c r="AB1720" i="1"/>
  <c r="C1721" i="1"/>
  <c r="AB1721" i="1"/>
  <c r="C1722" i="1"/>
  <c r="AB1722" i="1"/>
  <c r="C1723" i="1"/>
  <c r="AB1723" i="1"/>
  <c r="C1724" i="1"/>
  <c r="AB1724" i="1"/>
  <c r="C1725" i="1"/>
  <c r="AB1725" i="1"/>
  <c r="C1726" i="1"/>
  <c r="AB1726" i="1"/>
  <c r="C1727" i="1"/>
  <c r="AB1727" i="1"/>
  <c r="C1728" i="1"/>
  <c r="AB1728" i="1"/>
  <c r="C1729" i="1"/>
  <c r="AB1729" i="1"/>
  <c r="C1730" i="1"/>
  <c r="AB1730" i="1"/>
  <c r="C1731" i="1"/>
  <c r="AB1731" i="1"/>
  <c r="C1732" i="1"/>
  <c r="AB1732" i="1"/>
  <c r="C1733" i="1"/>
  <c r="AB1733" i="1"/>
  <c r="C1734" i="1"/>
  <c r="AB1734" i="1"/>
  <c r="C1735" i="1"/>
  <c r="AB1735" i="1"/>
  <c r="C1736" i="1"/>
  <c r="AB1736" i="1"/>
  <c r="C1737" i="1"/>
  <c r="AB1737" i="1"/>
  <c r="C1738" i="1"/>
  <c r="AB1738" i="1"/>
  <c r="C1739" i="1"/>
  <c r="AB1739" i="1"/>
  <c r="C1740" i="1"/>
  <c r="AB1740" i="1"/>
  <c r="C1741" i="1"/>
  <c r="AB1741" i="1"/>
  <c r="C1742" i="1"/>
  <c r="AB1742" i="1"/>
  <c r="C1743" i="1"/>
  <c r="AB1743" i="1"/>
  <c r="C1744" i="1"/>
  <c r="AB1744" i="1"/>
  <c r="C1745" i="1"/>
  <c r="AB1745" i="1"/>
  <c r="C1746" i="1"/>
  <c r="AB1746" i="1"/>
  <c r="C1747" i="1"/>
  <c r="AB1747" i="1"/>
  <c r="C1748" i="1"/>
  <c r="AB1748" i="1"/>
  <c r="C1749" i="1"/>
  <c r="AB1749" i="1"/>
  <c r="C1750" i="1"/>
  <c r="AB1750" i="1"/>
  <c r="C1751" i="1"/>
  <c r="AB1751" i="1"/>
  <c r="C1752" i="1"/>
  <c r="AB1752" i="1"/>
  <c r="C1753" i="1"/>
  <c r="AB1753" i="1"/>
  <c r="C1754" i="1"/>
  <c r="AB1754" i="1"/>
  <c r="C1755" i="1"/>
  <c r="AB1755" i="1"/>
  <c r="C1756" i="1"/>
  <c r="AB1756" i="1"/>
  <c r="C1757" i="1"/>
  <c r="AB1757" i="1"/>
  <c r="C1758" i="1"/>
  <c r="AB1758" i="1"/>
  <c r="C1759" i="1"/>
  <c r="AB1759" i="1"/>
  <c r="C1760" i="1"/>
  <c r="AB1760" i="1"/>
  <c r="C1761" i="1"/>
  <c r="AB1761" i="1"/>
  <c r="C1762" i="1"/>
  <c r="AB1762" i="1"/>
  <c r="C1763" i="1"/>
  <c r="AB1763" i="1"/>
  <c r="C1764" i="1"/>
  <c r="AB1764" i="1"/>
  <c r="C1765" i="1"/>
  <c r="AB1765" i="1"/>
  <c r="C1766" i="1"/>
  <c r="AB1766" i="1"/>
  <c r="C1767" i="1"/>
  <c r="AB1767" i="1"/>
  <c r="C1768" i="1"/>
  <c r="AB1768" i="1"/>
  <c r="C1769" i="1"/>
  <c r="AB1769" i="1"/>
  <c r="C1770" i="1"/>
  <c r="AB1770" i="1"/>
  <c r="C1771" i="1"/>
  <c r="AB1771" i="1"/>
  <c r="C1772" i="1"/>
  <c r="AB1772" i="1"/>
  <c r="C1773" i="1"/>
  <c r="AB1773" i="1"/>
  <c r="C1774" i="1"/>
  <c r="AB1774" i="1"/>
  <c r="C1775" i="1"/>
  <c r="AB1775" i="1"/>
  <c r="C1776" i="1"/>
  <c r="AB1776" i="1"/>
  <c r="C1777" i="1"/>
  <c r="AB1777" i="1"/>
  <c r="C1778" i="1"/>
  <c r="AB1778" i="1"/>
  <c r="C1779" i="1"/>
  <c r="AB1779" i="1"/>
  <c r="C1780" i="1"/>
  <c r="AB1780" i="1"/>
  <c r="C1781" i="1"/>
  <c r="AB1781" i="1"/>
  <c r="C1782" i="1"/>
  <c r="AB1782" i="1"/>
  <c r="C1783" i="1"/>
  <c r="AB1783" i="1"/>
  <c r="C1784" i="1"/>
  <c r="AB1784" i="1"/>
  <c r="C1785" i="1"/>
  <c r="AB1785" i="1"/>
  <c r="C1786" i="1"/>
  <c r="AB1786" i="1"/>
  <c r="C1787" i="1"/>
  <c r="AB1787" i="1"/>
  <c r="C1788" i="1"/>
  <c r="AB1788" i="1"/>
  <c r="C1789" i="1"/>
  <c r="AB1789" i="1"/>
  <c r="C1790" i="1"/>
  <c r="AB1790" i="1"/>
  <c r="C1791" i="1"/>
  <c r="AB1791" i="1"/>
  <c r="C1792" i="1"/>
  <c r="AB1792" i="1"/>
  <c r="C1793" i="1"/>
  <c r="AB1793" i="1"/>
  <c r="C1794" i="1"/>
  <c r="AB1794" i="1"/>
  <c r="C1795" i="1"/>
  <c r="AB1795" i="1"/>
  <c r="C1796" i="1"/>
  <c r="AB1796" i="1"/>
  <c r="C1797" i="1"/>
  <c r="AB1797" i="1"/>
  <c r="C1798" i="1"/>
  <c r="AB1798" i="1"/>
  <c r="C1799" i="1"/>
  <c r="AB1799" i="1"/>
  <c r="C1800" i="1"/>
  <c r="AB1800" i="1"/>
  <c r="C1801" i="1"/>
  <c r="AB1801" i="1"/>
  <c r="C1802" i="1"/>
  <c r="AB1802" i="1"/>
  <c r="C1803" i="1"/>
  <c r="AB1803" i="1"/>
  <c r="C1804" i="1"/>
  <c r="AB1804" i="1"/>
  <c r="C1805" i="1"/>
  <c r="AB1805" i="1"/>
  <c r="C1806" i="1"/>
  <c r="AB1806" i="1"/>
  <c r="C1807" i="1"/>
  <c r="AB1807" i="1"/>
  <c r="C1808" i="1"/>
  <c r="AB1808" i="1"/>
  <c r="C1809" i="1"/>
  <c r="AB1809" i="1"/>
  <c r="C1810" i="1"/>
  <c r="AB1810" i="1"/>
  <c r="C1811" i="1"/>
  <c r="AB1811" i="1"/>
  <c r="C1812" i="1"/>
  <c r="AB1812" i="1"/>
  <c r="C1813" i="1"/>
  <c r="AB1813" i="1"/>
  <c r="C1814" i="1"/>
  <c r="AB1814" i="1"/>
  <c r="C1815" i="1"/>
  <c r="AB1815" i="1"/>
  <c r="C1816" i="1"/>
  <c r="AB1816" i="1"/>
  <c r="C1817" i="1"/>
  <c r="AB1817" i="1"/>
  <c r="C1818" i="1"/>
  <c r="AB1818" i="1"/>
  <c r="C1819" i="1"/>
  <c r="AB1819" i="1"/>
  <c r="C1820" i="1"/>
  <c r="AB1820" i="1"/>
  <c r="C1821" i="1"/>
  <c r="AB1821" i="1"/>
  <c r="C1822" i="1"/>
  <c r="AB1822" i="1"/>
  <c r="C1823" i="1"/>
  <c r="AB1823" i="1"/>
  <c r="C1824" i="1"/>
  <c r="AB1824" i="1"/>
  <c r="C1825" i="1"/>
  <c r="AB1825" i="1"/>
  <c r="C1826" i="1"/>
  <c r="AB1826" i="1"/>
  <c r="C1827" i="1"/>
  <c r="AB1827" i="1"/>
  <c r="C1828" i="1"/>
  <c r="AB1828" i="1"/>
  <c r="C1829" i="1"/>
  <c r="AB1829" i="1"/>
  <c r="C1830" i="1"/>
  <c r="AB1830" i="1"/>
  <c r="C1831" i="1"/>
  <c r="AB1831" i="1"/>
  <c r="C1832" i="1"/>
  <c r="AB1832" i="1"/>
  <c r="C1833" i="1"/>
  <c r="AB1833" i="1"/>
  <c r="C1834" i="1"/>
  <c r="AB1834" i="1"/>
  <c r="C1835" i="1"/>
  <c r="AB1835" i="1"/>
  <c r="C1836" i="1"/>
  <c r="AB1836" i="1"/>
  <c r="C1837" i="1"/>
  <c r="AB1837" i="1"/>
  <c r="C1838" i="1"/>
  <c r="AB1838" i="1"/>
  <c r="C1839" i="1"/>
  <c r="AB1839" i="1"/>
  <c r="C1840" i="1"/>
  <c r="AB1840" i="1"/>
  <c r="C1841" i="1"/>
  <c r="AB1841" i="1"/>
  <c r="C1842" i="1"/>
  <c r="AB1842" i="1"/>
  <c r="C1843" i="1"/>
  <c r="AB1843" i="1"/>
  <c r="C1844" i="1"/>
  <c r="AB1844" i="1"/>
  <c r="C1845" i="1"/>
  <c r="AB1845" i="1"/>
  <c r="C1846" i="1"/>
  <c r="AB1846" i="1"/>
  <c r="C1847" i="1"/>
  <c r="AB1847" i="1"/>
  <c r="C1848" i="1"/>
  <c r="AB1848" i="1"/>
  <c r="C1849" i="1"/>
  <c r="AB1849" i="1"/>
  <c r="C1850" i="1"/>
  <c r="AB1850" i="1"/>
  <c r="C1851" i="1"/>
  <c r="AB1851" i="1"/>
  <c r="C1852" i="1"/>
  <c r="AB1852" i="1"/>
  <c r="C1853" i="1"/>
  <c r="AB1853" i="1"/>
  <c r="C1854" i="1"/>
  <c r="AB1854" i="1"/>
  <c r="C1855" i="1"/>
  <c r="AB1855" i="1"/>
  <c r="C1856" i="1"/>
  <c r="AB1856" i="1"/>
  <c r="C1857" i="1"/>
  <c r="AB1857" i="1"/>
  <c r="C1858" i="1"/>
  <c r="AB1858" i="1"/>
  <c r="C1859" i="1"/>
  <c r="AB1859" i="1"/>
  <c r="C1860" i="1"/>
  <c r="AB1860" i="1"/>
  <c r="C1861" i="1"/>
  <c r="AB1861" i="1"/>
  <c r="C1862" i="1"/>
  <c r="AB1862" i="1"/>
  <c r="C1863" i="1"/>
  <c r="AB1863" i="1"/>
  <c r="C1864" i="1"/>
  <c r="AB1864" i="1"/>
  <c r="C1865" i="1"/>
  <c r="AB1865" i="1"/>
  <c r="C1866" i="1"/>
  <c r="AB1866" i="1"/>
  <c r="C1867" i="1"/>
  <c r="AB1867" i="1"/>
  <c r="C1868" i="1"/>
  <c r="AB1868" i="1"/>
  <c r="C1869" i="1"/>
  <c r="AB1869" i="1"/>
  <c r="C1870" i="1"/>
  <c r="AB1870" i="1"/>
  <c r="C1871" i="1"/>
  <c r="AB1871" i="1"/>
  <c r="C1872" i="1"/>
  <c r="AB1872" i="1"/>
  <c r="C1873" i="1"/>
  <c r="AB1873" i="1"/>
  <c r="C1874" i="1"/>
  <c r="AB1874" i="1"/>
  <c r="C1875" i="1"/>
  <c r="AB1875" i="1"/>
  <c r="C1876" i="1"/>
  <c r="AB1876" i="1"/>
  <c r="C1877" i="1"/>
  <c r="AB1877" i="1"/>
  <c r="C1878" i="1"/>
  <c r="AB1878" i="1"/>
  <c r="C1879" i="1"/>
  <c r="AB1879" i="1"/>
  <c r="C1880" i="1"/>
  <c r="AB1880" i="1"/>
  <c r="C1881" i="1"/>
  <c r="AB1881" i="1"/>
  <c r="C1882" i="1"/>
  <c r="AB1882" i="1"/>
  <c r="C1883" i="1"/>
  <c r="AB1883" i="1"/>
  <c r="C1884" i="1"/>
  <c r="AB1884" i="1"/>
  <c r="C1885" i="1"/>
  <c r="AB1885" i="1"/>
  <c r="C1886" i="1"/>
  <c r="AB1886" i="1"/>
  <c r="C1887" i="1"/>
  <c r="AB1887" i="1"/>
  <c r="C1888" i="1"/>
  <c r="AB1888" i="1"/>
  <c r="C1889" i="1"/>
  <c r="AB1889" i="1"/>
  <c r="C1890" i="1"/>
  <c r="AB1890" i="1"/>
  <c r="C1891" i="1"/>
  <c r="AB1891" i="1"/>
  <c r="C1892" i="1"/>
  <c r="AB1892" i="1"/>
  <c r="C1893" i="1"/>
  <c r="AB1893" i="1"/>
  <c r="C1894" i="1"/>
  <c r="AB1894" i="1"/>
  <c r="C1895" i="1"/>
  <c r="AB1895" i="1"/>
  <c r="C1896" i="1"/>
  <c r="AB1896" i="1"/>
  <c r="C1897" i="1"/>
  <c r="AB1897" i="1"/>
  <c r="C1898" i="1"/>
  <c r="AB1898" i="1"/>
  <c r="C1899" i="1"/>
  <c r="AB1899" i="1"/>
  <c r="C1900" i="1"/>
  <c r="AB1900" i="1"/>
  <c r="C1901" i="1"/>
  <c r="AB1901" i="1"/>
  <c r="C1902" i="1"/>
  <c r="AB1902" i="1"/>
  <c r="C1903" i="1"/>
  <c r="AB1903" i="1"/>
  <c r="C1904" i="1"/>
  <c r="AB1904" i="1"/>
  <c r="C1905" i="1"/>
  <c r="AB1905" i="1"/>
  <c r="C1906" i="1"/>
  <c r="AB1906" i="1"/>
  <c r="C1907" i="1"/>
  <c r="AB1907" i="1"/>
  <c r="C1908" i="1"/>
  <c r="AB1908" i="1"/>
  <c r="C1909" i="1"/>
  <c r="AB1909" i="1"/>
  <c r="C1910" i="1"/>
  <c r="AB1910" i="1"/>
  <c r="C1911" i="1"/>
  <c r="AB1911" i="1"/>
  <c r="C1912" i="1"/>
  <c r="AB1912" i="1"/>
  <c r="C1913" i="1"/>
  <c r="AB1913" i="1"/>
  <c r="C1914" i="1"/>
  <c r="AB1914" i="1"/>
  <c r="C1915" i="1"/>
  <c r="AB1915" i="1"/>
  <c r="C1916" i="1"/>
  <c r="AB1916" i="1"/>
  <c r="C1917" i="1"/>
  <c r="AB1917" i="1"/>
  <c r="C1918" i="1"/>
  <c r="AB1918" i="1"/>
  <c r="C1919" i="1"/>
  <c r="AB1919" i="1"/>
  <c r="C1920" i="1"/>
  <c r="AB1920" i="1"/>
  <c r="C1921" i="1"/>
  <c r="AB1921" i="1"/>
  <c r="C1922" i="1"/>
  <c r="AB1922" i="1"/>
  <c r="C1923" i="1"/>
  <c r="AB1923" i="1"/>
  <c r="C1924" i="1"/>
  <c r="AB1924" i="1"/>
  <c r="C1925" i="1"/>
  <c r="AB1925" i="1"/>
  <c r="C1926" i="1"/>
  <c r="AB1926" i="1"/>
  <c r="C1927" i="1"/>
  <c r="AB1927" i="1"/>
  <c r="C1928" i="1"/>
  <c r="AB1928" i="1"/>
  <c r="C1929" i="1"/>
  <c r="AB1929" i="1"/>
  <c r="C1930" i="1"/>
  <c r="AB1930" i="1"/>
  <c r="C1931" i="1"/>
  <c r="AB1931" i="1"/>
  <c r="C1932" i="1"/>
  <c r="AB1932" i="1"/>
  <c r="C1933" i="1"/>
  <c r="AB1933" i="1"/>
  <c r="C1934" i="1"/>
  <c r="AB1934" i="1"/>
  <c r="C1935" i="1"/>
  <c r="AB1935" i="1"/>
  <c r="C1936" i="1"/>
  <c r="AB1936" i="1"/>
  <c r="C1937" i="1"/>
  <c r="AB1937" i="1"/>
  <c r="C1938" i="1"/>
  <c r="AB1938" i="1"/>
  <c r="C1939" i="1"/>
  <c r="AB1939" i="1"/>
  <c r="C1940" i="1"/>
  <c r="AB1940" i="1"/>
  <c r="C1941" i="1"/>
  <c r="AB1941" i="1"/>
  <c r="C1942" i="1"/>
  <c r="AB1942" i="1"/>
  <c r="C1943" i="1"/>
  <c r="AB1943" i="1"/>
  <c r="C1944" i="1"/>
  <c r="AB1944" i="1"/>
  <c r="C1945" i="1"/>
  <c r="AB1945" i="1"/>
  <c r="C1946" i="1"/>
  <c r="AB1946" i="1"/>
  <c r="C1947" i="1"/>
  <c r="AB1947" i="1"/>
  <c r="C1948" i="1"/>
  <c r="AB1948" i="1"/>
  <c r="C1949" i="1"/>
  <c r="AB1949" i="1"/>
  <c r="C1950" i="1"/>
  <c r="AB1950" i="1"/>
  <c r="C1951" i="1"/>
  <c r="AB1951" i="1"/>
  <c r="C1952" i="1"/>
  <c r="AB1952" i="1"/>
  <c r="C1953" i="1"/>
  <c r="AB1953" i="1"/>
  <c r="C1954" i="1"/>
  <c r="AB1954" i="1"/>
  <c r="C1955" i="1"/>
  <c r="AB1955" i="1"/>
  <c r="C1956" i="1"/>
  <c r="AB1956" i="1"/>
  <c r="C1957" i="1"/>
  <c r="AB1957" i="1"/>
  <c r="C1958" i="1"/>
  <c r="AB1958" i="1"/>
  <c r="C1959" i="1"/>
  <c r="AB1959" i="1"/>
  <c r="C1960" i="1"/>
  <c r="AB1960" i="1"/>
  <c r="C1961" i="1"/>
  <c r="AB1961" i="1"/>
  <c r="C1962" i="1"/>
  <c r="AB1962" i="1"/>
  <c r="C1963" i="1"/>
  <c r="AB1963" i="1"/>
  <c r="C1964" i="1"/>
  <c r="AB1964" i="1"/>
  <c r="C1965" i="1"/>
  <c r="AB1965" i="1"/>
  <c r="C1966" i="1"/>
  <c r="AB1966" i="1"/>
  <c r="C1967" i="1"/>
  <c r="AB1967" i="1"/>
  <c r="C1968" i="1"/>
  <c r="AB1968" i="1"/>
  <c r="C1969" i="1"/>
  <c r="AB1969" i="1"/>
  <c r="C1970" i="1"/>
  <c r="AB1970" i="1"/>
  <c r="C1971" i="1"/>
  <c r="AB1971" i="1"/>
  <c r="C1972" i="1"/>
  <c r="AB1972" i="1"/>
  <c r="C1973" i="1"/>
  <c r="AB1973" i="1"/>
  <c r="C1974" i="1"/>
  <c r="AB1974" i="1"/>
  <c r="C1975" i="1"/>
  <c r="AB1975" i="1"/>
  <c r="C1976" i="1"/>
  <c r="AB1976" i="1"/>
  <c r="C1977" i="1"/>
  <c r="AB1977" i="1"/>
  <c r="C1978" i="1"/>
  <c r="AB1978" i="1"/>
  <c r="C1979" i="1"/>
  <c r="AB1979" i="1"/>
  <c r="C1980" i="1"/>
  <c r="AB1980" i="1"/>
  <c r="C1981" i="1"/>
  <c r="AB1981" i="1"/>
  <c r="C1982" i="1"/>
  <c r="AB1982" i="1"/>
  <c r="C1983" i="1"/>
  <c r="AB1983" i="1"/>
  <c r="C1984" i="1"/>
  <c r="AB1984" i="1"/>
  <c r="C1985" i="1"/>
  <c r="AB1985" i="1"/>
  <c r="C1986" i="1"/>
  <c r="AB1986" i="1"/>
  <c r="C1987" i="1"/>
  <c r="AB1987" i="1"/>
  <c r="C1988" i="1"/>
  <c r="AB1988" i="1"/>
  <c r="C1989" i="1"/>
  <c r="AB1989" i="1"/>
  <c r="C1990" i="1"/>
  <c r="AB1990" i="1"/>
  <c r="C1991" i="1"/>
  <c r="AB1991" i="1"/>
  <c r="C1992" i="1"/>
  <c r="AB1992" i="1"/>
  <c r="C1993" i="1"/>
  <c r="AB1993" i="1"/>
  <c r="C1994" i="1"/>
  <c r="AB1994" i="1"/>
  <c r="C1995" i="1"/>
  <c r="AB1995" i="1"/>
  <c r="C1996" i="1"/>
  <c r="AB1996" i="1"/>
  <c r="C1997" i="1"/>
  <c r="AB1997" i="1"/>
  <c r="C1998" i="1"/>
  <c r="AB1998" i="1"/>
  <c r="C1999" i="1"/>
  <c r="AB1999" i="1"/>
  <c r="C2000" i="1"/>
  <c r="AB2000" i="1"/>
  <c r="C2001" i="1"/>
  <c r="AB2001" i="1"/>
  <c r="C2002" i="1"/>
  <c r="AB2002" i="1"/>
  <c r="C2003" i="1"/>
  <c r="AB2003" i="1"/>
  <c r="C2004" i="1"/>
  <c r="AB2004" i="1"/>
  <c r="C2005" i="1"/>
  <c r="AB2005" i="1"/>
  <c r="C2006" i="1"/>
  <c r="AB2006" i="1"/>
  <c r="C2007" i="1"/>
  <c r="AB2007" i="1"/>
  <c r="C2008" i="1"/>
  <c r="AB2008" i="1"/>
  <c r="C2009" i="1"/>
  <c r="AB2009" i="1"/>
  <c r="C2010" i="1"/>
  <c r="AB2010" i="1"/>
  <c r="C2011" i="1"/>
  <c r="AB2011" i="1"/>
  <c r="C2012" i="1"/>
  <c r="AB2012" i="1"/>
  <c r="C2013" i="1"/>
  <c r="AB2013" i="1"/>
  <c r="C2014" i="1"/>
  <c r="AB2014" i="1"/>
  <c r="C2015" i="1"/>
  <c r="AB2015" i="1"/>
  <c r="C2016" i="1"/>
  <c r="AB2016" i="1"/>
  <c r="C2017" i="1"/>
  <c r="AB2017" i="1"/>
  <c r="C2018" i="1"/>
  <c r="AB2018" i="1"/>
  <c r="C2019" i="1"/>
  <c r="AB2019" i="1"/>
  <c r="C2020" i="1"/>
  <c r="AB2020" i="1"/>
  <c r="C2021" i="1"/>
  <c r="AB2021" i="1"/>
  <c r="C2022" i="1"/>
  <c r="AB2022" i="1"/>
  <c r="C2023" i="1"/>
  <c r="AB2023" i="1"/>
  <c r="C2024" i="1"/>
  <c r="AB2024" i="1"/>
  <c r="C2025" i="1"/>
  <c r="AB2025" i="1"/>
  <c r="C2026" i="1"/>
  <c r="AB2026" i="1"/>
  <c r="C2027" i="1"/>
  <c r="AB2027" i="1"/>
  <c r="C2028" i="1"/>
  <c r="AB2028" i="1"/>
  <c r="C2029" i="1"/>
  <c r="AB2029" i="1"/>
  <c r="C2030" i="1"/>
  <c r="AB2030" i="1"/>
  <c r="C2031" i="1"/>
  <c r="AB2031" i="1"/>
  <c r="C2032" i="1"/>
  <c r="AB2032" i="1"/>
  <c r="C2033" i="1"/>
  <c r="AB2033" i="1"/>
  <c r="C2034" i="1"/>
  <c r="AB2034" i="1"/>
  <c r="C2035" i="1"/>
  <c r="AB2035" i="1"/>
  <c r="C2036" i="1"/>
  <c r="AB2036" i="1"/>
  <c r="C2037" i="1"/>
  <c r="AB2037" i="1"/>
  <c r="C2038" i="1"/>
  <c r="AB2038" i="1"/>
  <c r="C2039" i="1"/>
  <c r="AB2039" i="1"/>
  <c r="C2040" i="1"/>
  <c r="AB2040" i="1"/>
  <c r="C2041" i="1"/>
  <c r="AB2041" i="1"/>
  <c r="C2042" i="1"/>
  <c r="AB2042" i="1"/>
  <c r="C2043" i="1"/>
  <c r="AB2043" i="1"/>
  <c r="C2044" i="1"/>
  <c r="AB2044" i="1"/>
  <c r="C2045" i="1"/>
  <c r="AB2045" i="1"/>
  <c r="C2046" i="1"/>
  <c r="AB2046" i="1"/>
  <c r="C2047" i="1"/>
  <c r="AB2047" i="1"/>
  <c r="C2048" i="1"/>
  <c r="AB2048" i="1"/>
  <c r="C2049" i="1"/>
  <c r="AB2049" i="1"/>
  <c r="C2050" i="1"/>
  <c r="AB2050" i="1"/>
  <c r="C2051" i="1"/>
  <c r="AB2051" i="1"/>
  <c r="C2052" i="1"/>
  <c r="AB2052" i="1"/>
  <c r="C2053" i="1"/>
  <c r="AB2053" i="1"/>
  <c r="C2054" i="1"/>
  <c r="AB2054" i="1"/>
  <c r="C2055" i="1"/>
  <c r="AB2055" i="1"/>
  <c r="C2056" i="1"/>
  <c r="AB2056" i="1"/>
  <c r="C2057" i="1"/>
  <c r="AB2057" i="1"/>
  <c r="C2058" i="1"/>
  <c r="AB2058" i="1"/>
  <c r="C2059" i="1"/>
  <c r="AB2059" i="1"/>
  <c r="C2060" i="1"/>
  <c r="AB2060" i="1"/>
  <c r="C2061" i="1"/>
  <c r="AB2061" i="1"/>
  <c r="C2062" i="1"/>
  <c r="AB2062" i="1"/>
  <c r="C2063" i="1"/>
  <c r="AB2063" i="1"/>
  <c r="C2064" i="1"/>
  <c r="AB2064" i="1"/>
  <c r="C2065" i="1"/>
  <c r="AB2065" i="1"/>
  <c r="C2066" i="1"/>
  <c r="AB2066" i="1"/>
  <c r="C2067" i="1"/>
  <c r="AB2067" i="1"/>
  <c r="C2068" i="1"/>
  <c r="AB2068" i="1"/>
  <c r="C2069" i="1"/>
  <c r="AB2069" i="1"/>
  <c r="C2070" i="1"/>
  <c r="AB2070" i="1"/>
  <c r="C2071" i="1"/>
  <c r="AB2071" i="1"/>
  <c r="C2072" i="1"/>
  <c r="AB2072" i="1"/>
  <c r="C2073" i="1"/>
  <c r="AB2073" i="1"/>
  <c r="C2074" i="1"/>
  <c r="AB2074" i="1"/>
  <c r="C2075" i="1"/>
  <c r="AB2075" i="1"/>
  <c r="C2076" i="1"/>
  <c r="AB2076" i="1"/>
  <c r="C2077" i="1"/>
  <c r="AB2077" i="1"/>
  <c r="C2078" i="1"/>
  <c r="AB2078" i="1"/>
  <c r="C2079" i="1"/>
  <c r="AB2079" i="1"/>
  <c r="C2080" i="1"/>
  <c r="AB2080" i="1"/>
  <c r="C2081" i="1"/>
  <c r="AB2081" i="1"/>
  <c r="C2082" i="1"/>
  <c r="AB2082" i="1"/>
  <c r="C2083" i="1"/>
  <c r="AB2083" i="1"/>
  <c r="C2084" i="1"/>
  <c r="AB2084" i="1"/>
  <c r="C2085" i="1"/>
  <c r="AB2085" i="1"/>
  <c r="C2086" i="1"/>
  <c r="AB2086" i="1"/>
  <c r="C2087" i="1"/>
  <c r="AB2087" i="1"/>
  <c r="C2088" i="1"/>
  <c r="AB2088" i="1"/>
  <c r="C2089" i="1"/>
  <c r="AB2089" i="1"/>
  <c r="C2090" i="1"/>
  <c r="AB2090" i="1"/>
  <c r="C2091" i="1"/>
  <c r="AB2091" i="1"/>
  <c r="C2092" i="1"/>
  <c r="AB2092" i="1"/>
  <c r="C2093" i="1"/>
  <c r="AB2093" i="1"/>
  <c r="C2094" i="1"/>
  <c r="AB2094" i="1"/>
  <c r="C2095" i="1"/>
  <c r="AB2095" i="1"/>
  <c r="C2096" i="1"/>
  <c r="AB2096" i="1"/>
  <c r="C2097" i="1"/>
  <c r="AB2097" i="1"/>
  <c r="C2098" i="1"/>
  <c r="AB2098" i="1"/>
  <c r="C2099" i="1"/>
  <c r="AB2099" i="1"/>
  <c r="C2100" i="1"/>
  <c r="AB2100" i="1"/>
  <c r="C2101" i="1"/>
  <c r="AB2101" i="1"/>
  <c r="C2102" i="1"/>
  <c r="AB2102" i="1"/>
  <c r="C2103" i="1"/>
  <c r="AB2103" i="1"/>
  <c r="C2104" i="1"/>
  <c r="AB2104" i="1"/>
  <c r="C2105" i="1"/>
  <c r="AB2105" i="1"/>
  <c r="C2106" i="1"/>
  <c r="AB2106" i="1"/>
  <c r="C2107" i="1"/>
  <c r="AB2107" i="1"/>
  <c r="C2108" i="1"/>
  <c r="AB2108" i="1"/>
  <c r="C2109" i="1"/>
  <c r="AB2109" i="1"/>
  <c r="C2110" i="1"/>
  <c r="AB2110" i="1"/>
  <c r="C2111" i="1"/>
  <c r="AB2111" i="1"/>
  <c r="C2112" i="1"/>
  <c r="AB2112" i="1"/>
  <c r="C2113" i="1"/>
  <c r="AB2113" i="1"/>
  <c r="C2114" i="1"/>
  <c r="AB2114" i="1"/>
  <c r="C2115" i="1"/>
  <c r="AB2115" i="1"/>
  <c r="C2116" i="1"/>
  <c r="AB2116" i="1"/>
  <c r="C2117" i="1"/>
  <c r="AB2117" i="1"/>
  <c r="C2118" i="1"/>
  <c r="AB2118" i="1"/>
  <c r="C2119" i="1"/>
  <c r="AB2119" i="1"/>
  <c r="C2120" i="1"/>
  <c r="AB2120" i="1"/>
  <c r="C2121" i="1"/>
  <c r="AB2121" i="1"/>
  <c r="C2122" i="1"/>
  <c r="AB2122" i="1"/>
  <c r="C2123" i="1"/>
  <c r="AB2123" i="1"/>
  <c r="C2124" i="1"/>
  <c r="AB2124" i="1"/>
  <c r="C2125" i="1"/>
  <c r="AB2125" i="1"/>
  <c r="C2126" i="1"/>
  <c r="AB2126" i="1"/>
  <c r="C2127" i="1"/>
  <c r="AB2127" i="1"/>
  <c r="C2128" i="1"/>
  <c r="AB2128" i="1"/>
  <c r="C2129" i="1"/>
  <c r="AB2129" i="1"/>
  <c r="C2130" i="1"/>
  <c r="AB2130" i="1"/>
  <c r="C2131" i="1"/>
  <c r="AB2131" i="1"/>
  <c r="C2132" i="1"/>
  <c r="AB2132" i="1"/>
  <c r="C2133" i="1"/>
  <c r="AB2133" i="1"/>
  <c r="C2134" i="1"/>
  <c r="AB2134" i="1"/>
  <c r="C2135" i="1"/>
  <c r="AB2135" i="1"/>
  <c r="C2136" i="1"/>
  <c r="AB2136" i="1"/>
  <c r="C2137" i="1"/>
  <c r="AB2137" i="1"/>
  <c r="C2138" i="1"/>
  <c r="AB2138" i="1"/>
  <c r="C2139" i="1"/>
  <c r="AB2139" i="1"/>
  <c r="C2140" i="1"/>
  <c r="AB2140" i="1"/>
  <c r="C2141" i="1"/>
  <c r="AB2141" i="1"/>
  <c r="C2142" i="1"/>
  <c r="AB2142" i="1"/>
  <c r="C2143" i="1"/>
  <c r="AB2143" i="1"/>
  <c r="C2144" i="1"/>
  <c r="AB2144" i="1"/>
  <c r="C2145" i="1"/>
  <c r="AB2145" i="1"/>
  <c r="C2146" i="1"/>
  <c r="AB2146" i="1"/>
  <c r="C2147" i="1"/>
  <c r="AB2147" i="1"/>
  <c r="C2148" i="1"/>
  <c r="AB2148" i="1"/>
  <c r="C2149" i="1"/>
  <c r="AB2149" i="1"/>
  <c r="C2150" i="1"/>
  <c r="AB2150" i="1"/>
  <c r="C2151" i="1"/>
  <c r="AB2151" i="1"/>
  <c r="C2152" i="1"/>
  <c r="AB2152" i="1"/>
  <c r="C2153" i="1"/>
  <c r="AB2153" i="1"/>
  <c r="C2154" i="1"/>
  <c r="AB2154" i="1"/>
  <c r="C2155" i="1"/>
  <c r="AB2155" i="1"/>
  <c r="C2156" i="1"/>
  <c r="AB2156" i="1"/>
  <c r="C2157" i="1"/>
  <c r="AB2157" i="1"/>
  <c r="C2158" i="1"/>
  <c r="AB2158" i="1"/>
  <c r="C2159" i="1"/>
  <c r="AB2159" i="1"/>
  <c r="C2160" i="1"/>
  <c r="AB2160" i="1"/>
  <c r="C2161" i="1"/>
  <c r="AB2161" i="1"/>
  <c r="C2162" i="1"/>
  <c r="AB2162" i="1"/>
  <c r="C2163" i="1"/>
  <c r="AB2163" i="1"/>
  <c r="C2164" i="1"/>
  <c r="AB2164" i="1"/>
  <c r="C2165" i="1"/>
  <c r="AB2165" i="1"/>
  <c r="C2166" i="1"/>
  <c r="AB2166" i="1"/>
  <c r="C2167" i="1"/>
  <c r="AB2167" i="1"/>
  <c r="C2168" i="1"/>
  <c r="AB2168" i="1"/>
  <c r="C2169" i="1"/>
  <c r="AB2169" i="1"/>
  <c r="C2170" i="1"/>
  <c r="AB2170" i="1"/>
  <c r="C2171" i="1"/>
  <c r="AB2171" i="1"/>
  <c r="C2172" i="1"/>
  <c r="AB2172" i="1"/>
  <c r="C2173" i="1"/>
  <c r="AB2173" i="1"/>
  <c r="C2174" i="1"/>
  <c r="AB2174" i="1"/>
  <c r="C2175" i="1"/>
  <c r="AB2175" i="1"/>
  <c r="C2176" i="1"/>
  <c r="AB2176" i="1"/>
  <c r="C2177" i="1"/>
  <c r="AB2177" i="1"/>
  <c r="C2178" i="1"/>
  <c r="AB2178" i="1"/>
  <c r="C2179" i="1"/>
  <c r="AB2179" i="1"/>
  <c r="C2180" i="1"/>
  <c r="AB2180" i="1"/>
  <c r="C2181" i="1"/>
  <c r="AB2181" i="1"/>
  <c r="C2182" i="1"/>
  <c r="AB2182" i="1"/>
  <c r="C2183" i="1"/>
  <c r="AB2183" i="1"/>
  <c r="C2184" i="1"/>
  <c r="AB2184" i="1"/>
  <c r="C2185" i="1"/>
  <c r="AB2185" i="1"/>
  <c r="C2186" i="1"/>
  <c r="AB2186" i="1"/>
  <c r="C2187" i="1"/>
  <c r="AB2187" i="1"/>
  <c r="C2188" i="1"/>
  <c r="AB2188" i="1"/>
  <c r="C2189" i="1"/>
  <c r="AB2189" i="1"/>
  <c r="C2190" i="1"/>
  <c r="AB2190" i="1"/>
  <c r="C2191" i="1"/>
  <c r="AB2191" i="1"/>
  <c r="C2192" i="1"/>
  <c r="AB2192" i="1"/>
  <c r="C2193" i="1"/>
  <c r="AB2193" i="1"/>
  <c r="C2194" i="1"/>
  <c r="AB2194" i="1"/>
  <c r="C2195" i="1"/>
  <c r="AB2195" i="1"/>
  <c r="C2196" i="1"/>
  <c r="AB2196" i="1"/>
  <c r="C2197" i="1"/>
  <c r="AB2197" i="1"/>
  <c r="C2198" i="1"/>
  <c r="AB2198" i="1"/>
  <c r="C2199" i="1"/>
  <c r="AB2199" i="1"/>
  <c r="C2200" i="1"/>
  <c r="AB2200" i="1"/>
  <c r="C2201" i="1"/>
  <c r="AB2201" i="1"/>
  <c r="C2202" i="1"/>
  <c r="AB2202" i="1"/>
  <c r="C2203" i="1"/>
  <c r="AB2203" i="1"/>
  <c r="C2204" i="1"/>
  <c r="AB2204" i="1"/>
  <c r="C2205" i="1"/>
  <c r="AB2205" i="1"/>
  <c r="C2206" i="1"/>
  <c r="AB2206" i="1"/>
  <c r="C2207" i="1"/>
  <c r="AB2207" i="1"/>
  <c r="C2208" i="1"/>
  <c r="AB2208" i="1"/>
  <c r="C2209" i="1"/>
  <c r="AB2209" i="1"/>
  <c r="C2210" i="1"/>
  <c r="AB2210" i="1"/>
  <c r="C2211" i="1"/>
  <c r="AB2211" i="1"/>
  <c r="C2212" i="1"/>
  <c r="AB2212" i="1"/>
  <c r="C2213" i="1"/>
  <c r="AB2213" i="1"/>
  <c r="C2214" i="1"/>
  <c r="AB2214" i="1"/>
  <c r="C2215" i="1"/>
  <c r="AB2215" i="1"/>
  <c r="C2216" i="1"/>
  <c r="AB2216" i="1"/>
  <c r="C2217" i="1"/>
  <c r="AB2217" i="1"/>
  <c r="C2218" i="1"/>
  <c r="AB2218" i="1"/>
  <c r="C2219" i="1"/>
  <c r="AB2219" i="1"/>
  <c r="C2220" i="1"/>
  <c r="AB2220" i="1"/>
  <c r="C2221" i="1"/>
  <c r="AB2221" i="1"/>
  <c r="C2222" i="1"/>
  <c r="AB2222" i="1"/>
  <c r="C2223" i="1"/>
  <c r="AB2223" i="1"/>
  <c r="C2224" i="1"/>
  <c r="AB2224" i="1"/>
  <c r="C2225" i="1"/>
  <c r="AB2225" i="1"/>
  <c r="C2226" i="1"/>
  <c r="AB2226" i="1"/>
  <c r="C2227" i="1"/>
  <c r="AB2227" i="1"/>
  <c r="C2228" i="1"/>
  <c r="AB2228" i="1"/>
  <c r="C2229" i="1"/>
  <c r="AB2229" i="1"/>
  <c r="C2230" i="1"/>
  <c r="AB2230" i="1"/>
  <c r="C2231" i="1"/>
  <c r="AB2231" i="1"/>
  <c r="C2232" i="1"/>
  <c r="AB2232" i="1"/>
  <c r="C2233" i="1"/>
  <c r="AB2233" i="1"/>
  <c r="C2234" i="1"/>
  <c r="AB2234" i="1"/>
  <c r="C2235" i="1"/>
  <c r="AB2235" i="1"/>
  <c r="C2236" i="1"/>
  <c r="AB2236" i="1"/>
  <c r="C2237" i="1"/>
  <c r="AB2237" i="1"/>
  <c r="C2238" i="1"/>
  <c r="AB2238" i="1"/>
  <c r="C2239" i="1"/>
  <c r="AB2239" i="1"/>
  <c r="C2240" i="1"/>
  <c r="AB2240" i="1"/>
  <c r="C2241" i="1"/>
  <c r="AB2241" i="1"/>
  <c r="C2242" i="1"/>
  <c r="AB2242" i="1"/>
  <c r="C2243" i="1"/>
  <c r="AB2243" i="1"/>
  <c r="C2244" i="1"/>
  <c r="AB2244" i="1"/>
  <c r="C2245" i="1"/>
  <c r="AB2245" i="1"/>
  <c r="C2246" i="1"/>
  <c r="AB2246" i="1"/>
  <c r="C2247" i="1"/>
  <c r="AB2247" i="1"/>
  <c r="C2248" i="1"/>
  <c r="AB2248" i="1"/>
  <c r="C2249" i="1"/>
  <c r="AB2249" i="1"/>
  <c r="C2250" i="1"/>
  <c r="AB2250" i="1"/>
  <c r="C2251" i="1"/>
  <c r="AB2251" i="1"/>
  <c r="C2252" i="1"/>
  <c r="AB2252" i="1"/>
  <c r="C2253" i="1"/>
  <c r="AB2253" i="1"/>
  <c r="C2254" i="1"/>
  <c r="AB2254" i="1"/>
  <c r="C2255" i="1"/>
  <c r="AB2255" i="1"/>
  <c r="C2256" i="1"/>
  <c r="AB2256" i="1"/>
  <c r="C2257" i="1"/>
  <c r="AB2257" i="1"/>
  <c r="C2258" i="1"/>
  <c r="AB2258" i="1"/>
  <c r="C2259" i="1"/>
  <c r="AB2259" i="1"/>
  <c r="C2260" i="1"/>
  <c r="AB2260" i="1"/>
  <c r="C2261" i="1"/>
  <c r="AB2261" i="1"/>
  <c r="C2262" i="1"/>
  <c r="AB2262" i="1"/>
  <c r="C2263" i="1"/>
  <c r="AB2263" i="1"/>
  <c r="C2264" i="1"/>
  <c r="AB2264" i="1"/>
  <c r="C2265" i="1"/>
  <c r="AB2265" i="1"/>
  <c r="C2266" i="1"/>
  <c r="AB2266" i="1"/>
  <c r="C2267" i="1"/>
  <c r="AB2267" i="1"/>
  <c r="C2268" i="1"/>
  <c r="AB2268" i="1"/>
  <c r="C2269" i="1"/>
  <c r="AB2269" i="1"/>
  <c r="C2270" i="1"/>
  <c r="AB2270" i="1"/>
  <c r="C2271" i="1"/>
  <c r="AB2271" i="1"/>
  <c r="C2272" i="1"/>
  <c r="AB2272" i="1"/>
  <c r="C2273" i="1"/>
  <c r="AB2273" i="1"/>
  <c r="C2274" i="1"/>
  <c r="AB2274" i="1"/>
  <c r="C2275" i="1"/>
  <c r="AB2275" i="1"/>
  <c r="C2276" i="1"/>
  <c r="AB2276" i="1"/>
  <c r="C2277" i="1"/>
  <c r="AB2277" i="1"/>
  <c r="C2278" i="1"/>
  <c r="AB2278" i="1"/>
  <c r="C2279" i="1"/>
  <c r="AB2279" i="1"/>
  <c r="C2280" i="1"/>
  <c r="AB2280" i="1"/>
  <c r="C2281" i="1"/>
  <c r="AB2281" i="1"/>
  <c r="C2282" i="1"/>
  <c r="AB2282" i="1"/>
  <c r="C2283" i="1"/>
  <c r="AB2283" i="1"/>
  <c r="C2284" i="1"/>
  <c r="AB2284" i="1"/>
  <c r="C2285" i="1"/>
  <c r="AB2285" i="1"/>
  <c r="C2286" i="1"/>
  <c r="AB2286" i="1"/>
  <c r="C2287" i="1"/>
  <c r="AB2287" i="1"/>
  <c r="C2288" i="1"/>
  <c r="AB2288" i="1"/>
  <c r="C2289" i="1"/>
  <c r="AB2289" i="1"/>
  <c r="C2290" i="1"/>
  <c r="AB2290" i="1"/>
  <c r="C2291" i="1"/>
  <c r="AB2291" i="1"/>
  <c r="C2292" i="1"/>
  <c r="AB2292" i="1"/>
  <c r="C2293" i="1"/>
  <c r="AB2293" i="1"/>
  <c r="C2294" i="1"/>
  <c r="AB2294" i="1"/>
  <c r="C2295" i="1"/>
  <c r="AB2295" i="1"/>
  <c r="C2296" i="1"/>
  <c r="AB2296" i="1"/>
  <c r="C2297" i="1"/>
  <c r="AB2297" i="1"/>
  <c r="C2298" i="1"/>
  <c r="AB2298" i="1"/>
  <c r="C2299" i="1"/>
  <c r="AB2299" i="1"/>
  <c r="C2300" i="1"/>
  <c r="AB2300" i="1"/>
  <c r="C2301" i="1"/>
  <c r="AB2301" i="1"/>
  <c r="C2302" i="1"/>
  <c r="AB2302" i="1"/>
  <c r="C2303" i="1"/>
  <c r="AB2303" i="1"/>
  <c r="C2304" i="1"/>
  <c r="AB2304" i="1"/>
  <c r="C2305" i="1"/>
  <c r="AB2305" i="1"/>
  <c r="D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D5" i="9"/>
  <c r="D4" i="9"/>
  <c r="B3" i="9"/>
  <c r="D3" i="9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4" i="9"/>
  <c r="F1" i="1"/>
  <c r="F147" i="1"/>
  <c r="F148" i="1"/>
  <c r="F149" i="1"/>
  <c r="F15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4" i="9"/>
  <c r="G1" i="1"/>
  <c r="G147" i="1"/>
  <c r="G148" i="1"/>
  <c r="G149" i="1"/>
  <c r="G15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4" i="9"/>
  <c r="H1" i="1"/>
  <c r="H147" i="1"/>
  <c r="H148" i="1"/>
  <c r="H149" i="1"/>
  <c r="H15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4" i="9"/>
  <c r="I1" i="1"/>
  <c r="I147" i="1"/>
  <c r="I148" i="1"/>
  <c r="I149" i="1"/>
  <c r="I15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4" i="9"/>
  <c r="J1" i="1"/>
  <c r="J147" i="1"/>
  <c r="J148" i="1"/>
  <c r="J149" i="1"/>
  <c r="J15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4" i="9"/>
  <c r="K4" i="9"/>
  <c r="L4" i="9"/>
  <c r="M4" i="9"/>
  <c r="N4" i="9"/>
  <c r="O4" i="9"/>
  <c r="P4" i="9"/>
  <c r="Q1" i="1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519" i="1"/>
  <c r="T4" i="9"/>
  <c r="U1" i="1"/>
  <c r="U147" i="1"/>
  <c r="U148" i="1"/>
  <c r="U149" i="1"/>
  <c r="U1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4" i="9"/>
  <c r="V4" i="9"/>
  <c r="W519" i="1"/>
  <c r="W4" i="9"/>
  <c r="X1" i="1"/>
  <c r="X147" i="1"/>
  <c r="X148" i="1"/>
  <c r="X149" i="1"/>
  <c r="X15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4" i="9"/>
  <c r="Y4" i="9"/>
  <c r="Z1" i="1"/>
  <c r="Z147" i="1"/>
  <c r="Z148" i="1"/>
  <c r="Z149" i="1"/>
  <c r="Z150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4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E3" i="9"/>
  <c r="AA1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3" i="1"/>
  <c r="C11" i="9"/>
  <c r="A29" i="9"/>
  <c r="A30" i="9"/>
  <c r="A31" i="9"/>
  <c r="A28" i="9"/>
  <c r="B29" i="9"/>
  <c r="B30" i="9"/>
  <c r="B31" i="9"/>
  <c r="B28" i="9"/>
  <c r="AD4" i="1"/>
  <c r="AD3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G519" i="1"/>
  <c r="X2" i="9"/>
  <c r="Y2" i="9"/>
  <c r="Z2" i="9"/>
  <c r="AJ2" i="1"/>
  <c r="AK2" i="1"/>
  <c r="AL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1" i="1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efficient_ph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<sst xmlns="http://schemas.openxmlformats.org/spreadsheetml/2006/main" count="1943" uniqueCount="726">
  <si>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</si>
  <si>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</si>
  <si>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</si>
  <si>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</si>
  <si>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</si>
  <si>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</si>
  <si>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</si>
  <si>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</si>
  <si>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</si>
  <si>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</si>
  <si>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</si>
  <si>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</si>
  <si>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</si>
  <si>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</si>
  <si>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</si>
  <si>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</si>
  <si>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</si>
  <si>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</si>
  <si>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</si>
  <si>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</si>
  <si>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</si>
  <si>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</si>
  <si>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</si>
  <si>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</si>
  <si>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</si>
  <si>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</si>
  <si>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</si>
  <si>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</si>
  <si>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</si>
  <si>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</si>
  <si>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</si>
  <si>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</si>
  <si>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</si>
  <si>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</si>
  <si>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</si>
  <si>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</si>
  <si>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</si>
  <si>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</si>
  <si>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</si>
  <si>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</si>
  <si>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</si>
  <si>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</si>
  <si>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</si>
  <si>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</si>
  <si>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</si>
  <si>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</si>
  <si>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</si>
  <si>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</si>
  <si>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</si>
  <si>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</si>
  <si>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</si>
  <si>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</si>
  <si>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</si>
  <si>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</si>
  <si>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rps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</si>
  <si>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</si>
  <si>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</si>
  <si>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</si>
  <si>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</si>
  <si>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</si>
  <si>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</si>
  <si>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</si>
  <si>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</si>
  <si>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</si>
  <si>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</si>
  <si>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</si>
  <si>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</si>
  <si>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</si>
  <si>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</si>
  <si>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</si>
  <si>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</si>
  <si>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</si>
  <si>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</si>
  <si>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</si>
  <si>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</si>
  <si>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</si>
  <si>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</si>
  <si>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</si>
  <si>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</si>
  <si>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</si>
  <si>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</si>
  <si>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</si>
  <si>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</si>
  <si>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</si>
  <si>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</si>
  <si>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</si>
  <si>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</si>
  <si>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</si>
  <si>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</si>
  <si>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</si>
  <si>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</si>
  <si>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</si>
  <si>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</si>
  <si>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</si>
  <si>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</si>
  <si>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</si>
  <si>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</si>
  <si>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rps_more_dr</t>
  </si>
  <si>
    <t>x</t>
  </si>
  <si>
    <t>scenario names</t>
  </si>
  <si>
    <t>short</t>
  </si>
  <si>
    <t>long</t>
  </si>
  <si>
    <t>rps_fed_subsidies</t>
  </si>
  <si>
    <t>rps_high_oil_price</t>
  </si>
  <si>
    <t>rps_lng_oil_peg</t>
  </si>
  <si>
    <t>rps_low_oil_price</t>
  </si>
  <si>
    <t>rps_no_dr</t>
  </si>
  <si>
    <t>rps_no_ph</t>
  </si>
  <si>
    <t>rps_no_wind</t>
  </si>
  <si>
    <t>rps_no_wind_no_central_pv</t>
  </si>
  <si>
    <t>rps_re_cost_trend</t>
  </si>
  <si>
    <t>rps_triple_ph</t>
  </si>
  <si>
    <t>x_high_oil_price</t>
  </si>
  <si>
    <t>x_lng_oil_peg</t>
  </si>
  <si>
    <t>x_low_oil_price</t>
  </si>
  <si>
    <t>RPS - continued renewable subsidies</t>
  </si>
  <si>
    <t>RPS - high oil price</t>
  </si>
  <si>
    <t>RPS - LNG price pegged to oil price</t>
  </si>
  <si>
    <t>RPS - low oil price</t>
  </si>
  <si>
    <t>RPS - more demand response (40%)</t>
  </si>
  <si>
    <t>RPS - no demand response</t>
  </si>
  <si>
    <t>RPS - no pumped hydro storage</t>
  </si>
  <si>
    <t>RPS - no new wind</t>
  </si>
  <si>
    <t>RPS - no new wind or central PV</t>
  </si>
  <si>
    <t>RPS - renewable costs follow past trend</t>
  </si>
  <si>
    <t>RPS - three pumped storage projects available</t>
  </si>
  <si>
    <t>No New Renewables - base</t>
  </si>
  <si>
    <t>No New Renewables - high oil price</t>
  </si>
  <si>
    <t>No New Renewables - LNG price pegged to oil price</t>
  </si>
  <si>
    <t>No New Renewables - low oil price</t>
  </si>
  <si>
    <t>rps_re_cost_trend_more_dr</t>
  </si>
  <si>
    <t>rps_high_oil_and_lng_price</t>
  </si>
  <si>
    <t>x_high_oil_and_lng_price</t>
  </si>
  <si>
    <t>RPS - LNG pegged to high oil price</t>
  </si>
  <si>
    <t>No New Renewables - LNG pegged to high oil price</t>
  </si>
  <si>
    <t>x_base</t>
  </si>
  <si>
    <t>rps_base</t>
  </si>
  <si>
    <t>RPS - base</t>
  </si>
  <si>
    <t>DistPV_peak</t>
  </si>
  <si>
    <t>RPS - 40% demand response + renewable costs follow past trend</t>
  </si>
  <si>
    <t>New Dist PV</t>
  </si>
  <si>
    <t>2020-02-01-00:00</t>
  </si>
  <si>
    <t>2020-02-01-02:00</t>
  </si>
  <si>
    <t>2020-02-01-04:00</t>
  </si>
  <si>
    <t>2020-02-01-06:00</t>
  </si>
  <si>
    <t>2020-02-01-08:00</t>
  </si>
  <si>
    <t>2020-02-01-10:00</t>
  </si>
  <si>
    <t>2020-02-01-12:00</t>
  </si>
  <si>
    <t>2020-02-01-14:00</t>
  </si>
  <si>
    <t>2020-02-01-16:00</t>
  </si>
  <si>
    <t>2020-02-01-18:00</t>
  </si>
  <si>
    <t>2020-02-01-20:00</t>
  </si>
  <si>
    <t>2020-02-01-22:00</t>
  </si>
  <si>
    <t>2020-04-09-00:00</t>
  </si>
  <si>
    <t>2020-04-09-02:00</t>
  </si>
  <si>
    <t>2020-04-09-04:00</t>
  </si>
  <si>
    <t>2020-04-09-06:00</t>
  </si>
  <si>
    <t>2020-04-09-08:00</t>
  </si>
  <si>
    <t>2020-04-09-10:00</t>
  </si>
  <si>
    <t>2020-04-09-12:00</t>
  </si>
  <si>
    <t>2020-04-09-14:00</t>
  </si>
  <si>
    <t>2020-04-09-16:00</t>
  </si>
  <si>
    <t>2020-04-09-18:00</t>
  </si>
  <si>
    <t>2020-04-09-20:00</t>
  </si>
  <si>
    <t>2020-04-09-22:00</t>
  </si>
  <si>
    <t>2020-06-05-00:00</t>
  </si>
  <si>
    <t>2020-06-05-02:00</t>
  </si>
  <si>
    <t>2020-06-05-04:00</t>
  </si>
  <si>
    <t>2020-06-05-06:00</t>
  </si>
  <si>
    <t>2020-06-05-08:00</t>
  </si>
  <si>
    <t>2020-06-05-10:00</t>
  </si>
  <si>
    <t>2020-06-05-12:00</t>
  </si>
  <si>
    <t>2020-06-05-14:00</t>
  </si>
  <si>
    <t>2020-06-05-16:00</t>
  </si>
  <si>
    <t>2020-06-05-18:00</t>
  </si>
  <si>
    <t>2020-06-05-20:00</t>
  </si>
  <si>
    <t>2020-06-05-22:00</t>
  </si>
  <si>
    <t>2020-08-30-00:00</t>
  </si>
  <si>
    <t>2020-08-30-02:00</t>
  </si>
  <si>
    <t>2020-08-30-04:00</t>
  </si>
  <si>
    <t>2020-08-30-06:00</t>
  </si>
  <si>
    <t>2020-08-30-08:00</t>
  </si>
  <si>
    <t>2020-08-30-10:00</t>
  </si>
  <si>
    <t>2020-08-30-12:00</t>
  </si>
  <si>
    <t>2020-08-30-14:00</t>
  </si>
  <si>
    <t>2020-08-30-16:00</t>
  </si>
  <si>
    <t>2020-08-30-18:00</t>
  </si>
  <si>
    <t>2020-08-30-20:00</t>
  </si>
  <si>
    <t>2020-08-30-22:00</t>
  </si>
  <si>
    <t>2020-10-06-00:00</t>
  </si>
  <si>
    <t>2020-10-06-02:00</t>
  </si>
  <si>
    <t>2020-10-06-04:00</t>
  </si>
  <si>
    <t>2020-10-06-06:00</t>
  </si>
  <si>
    <t>2020-10-06-08:00</t>
  </si>
  <si>
    <t>2020-10-06-10:00</t>
  </si>
  <si>
    <t>2020-10-06-12:00</t>
  </si>
  <si>
    <t>2020-10-06-14:00</t>
  </si>
  <si>
    <t>2020-10-06-16:00</t>
  </si>
  <si>
    <t>2020-10-06-18:00</t>
  </si>
  <si>
    <t>2020-10-06-20:00</t>
  </si>
  <si>
    <t>2020-10-06-22:00</t>
  </si>
  <si>
    <t>2020-10-22-00:00</t>
  </si>
  <si>
    <t>2020-10-22-02:00</t>
  </si>
  <si>
    <t>2020-10-22-04:00</t>
  </si>
  <si>
    <t>2020-10-22-06:00</t>
  </si>
  <si>
    <t>2020-10-22-08:00</t>
  </si>
  <si>
    <t>2020-10-22-10:00</t>
  </si>
  <si>
    <t>2020-10-22-12:00</t>
  </si>
  <si>
    <t>2020-10-22-14:00</t>
  </si>
  <si>
    <t>2020-10-22-16:00</t>
  </si>
  <si>
    <t>2020-10-22-18:00</t>
  </si>
  <si>
    <t>2020-10-22-20:00</t>
  </si>
  <si>
    <t>2020-10-22-22:00</t>
  </si>
  <si>
    <t>2020-12-02-00:00</t>
  </si>
  <si>
    <t>2020-12-02-02:00</t>
  </si>
  <si>
    <t>2020-12-02-04:00</t>
  </si>
  <si>
    <t>2020-12-02-06:00</t>
  </si>
  <si>
    <t>2020-12-02-08:00</t>
  </si>
  <si>
    <t>2020-12-02-10:00</t>
  </si>
  <si>
    <t>2020-12-02-12:00</t>
  </si>
  <si>
    <t>2020-12-02-14:00</t>
  </si>
  <si>
    <t>2020-12-02-16:00</t>
  </si>
  <si>
    <t>2020-12-02-18:00</t>
  </si>
  <si>
    <t>2020-12-02-20:00</t>
  </si>
  <si>
    <t>2020-12-02-22:00</t>
  </si>
  <si>
    <t>2020-12-04-00:00</t>
  </si>
  <si>
    <t>2020-12-04-02:00</t>
  </si>
  <si>
    <t>2020-12-04-04:00</t>
  </si>
  <si>
    <t>2020-12-04-06:00</t>
  </si>
  <si>
    <t>2020-12-04-08:00</t>
  </si>
  <si>
    <t>2020-12-04-10:00</t>
  </si>
  <si>
    <t>2020-12-04-12:00</t>
  </si>
  <si>
    <t>2020-12-04-14:00</t>
  </si>
  <si>
    <t>2020-12-04-16:00</t>
  </si>
  <si>
    <t>2020-12-04-18:00</t>
  </si>
  <si>
    <t>2020-12-04-20:00</t>
  </si>
  <si>
    <t>2020-12-04-22:00</t>
  </si>
  <si>
    <t>2020-02-06-00:00</t>
  </si>
  <si>
    <t>2020-02-06-02:00</t>
  </si>
  <si>
    <t>2020-02-06-04:00</t>
  </si>
  <si>
    <t>2020-02-06-06:00</t>
  </si>
  <si>
    <t>2020-02-06-08:00</t>
  </si>
  <si>
    <t>2020-02-06-10:00</t>
  </si>
  <si>
    <t>2020-02-06-12:00</t>
  </si>
  <si>
    <t>2020-02-06-14:00</t>
  </si>
  <si>
    <t>2020-02-06-16:00</t>
  </si>
  <si>
    <t>2020-02-06-18:00</t>
  </si>
  <si>
    <t>2020-02-06-20:00</t>
  </si>
  <si>
    <t>2020-02-06-22:00</t>
  </si>
  <si>
    <t>2020-04-23-00:00</t>
  </si>
  <si>
    <t>2020-04-23-02:00</t>
  </si>
  <si>
    <t>2020-04-23-04:00</t>
  </si>
  <si>
    <t>2020-04-23-06:00</t>
  </si>
  <si>
    <t>2020-04-23-08:00</t>
  </si>
  <si>
    <t>2020-04-23-10:00</t>
  </si>
  <si>
    <t>2020-04-23-12:00</t>
  </si>
  <si>
    <t>2020-04-23-14:00</t>
  </si>
  <si>
    <t>2020-04-23-16:00</t>
  </si>
  <si>
    <t>2020-04-23-18:00</t>
  </si>
  <si>
    <t>2020-04-23-20:00</t>
  </si>
  <si>
    <t>2020-04-23-22:00</t>
  </si>
  <si>
    <t>2020-06-22-00:00</t>
  </si>
  <si>
    <t>2020-06-22-02:00</t>
  </si>
  <si>
    <t>2020-06-22-04:00</t>
  </si>
  <si>
    <t>2020-06-22-06:00</t>
  </si>
  <si>
    <t>2020-06-22-08:00</t>
  </si>
  <si>
    <t>2020-06-22-10:00</t>
  </si>
  <si>
    <t>2020-06-22-12:00</t>
  </si>
  <si>
    <t>2020-06-22-14:00</t>
  </si>
  <si>
    <t>2020-06-22-16:00</t>
  </si>
  <si>
    <t>2020-06-22-18:00</t>
  </si>
  <si>
    <t>2020-06-22-20:00</t>
  </si>
  <si>
    <t>2020-06-22-22:00</t>
  </si>
  <si>
    <t>2020-08-08-00:00</t>
  </si>
  <si>
    <t>2020-08-08-02:00</t>
  </si>
  <si>
    <t>2020-08-08-04:00</t>
  </si>
  <si>
    <t>2020-08-08-06:00</t>
  </si>
  <si>
    <t>2020-08-08-08:00</t>
  </si>
  <si>
    <t>2020-08-08-10:00</t>
  </si>
  <si>
    <t>2020-08-08-12:00</t>
  </si>
  <si>
    <t>2020-08-08-14:00</t>
  </si>
  <si>
    <t>2020-08-08-16:00</t>
  </si>
  <si>
    <t>2020-08-08-18:00</t>
  </si>
  <si>
    <t>2020-08-08-20:00</t>
  </si>
  <si>
    <t>2020-08-08-22:00</t>
  </si>
  <si>
    <t>2025-02-02-00:00</t>
  </si>
  <si>
    <t>2025-02-02-02:00</t>
  </si>
  <si>
    <t>2025-02-02-04:00</t>
  </si>
  <si>
    <t>2025-02-02-06:00</t>
  </si>
  <si>
    <t>2025-02-02-08:00</t>
  </si>
  <si>
    <t>2025-02-02-10:00</t>
  </si>
  <si>
    <t>2025-02-02-12:00</t>
  </si>
  <si>
    <t>2025-02-02-14:00</t>
  </si>
  <si>
    <t>2025-02-02-16:00</t>
  </si>
  <si>
    <t>2025-02-02-18:00</t>
  </si>
  <si>
    <t>2025-02-02-20:00</t>
  </si>
  <si>
    <t>2025-02-02-22:00</t>
  </si>
  <si>
    <t>2025-04-09-00:00</t>
  </si>
  <si>
    <t>2025-04-09-02:00</t>
  </si>
  <si>
    <t>2025-04-09-04:00</t>
  </si>
  <si>
    <t>2025-04-09-06:00</t>
  </si>
  <si>
    <t>2025-04-09-08:00</t>
  </si>
  <si>
    <t>2025-04-09-10:00</t>
  </si>
  <si>
    <t>2025-04-09-12:00</t>
  </si>
  <si>
    <t>2025-04-09-14:00</t>
  </si>
  <si>
    <t>2025-04-09-16:00</t>
  </si>
  <si>
    <t>2025-04-09-18:00</t>
  </si>
  <si>
    <t>2025-04-09-20:00</t>
  </si>
  <si>
    <t>2025-04-09-22:00</t>
  </si>
  <si>
    <t>2025-06-05-00:00</t>
  </si>
  <si>
    <t>2025-06-05-02:00</t>
  </si>
  <si>
    <t>2025-06-05-04:00</t>
  </si>
  <si>
    <t>2025-06-05-06:00</t>
  </si>
  <si>
    <t>2025-06-05-08:00</t>
  </si>
  <si>
    <t>2025-06-05-10:00</t>
  </si>
  <si>
    <t>2025-06-05-12:00</t>
  </si>
  <si>
    <t>2025-06-05-14:00</t>
  </si>
  <si>
    <t>2025-06-05-16:00</t>
  </si>
  <si>
    <t>2025-06-05-18:00</t>
  </si>
  <si>
    <t>2025-06-05-20:00</t>
  </si>
  <si>
    <t>2025-06-05-22:00</t>
  </si>
  <si>
    <t>2025-08-30-00:00</t>
  </si>
  <si>
    <t>2025-08-30-02:00</t>
  </si>
  <si>
    <t>2025-08-30-04:00</t>
  </si>
  <si>
    <t>2025-08-30-06:00</t>
  </si>
  <si>
    <t>2025-08-30-08:00</t>
  </si>
  <si>
    <t>2025-08-30-10:00</t>
  </si>
  <si>
    <t>2025-08-30-12:00</t>
  </si>
  <si>
    <t>2025-08-30-14:00</t>
  </si>
  <si>
    <t>2025-08-30-16:00</t>
  </si>
  <si>
    <t>2025-08-30-18:00</t>
  </si>
  <si>
    <t>2025-08-30-20:00</t>
  </si>
  <si>
    <t>2025-08-30-22:00</t>
  </si>
  <si>
    <t>2025-10-05-00:00</t>
  </si>
  <si>
    <t>2025-10-05-02:00</t>
  </si>
  <si>
    <t>2025-10-05-04:00</t>
  </si>
  <si>
    <t>2025-10-05-06:00</t>
  </si>
  <si>
    <t>2025-10-05-08:00</t>
  </si>
  <si>
    <t>2025-10-05-10:00</t>
  </si>
  <si>
    <t>2025-10-05-12:00</t>
  </si>
  <si>
    <t>2025-10-05-14:00</t>
  </si>
  <si>
    <t>2025-10-05-16:00</t>
  </si>
  <si>
    <t>2025-10-05-18:00</t>
  </si>
  <si>
    <t>2025-10-05-20:00</t>
  </si>
  <si>
    <t>2025-10-05-22:00</t>
  </si>
  <si>
    <t>2025-10-22-00:00</t>
  </si>
  <si>
    <t>2025-10-22-02:00</t>
  </si>
  <si>
    <t>2025-10-22-04:00</t>
  </si>
  <si>
    <t>2025-10-22-06:00</t>
  </si>
  <si>
    <t>2025-10-22-08:00</t>
  </si>
  <si>
    <t>2025-10-22-10:00</t>
  </si>
  <si>
    <t>2025-10-22-12:00</t>
  </si>
  <si>
    <t>2025-10-22-14:00</t>
  </si>
  <si>
    <t>2025-10-22-16:00</t>
  </si>
  <si>
    <t>2025-10-22-18:00</t>
  </si>
  <si>
    <t>2025-10-22-20:00</t>
  </si>
  <si>
    <t>2025-10-22-22:00</t>
  </si>
  <si>
    <t>2025-12-04-00:00</t>
  </si>
  <si>
    <t>2025-12-04-02:00</t>
  </si>
  <si>
    <t>2025-12-04-04:00</t>
  </si>
  <si>
    <t>2025-12-04-06:00</t>
  </si>
  <si>
    <t>2025-12-04-08:00</t>
  </si>
  <si>
    <t>2025-12-04-10:00</t>
  </si>
  <si>
    <t>2025-12-04-12:00</t>
  </si>
  <si>
    <t>2025-12-04-14:00</t>
  </si>
  <si>
    <t>2025-12-04-16:00</t>
  </si>
  <si>
    <t>2025-12-04-18:00</t>
  </si>
  <si>
    <t>2025-12-04-20:00</t>
  </si>
  <si>
    <t>2025-12-04-22:00</t>
  </si>
  <si>
    <t>2025-02-06-00:00</t>
  </si>
  <si>
    <t>2025-02-06-02:00</t>
  </si>
  <si>
    <t>2025-02-06-04:00</t>
  </si>
  <si>
    <t>2025-02-06-06:00</t>
  </si>
  <si>
    <t>2025-02-06-08:00</t>
  </si>
  <si>
    <t>2025-02-06-10:00</t>
  </si>
  <si>
    <t>2025-02-06-12:00</t>
  </si>
  <si>
    <t>2025-02-06-14:00</t>
  </si>
  <si>
    <t>2025-02-06-16:00</t>
  </si>
  <si>
    <t>2025-02-06-18:00</t>
  </si>
  <si>
    <t>2025-02-06-20:00</t>
  </si>
  <si>
    <t>2025-02-06-22:00</t>
  </si>
  <si>
    <t>2025-04-29-00:00</t>
  </si>
  <si>
    <t>2025-04-29-02:00</t>
  </si>
  <si>
    <t>2025-04-29-04:00</t>
  </si>
  <si>
    <t>2025-04-29-06:00</t>
  </si>
  <si>
    <t>2025-04-29-08:00</t>
  </si>
  <si>
    <t>2025-04-29-10:00</t>
  </si>
  <si>
    <t>2025-04-29-12:00</t>
  </si>
  <si>
    <t>2025-04-29-14:00</t>
  </si>
  <si>
    <t>2025-04-29-16:00</t>
  </si>
  <si>
    <t>2025-04-29-18:00</t>
  </si>
  <si>
    <t>2025-04-29-20:00</t>
  </si>
  <si>
    <t>2025-04-29-22:00</t>
  </si>
  <si>
    <t>2025-06-21-00:00</t>
  </si>
  <si>
    <t>2025-06-21-02:00</t>
  </si>
  <si>
    <t>2025-06-21-04:00</t>
  </si>
  <si>
    <t>2025-06-21-06:00</t>
  </si>
  <si>
    <t>2025-06-21-08:00</t>
  </si>
  <si>
    <t>2025-06-21-10:00</t>
  </si>
  <si>
    <t>2025-06-21-12:00</t>
  </si>
  <si>
    <t>2025-06-21-14:00</t>
  </si>
  <si>
    <t>2025-06-21-16:00</t>
  </si>
  <si>
    <t>2025-06-21-18:00</t>
  </si>
  <si>
    <t>2025-06-21-20:00</t>
  </si>
  <si>
    <t>2025-06-21-22:00</t>
  </si>
  <si>
    <t>2025-08-20-00:00</t>
  </si>
  <si>
    <t>2025-08-20-02:00</t>
  </si>
  <si>
    <t>2025-08-20-04:00</t>
  </si>
  <si>
    <t>2025-08-20-06:00</t>
  </si>
  <si>
    <t>2025-08-20-08:00</t>
  </si>
  <si>
    <t>2025-08-20-10:00</t>
  </si>
  <si>
    <t>2025-08-20-12:00</t>
  </si>
  <si>
    <t>2025-08-20-14:00</t>
  </si>
  <si>
    <t>2025-08-20-16:00</t>
  </si>
  <si>
    <t>2025-08-20-18:00</t>
  </si>
  <si>
    <t>2025-08-20-20:00</t>
  </si>
  <si>
    <t>2025-08-20-22:00</t>
  </si>
  <si>
    <t>2025-12-02-00:00</t>
  </si>
  <si>
    <t>2025-12-02-02:00</t>
  </si>
  <si>
    <t>2025-12-02-04:00</t>
  </si>
  <si>
    <t>2025-12-02-06:00</t>
  </si>
  <si>
    <t>2025-12-02-08:00</t>
  </si>
  <si>
    <t>2025-12-02-10:00</t>
  </si>
  <si>
    <t>2025-12-02-12:00</t>
  </si>
  <si>
    <t>2025-12-02-14:00</t>
  </si>
  <si>
    <t>2025-12-02-16:00</t>
  </si>
  <si>
    <t>2025-12-02-18:00</t>
  </si>
  <si>
    <t>2025-12-02-20:00</t>
  </si>
  <si>
    <t>2025-12-02-22:00</t>
  </si>
  <si>
    <t>2030-02-09-00:00</t>
  </si>
  <si>
    <t>2030-02-09-02:00</t>
  </si>
  <si>
    <t>2030-02-09-04:00</t>
  </si>
  <si>
    <t>2030-02-09-06:00</t>
  </si>
  <si>
    <t>2030-02-09-08:00</t>
  </si>
  <si>
    <t>2030-02-09-10:00</t>
  </si>
  <si>
    <t>2030-02-09-12:00</t>
  </si>
  <si>
    <t>2030-02-09-14:00</t>
  </si>
  <si>
    <t>2030-02-09-16:00</t>
  </si>
  <si>
    <t>2030-02-09-18:00</t>
  </si>
  <si>
    <t>2030-02-09-20:00</t>
  </si>
  <si>
    <t>2030-02-09-22:00</t>
  </si>
  <si>
    <t>2030-04-09-00:00</t>
  </si>
  <si>
    <t>2030-04-09-02:00</t>
  </si>
  <si>
    <t>2030-04-09-04:00</t>
  </si>
  <si>
    <t>2030-04-09-06:00</t>
  </si>
  <si>
    <t>2030-04-09-08:00</t>
  </si>
  <si>
    <t>2030-04-09-10:00</t>
  </si>
  <si>
    <t>2030-04-09-12:00</t>
  </si>
  <si>
    <t>2030-04-09-14:00</t>
  </si>
  <si>
    <t>2030-04-09-16:00</t>
  </si>
  <si>
    <t>2030-04-09-18:00</t>
  </si>
  <si>
    <t>2030-04-09-20:00</t>
  </si>
  <si>
    <t>2030-04-09-22:00</t>
  </si>
  <si>
    <t>2030-06-05-00:00</t>
  </si>
  <si>
    <t>2030-06-05-02:00</t>
  </si>
  <si>
    <t>2030-06-05-04:00</t>
  </si>
  <si>
    <t>2030-06-05-06:00</t>
  </si>
  <si>
    <t>2030-06-05-08:00</t>
  </si>
  <si>
    <t>2030-06-05-10:00</t>
  </si>
  <si>
    <t>2030-06-05-12:00</t>
  </si>
  <si>
    <t>2030-06-05-14:00</t>
  </si>
  <si>
    <t>2030-06-05-16:00</t>
  </si>
  <si>
    <t>2030-06-05-18:00</t>
  </si>
  <si>
    <t>2030-06-05-20:00</t>
  </si>
  <si>
    <t>2030-06-05-22:00</t>
  </si>
  <si>
    <t>2030-08-30-00:00</t>
  </si>
  <si>
    <t>2030-08-30-02:00</t>
  </si>
  <si>
    <t>2030-08-30-04:00</t>
  </si>
  <si>
    <t>2030-08-30-06:00</t>
  </si>
  <si>
    <t>2030-08-30-08:00</t>
  </si>
  <si>
    <t>2030-08-30-10:00</t>
  </si>
  <si>
    <t>2030-08-30-12:00</t>
  </si>
  <si>
    <t>2030-08-30-14:00</t>
  </si>
  <si>
    <t>2030-08-30-16:00</t>
  </si>
  <si>
    <t>2030-08-30-18:00</t>
  </si>
  <si>
    <t>2030-08-30-20:00</t>
  </si>
  <si>
    <t>2030-08-30-22:00</t>
  </si>
  <si>
    <t>2030-10-22-00:00</t>
  </si>
  <si>
    <t>2030-10-22-02:00</t>
  </si>
  <si>
    <t>2030-10-22-04:00</t>
  </si>
  <si>
    <t>2030-10-22-06:00</t>
  </si>
  <si>
    <t>2030-10-22-08:00</t>
  </si>
  <si>
    <t>2030-10-22-10:00</t>
  </si>
  <si>
    <t>2030-10-22-12:00</t>
  </si>
  <si>
    <t>2030-10-22-14:00</t>
  </si>
  <si>
    <t>2030-10-22-16:00</t>
  </si>
  <si>
    <t>2030-10-22-18:00</t>
  </si>
  <si>
    <t>2030-10-22-20:00</t>
  </si>
  <si>
    <t>2030-10-22-22:00</t>
  </si>
  <si>
    <t>2030-12-04-00:00</t>
  </si>
  <si>
    <t>2030-12-04-02:00</t>
  </si>
  <si>
    <t>2030-12-04-04:00</t>
  </si>
  <si>
    <t>2030-12-04-06:00</t>
  </si>
  <si>
    <t>2030-12-04-08:00</t>
  </si>
  <si>
    <t>2030-12-04-10:00</t>
  </si>
  <si>
    <t>2030-12-04-12:00</t>
  </si>
  <si>
    <t>2030-12-04-14:00</t>
  </si>
  <si>
    <t>2030-12-04-16:00</t>
  </si>
  <si>
    <t>2030-12-04-18:00</t>
  </si>
  <si>
    <t>2030-12-04-20:00</t>
  </si>
  <si>
    <t>2030-12-04-22:00</t>
  </si>
  <si>
    <t>2030-02-06-00:00</t>
  </si>
  <si>
    <t>2030-02-06-02:00</t>
  </si>
  <si>
    <t>2030-02-06-04:00</t>
  </si>
  <si>
    <t>2030-02-06-06:00</t>
  </si>
  <si>
    <t>2030-02-06-08:00</t>
  </si>
  <si>
    <t>2030-02-06-10:00</t>
  </si>
  <si>
    <t>2030-02-06-12:00</t>
  </si>
  <si>
    <t>2030-02-06-14:00</t>
  </si>
  <si>
    <t>2030-02-06-16:00</t>
  </si>
  <si>
    <t>2030-02-06-18:00</t>
  </si>
  <si>
    <t>2030-02-06-20:00</t>
  </si>
  <si>
    <t>2030-02-06-22:00</t>
  </si>
  <si>
    <t>2030-04-17-00:00</t>
  </si>
  <si>
    <t>2030-04-17-02:00</t>
  </si>
  <si>
    <t>2030-04-17-04:00</t>
  </si>
  <si>
    <t>2030-04-17-06:00</t>
  </si>
  <si>
    <t>2030-04-17-08:00</t>
  </si>
  <si>
    <t>2030-04-17-10:00</t>
  </si>
  <si>
    <t>2030-04-17-12:00</t>
  </si>
  <si>
    <t>2030-04-17-14:00</t>
  </si>
  <si>
    <t>2030-04-17-16:00</t>
  </si>
  <si>
    <t>2030-04-17-18:00</t>
  </si>
  <si>
    <t>2030-04-17-20:00</t>
  </si>
  <si>
    <t>2030-04-17-22:00</t>
  </si>
  <si>
    <t>2030-06-26-00:00</t>
  </si>
  <si>
    <t>2030-06-26-02:00</t>
  </si>
  <si>
    <t>2030-06-26-04:00</t>
  </si>
  <si>
    <t>2030-06-26-06:00</t>
  </si>
  <si>
    <t>2030-06-26-08:00</t>
  </si>
  <si>
    <t>2030-06-26-10:00</t>
  </si>
  <si>
    <t>2030-06-26-12:00</t>
  </si>
  <si>
    <t>2030-06-26-14:00</t>
  </si>
  <si>
    <t>2030-06-26-16:00</t>
  </si>
  <si>
    <t>2030-06-26-18:00</t>
  </si>
  <si>
    <t>2030-06-26-20:00</t>
  </si>
  <si>
    <t>2030-06-26-22:00</t>
  </si>
  <si>
    <t>2030-08-13-00:00</t>
  </si>
  <si>
    <t>2030-08-13-02:00</t>
  </si>
  <si>
    <t>2030-08-13-04:00</t>
  </si>
  <si>
    <t>2030-08-13-06:00</t>
  </si>
  <si>
    <t>2030-08-13-08:00</t>
  </si>
  <si>
    <t>2030-08-13-10:00</t>
  </si>
  <si>
    <t>2030-08-13-12:00</t>
  </si>
  <si>
    <t>2030-08-13-14:00</t>
  </si>
  <si>
    <t>2030-08-13-16:00</t>
  </si>
  <si>
    <t>2030-08-13-18:00</t>
  </si>
  <si>
    <t>2030-08-13-20:00</t>
  </si>
  <si>
    <t>2030-08-13-22:00</t>
  </si>
  <si>
    <t>2030-10-28-00:00</t>
  </si>
  <si>
    <t>2030-10-28-02:00</t>
  </si>
  <si>
    <t>2030-10-28-04:00</t>
  </si>
  <si>
    <t>2030-10-28-06:00</t>
  </si>
  <si>
    <t>2030-10-28-08:00</t>
  </si>
  <si>
    <t>2030-10-28-10:00</t>
  </si>
  <si>
    <t>2030-10-28-12:00</t>
  </si>
  <si>
    <t>2030-10-28-14:00</t>
  </si>
  <si>
    <t>2030-10-28-16:00</t>
  </si>
  <si>
    <t>2030-10-28-18:00</t>
  </si>
  <si>
    <t>2030-10-28-20:00</t>
  </si>
  <si>
    <t>2030-10-28-22:00</t>
  </si>
  <si>
    <t>2030-12-09-00:00</t>
  </si>
  <si>
    <t>2030-12-09-02:00</t>
  </si>
  <si>
    <t>2030-12-09-04:00</t>
  </si>
  <si>
    <t>2030-12-09-06:00</t>
  </si>
  <si>
    <t>2030-12-09-08:00</t>
  </si>
  <si>
    <t>2030-12-09-10:00</t>
  </si>
  <si>
    <t>2030-12-09-12:00</t>
  </si>
  <si>
    <t>2030-12-09-14:00</t>
  </si>
  <si>
    <t>2030-12-09-16:00</t>
  </si>
  <si>
    <t>2030-12-09-18:00</t>
  </si>
  <si>
    <t>2030-12-09-20:00</t>
  </si>
  <si>
    <t>2030-12-09-22:00</t>
  </si>
  <si>
    <t>2035-04-09-00:00</t>
  </si>
  <si>
    <t>2035-04-09-02:00</t>
  </si>
  <si>
    <t>2035-04-09-04:00</t>
  </si>
  <si>
    <t>2035-04-09-06:00</t>
  </si>
  <si>
    <t>2035-04-09-08:00</t>
  </si>
  <si>
    <t>2035-04-09-10:00</t>
  </si>
  <si>
    <t>2035-04-09-12:00</t>
  </si>
  <si>
    <t>2035-04-09-14:00</t>
  </si>
  <si>
    <t>2035-04-09-16:00</t>
  </si>
  <si>
    <t>2035-04-09-18:00</t>
  </si>
  <si>
    <t>2035-04-09-20:00</t>
  </si>
  <si>
    <t>2035-04-09-22:00</t>
  </si>
  <si>
    <t>2035-06-05-00:00</t>
  </si>
  <si>
    <t>2035-06-05-02:00</t>
  </si>
  <si>
    <t>2035-06-05-04:00</t>
  </si>
  <si>
    <t>2035-06-05-06:00</t>
  </si>
  <si>
    <t>2035-06-05-08:00</t>
  </si>
  <si>
    <t>2035-06-05-10:00</t>
  </si>
  <si>
    <t>2035-06-05-12:00</t>
  </si>
  <si>
    <t>2035-06-05-14:00</t>
  </si>
  <si>
    <t>2035-06-05-16:00</t>
  </si>
  <si>
    <t>2035-06-05-18:00</t>
  </si>
  <si>
    <t>2035-06-05-20:00</t>
  </si>
  <si>
    <t>2035-06-05-22:00</t>
  </si>
  <si>
    <t>2035-08-04-00:00</t>
  </si>
  <si>
    <t>2035-08-04-02:00</t>
  </si>
  <si>
    <t>2035-08-04-04:00</t>
  </si>
  <si>
    <t>2035-08-04-06:00</t>
  </si>
  <si>
    <t>2035-08-04-08:00</t>
  </si>
  <si>
    <t>2035-08-04-10:00</t>
  </si>
  <si>
    <t>2035-08-04-12:00</t>
  </si>
  <si>
    <t>2035-08-04-14:00</t>
  </si>
  <si>
    <t>2035-08-04-16:00</t>
  </si>
  <si>
    <t>2035-08-04-18:00</t>
  </si>
  <si>
    <t>2035-08-04-20:00</t>
  </si>
  <si>
    <t>2035-08-04-22:00</t>
  </si>
  <si>
    <t>2035-08-30-00:00</t>
  </si>
  <si>
    <t>2035-08-30-02:00</t>
  </si>
  <si>
    <t>2035-08-30-04:00</t>
  </si>
  <si>
    <t>2035-08-30-06:00</t>
  </si>
  <si>
    <t>2035-08-30-08:00</t>
  </si>
  <si>
    <t>2035-08-30-10:00</t>
  </si>
  <si>
    <t>2035-08-30-12:00</t>
  </si>
  <si>
    <t>2035-08-30-14:00</t>
  </si>
  <si>
    <t>2035-08-30-16:00</t>
  </si>
  <si>
    <t>2035-08-30-18:00</t>
  </si>
  <si>
    <t>2035-08-30-20:00</t>
  </si>
  <si>
    <t>2035-08-30-22:00</t>
  </si>
  <si>
    <t>2035-10-14-00:00</t>
  </si>
  <si>
    <t>2035-10-14-02:00</t>
  </si>
  <si>
    <t>2035-10-14-04:00</t>
  </si>
  <si>
    <t>2035-10-14-06:00</t>
  </si>
  <si>
    <t>2035-10-14-08:00</t>
  </si>
  <si>
    <t>2035-10-14-10:00</t>
  </si>
  <si>
    <t>2035-10-14-12:00</t>
  </si>
  <si>
    <t>2035-10-14-14:00</t>
  </si>
  <si>
    <t>2035-10-14-16:00</t>
  </si>
  <si>
    <t>2035-10-14-18:00</t>
  </si>
  <si>
    <t>2035-10-14-20:00</t>
  </si>
  <si>
    <t>2035-10-14-22:00</t>
  </si>
  <si>
    <t>2035-10-22-00:00</t>
  </si>
  <si>
    <t>2035-10-22-02:00</t>
  </si>
  <si>
    <t>2035-10-22-04:00</t>
  </si>
  <si>
    <t>2035-10-22-06:00</t>
  </si>
  <si>
    <t>2035-10-22-08:00</t>
  </si>
  <si>
    <t>2035-10-22-10:00</t>
  </si>
  <si>
    <t>2035-10-22-12:00</t>
  </si>
  <si>
    <t>2035-10-22-14:00</t>
  </si>
  <si>
    <t>2035-10-22-16:00</t>
  </si>
  <si>
    <t>2035-10-22-18:00</t>
  </si>
  <si>
    <t>2035-10-22-20:00</t>
  </si>
  <si>
    <t>2035-10-22-22:00</t>
  </si>
  <si>
    <t>2035-12-04-00:00</t>
  </si>
  <si>
    <t>2035-12-04-02:00</t>
  </si>
  <si>
    <t>2035-12-04-04:00</t>
  </si>
  <si>
    <t>2035-12-04-06:00</t>
  </si>
  <si>
    <t>2035-12-04-08:00</t>
  </si>
  <si>
    <t>2035-12-04-10:00</t>
  </si>
  <si>
    <t>2035-12-04-12:00</t>
  </si>
  <si>
    <t>2035-12-04-14:00</t>
  </si>
  <si>
    <t>2035-12-04-16:00</t>
  </si>
  <si>
    <t>2035-12-04-18:00</t>
  </si>
  <si>
    <t>2035-12-04-20:00</t>
  </si>
  <si>
    <t>2035-12-04-22:00</t>
  </si>
  <si>
    <t>2035-02-06-00:00</t>
  </si>
  <si>
    <t>2035-02-06-02:00</t>
  </si>
  <si>
    <t>2035-02-06-04:00</t>
  </si>
  <si>
    <t>2035-02-06-06:00</t>
  </si>
  <si>
    <t>2035-02-06-08:00</t>
  </si>
  <si>
    <t>2035-02-06-10:00</t>
  </si>
  <si>
    <t>2035-02-06-12:00</t>
  </si>
  <si>
    <t>2035-02-06-14:00</t>
  </si>
  <si>
    <t>2035-02-06-16:00</t>
  </si>
  <si>
    <t>2035-02-06-18:00</t>
  </si>
  <si>
    <t>2035-02-06-20:00</t>
  </si>
  <si>
    <t>2035-02-06-22:00</t>
  </si>
  <si>
    <t>2035-02-25-00:00</t>
  </si>
  <si>
    <t>2035-02-25-02:00</t>
  </si>
  <si>
    <t>2035-02-25-04:00</t>
  </si>
  <si>
    <t>2035-02-25-06:00</t>
  </si>
  <si>
    <t>2035-02-25-08:00</t>
  </si>
  <si>
    <t>2035-02-25-10:00</t>
  </si>
  <si>
    <t>2035-02-25-12:00</t>
  </si>
  <si>
    <t>2035-02-25-14:00</t>
  </si>
  <si>
    <t>2035-02-25-16:00</t>
  </si>
  <si>
    <t>2035-02-25-18:00</t>
  </si>
  <si>
    <t>2035-02-25-20:00</t>
  </si>
  <si>
    <t>2035-02-25-22:00</t>
  </si>
  <si>
    <t>2035-04-05-00:00</t>
  </si>
  <si>
    <t>2035-04-05-02:00</t>
  </si>
  <si>
    <t>2035-04-05-04:00</t>
  </si>
  <si>
    <t>2035-04-05-06:00</t>
  </si>
  <si>
    <t>2035-04-05-08:00</t>
  </si>
  <si>
    <t>2035-04-05-10:00</t>
  </si>
  <si>
    <t>2035-04-05-12:00</t>
  </si>
  <si>
    <t>2035-04-05-14:00</t>
  </si>
  <si>
    <t>2035-04-05-16:00</t>
  </si>
  <si>
    <t>2035-04-05-18:00</t>
  </si>
  <si>
    <t>2035-04-05-20:00</t>
  </si>
  <si>
    <t>2035-04-05-22:00</t>
  </si>
  <si>
    <t>2035-06-01-00:00</t>
  </si>
  <si>
    <t>2035-06-01-02:00</t>
  </si>
  <si>
    <t>2035-06-01-04:00</t>
  </si>
  <si>
    <t>2035-06-01-06:00</t>
  </si>
  <si>
    <t>2035-06-01-08:00</t>
  </si>
  <si>
    <t>2035-06-01-10:00</t>
  </si>
  <si>
    <t>2035-06-01-12:00</t>
  </si>
  <si>
    <t>2035-06-01-14:00</t>
  </si>
  <si>
    <t>2035-06-01-16:00</t>
  </si>
  <si>
    <t>2035-06-01-18:00</t>
  </si>
  <si>
    <t>2035-06-01-20:00</t>
  </si>
  <si>
    <t>2035-06-01-22:00</t>
  </si>
  <si>
    <t>2035-12-12-00:00</t>
  </si>
  <si>
    <t>2035-12-12-02:00</t>
  </si>
  <si>
    <t>2035-12-12-04:00</t>
  </si>
  <si>
    <t>2035-12-12-06:00</t>
  </si>
  <si>
    <t>2035-12-12-08:00</t>
  </si>
  <si>
    <t>2035-12-12-10:00</t>
  </si>
  <si>
    <t>2035-12-12-12:00</t>
  </si>
  <si>
    <t>2035-12-12-14:00</t>
  </si>
  <si>
    <t>2035-12-12-16:00</t>
  </si>
  <si>
    <t>2035-12-12-18:00</t>
  </si>
  <si>
    <t>2035-12-12-20:00</t>
  </si>
  <si>
    <t>2035-12-12-22:00</t>
  </si>
  <si>
    <t>cost_per_kwh_2020</t>
  </si>
  <si>
    <t>cost_per_kwh_2025</t>
  </si>
  <si>
    <t>cost_per_kwh_2030</t>
  </si>
  <si>
    <t>cost_per_kwh_2035</t>
  </si>
  <si>
    <t>renewable_share_2020</t>
  </si>
  <si>
    <t>renewable_share_2025</t>
  </si>
  <si>
    <t>renewable_share_2030</t>
  </si>
  <si>
    <t>renewable_share_2035</t>
  </si>
  <si>
    <t>rps_2030_2_bio_3_ph_test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</si>
</sst>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189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B88E06"/>
      <color rgb="FFFFCC00"/>
      <color rgb="FF6B1C21"/>
      <color rgb="FF800000"/>
      <color rgb="FF78B93B"/>
      <color rgb="FF88C14B"/>
      <color rgb="FFB187FF"/>
      <color rgb="FF7A35FF"/>
      <color rgb="FF684E8E"/>
      <color rgb="FF83BA4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428.599999999999</c:v>
                </c:pt>
                <c:pt idx="2">
                  <c:v>77.8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404.833355613319</c:v>
                </c:pt>
                <c:pt idx="3">
                  <c:v>404.833355613319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150.0</c:v>
                </c:pt>
                <c:pt idx="2">
                  <c:v>350.0</c:v>
                </c:pt>
                <c:pt idx="3">
                  <c:v>350.0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196.74461619398</c:v>
                </c:pt>
                <c:pt idx="1">
                  <c:v>196.74461619398</c:v>
                </c:pt>
                <c:pt idx="2">
                  <c:v>233.100659618234</c:v>
                </c:pt>
                <c:pt idx="3">
                  <c:v>233.100659618234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710.704715186828</c:v>
                </c:pt>
                <c:pt idx="1">
                  <c:v>1362.60953392856</c:v>
                </c:pt>
                <c:pt idx="2">
                  <c:v>3603.71902799453</c:v>
                </c:pt>
                <c:pt idx="3">
                  <c:v>3603.71902799453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96904"/>
        <c:axId val="2055159944"/>
      </c:areaChart>
      <c:catAx>
        <c:axId val="205339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5159944"/>
        <c:crosses val="autoZero"/>
        <c:auto val="1"/>
        <c:lblAlgn val="ctr"/>
        <c:lblOffset val="100"/>
        <c:noMultiLvlLbl val="0"/>
      </c:catAx>
      <c:valAx>
        <c:axId val="205515994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339690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54.7364940365055</c:v>
                </c:pt>
                <c:pt idx="2">
                  <c:v>39.10209965872638</c:v>
                </c:pt>
                <c:pt idx="3">
                  <c:v>33.84677198439078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172.5062208066031</c:v>
                </c:pt>
                <c:pt idx="1">
                  <c:v>94.3848934357535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12.59276603111051</c:v>
                </c:pt>
                <c:pt idx="2">
                  <c:v>18.37550443135779</c:v>
                </c:pt>
                <c:pt idx="3">
                  <c:v>5.180613219561749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119.750645646718</c:v>
                </c:pt>
                <c:pt idx="2">
                  <c:v>1.28292438401129E-15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145.6549431001333</c:v>
                </c:pt>
                <c:pt idx="1">
                  <c:v>55.70944729847008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1.023232234008904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65.15466548921317</c:v>
                </c:pt>
                <c:pt idx="1">
                  <c:v>64.8679950143095</c:v>
                </c:pt>
                <c:pt idx="2">
                  <c:v>50.95060565093535</c:v>
                </c:pt>
                <c:pt idx="3">
                  <c:v>62.38942715176525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269.3264400858891</c:v>
                </c:pt>
                <c:pt idx="1">
                  <c:v>497.4410464736029</c:v>
                </c:pt>
                <c:pt idx="2">
                  <c:v>860.485391293302</c:v>
                </c:pt>
                <c:pt idx="3">
                  <c:v>805.1249427801626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34072"/>
        <c:axId val="2053330712"/>
      </c:areaChart>
      <c:catAx>
        <c:axId val="205333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3330712"/>
        <c:crosses val="autoZero"/>
        <c:auto val="1"/>
        <c:lblAlgn val="ctr"/>
        <c:lblOffset val="100"/>
        <c:noMultiLvlLbl val="0"/>
      </c:catAx>
      <c:valAx>
        <c:axId val="205333071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333407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35.5351657522866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800000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178.2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81.4566247611878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129.951678855704</c:v>
                </c:pt>
                <c:pt idx="133">
                  <c:v>178.2</c:v>
                </c:pt>
                <c:pt idx="134">
                  <c:v>0.0</c:v>
                </c:pt>
                <c:pt idx="135">
                  <c:v>178.2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177.509928109077</c:v>
                </c:pt>
                <c:pt idx="1">
                  <c:v>170.115339907758</c:v>
                </c:pt>
                <c:pt idx="2">
                  <c:v>140.259896909142</c:v>
                </c:pt>
                <c:pt idx="3">
                  <c:v>167.051158104977</c:v>
                </c:pt>
                <c:pt idx="4">
                  <c:v>72.2979887597718</c:v>
                </c:pt>
                <c:pt idx="5">
                  <c:v>124.038302774982</c:v>
                </c:pt>
                <c:pt idx="6">
                  <c:v>105.970189241156</c:v>
                </c:pt>
                <c:pt idx="7">
                  <c:v>88.9015848156105</c:v>
                </c:pt>
                <c:pt idx="8">
                  <c:v>83.5871080225574</c:v>
                </c:pt>
                <c:pt idx="9">
                  <c:v>123.340081083406</c:v>
                </c:pt>
                <c:pt idx="10">
                  <c:v>93.9193766540426</c:v>
                </c:pt>
                <c:pt idx="11">
                  <c:v>111.526598805427</c:v>
                </c:pt>
                <c:pt idx="12">
                  <c:v>1.0248683399598</c:v>
                </c:pt>
                <c:pt idx="13">
                  <c:v>5.84432849146894</c:v>
                </c:pt>
                <c:pt idx="14">
                  <c:v>0.276295104478342</c:v>
                </c:pt>
                <c:pt idx="15">
                  <c:v>6.58904332208973</c:v>
                </c:pt>
                <c:pt idx="16">
                  <c:v>1.61525047781813</c:v>
                </c:pt>
                <c:pt idx="17">
                  <c:v>7.49030516569308</c:v>
                </c:pt>
                <c:pt idx="18">
                  <c:v>14.0498979327888</c:v>
                </c:pt>
                <c:pt idx="19">
                  <c:v>9.10651702724385</c:v>
                </c:pt>
                <c:pt idx="20">
                  <c:v>1.58066084064045</c:v>
                </c:pt>
                <c:pt idx="21">
                  <c:v>1.52979396129872</c:v>
                </c:pt>
                <c:pt idx="22">
                  <c:v>8.08744566962045</c:v>
                </c:pt>
                <c:pt idx="23">
                  <c:v>2.55886212086515</c:v>
                </c:pt>
                <c:pt idx="24">
                  <c:v>24.835108702175</c:v>
                </c:pt>
                <c:pt idx="25">
                  <c:v>50.7119989000255</c:v>
                </c:pt>
                <c:pt idx="26">
                  <c:v>77.35101155971989</c:v>
                </c:pt>
                <c:pt idx="27">
                  <c:v>101.582354211104</c:v>
                </c:pt>
                <c:pt idx="28">
                  <c:v>63.3244846893074</c:v>
                </c:pt>
                <c:pt idx="29">
                  <c:v>49.3640837770607</c:v>
                </c:pt>
                <c:pt idx="30">
                  <c:v>96.6368993418115</c:v>
                </c:pt>
                <c:pt idx="31">
                  <c:v>37.3286625603605</c:v>
                </c:pt>
                <c:pt idx="32">
                  <c:v>60.8258927027944</c:v>
                </c:pt>
                <c:pt idx="33">
                  <c:v>152.269951560175</c:v>
                </c:pt>
                <c:pt idx="34">
                  <c:v>146.752739112406</c:v>
                </c:pt>
                <c:pt idx="35">
                  <c:v>128.100300574459</c:v>
                </c:pt>
                <c:pt idx="36">
                  <c:v>48.7581668048189</c:v>
                </c:pt>
                <c:pt idx="37">
                  <c:v>51.5489403848272</c:v>
                </c:pt>
                <c:pt idx="38">
                  <c:v>25.5377353959186</c:v>
                </c:pt>
                <c:pt idx="39">
                  <c:v>41.7026580151245</c:v>
                </c:pt>
                <c:pt idx="40">
                  <c:v>16.8893734102145</c:v>
                </c:pt>
                <c:pt idx="41">
                  <c:v>39.6419104071153</c:v>
                </c:pt>
                <c:pt idx="42">
                  <c:v>54.0905822644082</c:v>
                </c:pt>
                <c:pt idx="43">
                  <c:v>27.7194428375338</c:v>
                </c:pt>
                <c:pt idx="44">
                  <c:v>41.2904399288604</c:v>
                </c:pt>
                <c:pt idx="45">
                  <c:v>79.7925142543391</c:v>
                </c:pt>
                <c:pt idx="46">
                  <c:v>91.3204994087143</c:v>
                </c:pt>
                <c:pt idx="47">
                  <c:v>102.960103177214</c:v>
                </c:pt>
                <c:pt idx="48">
                  <c:v>70.7853576759432</c:v>
                </c:pt>
                <c:pt idx="49">
                  <c:v>65.9366263929038</c:v>
                </c:pt>
                <c:pt idx="50">
                  <c:v>53.5940862248668</c:v>
                </c:pt>
                <c:pt idx="51">
                  <c:v>78.1234362599869</c:v>
                </c:pt>
                <c:pt idx="52">
                  <c:v>80.75194755215109</c:v>
                </c:pt>
                <c:pt idx="53">
                  <c:v>54.2797497407357</c:v>
                </c:pt>
                <c:pt idx="54">
                  <c:v>33.4153506014371</c:v>
                </c:pt>
                <c:pt idx="55">
                  <c:v>37.58197673217</c:v>
                </c:pt>
                <c:pt idx="56">
                  <c:v>29.0179091205516</c:v>
                </c:pt>
                <c:pt idx="57">
                  <c:v>55.6656764066352</c:v>
                </c:pt>
                <c:pt idx="58">
                  <c:v>115.322233155627</c:v>
                </c:pt>
                <c:pt idx="59">
                  <c:v>79.9675294029253</c:v>
                </c:pt>
                <c:pt idx="60">
                  <c:v>36.3895278256644</c:v>
                </c:pt>
                <c:pt idx="61">
                  <c:v>48.6692598847793</c:v>
                </c:pt>
                <c:pt idx="62">
                  <c:v>96.1375954293497</c:v>
                </c:pt>
                <c:pt idx="63">
                  <c:v>92.9036933472854</c:v>
                </c:pt>
                <c:pt idx="64">
                  <c:v>68.3200696815536</c:v>
                </c:pt>
                <c:pt idx="65">
                  <c:v>47.4165451055766</c:v>
                </c:pt>
                <c:pt idx="66">
                  <c:v>67.2516989947564</c:v>
                </c:pt>
                <c:pt idx="67">
                  <c:v>63.18684954991</c:v>
                </c:pt>
                <c:pt idx="68">
                  <c:v>39.871715908751</c:v>
                </c:pt>
                <c:pt idx="69">
                  <c:v>33.4423935908753</c:v>
                </c:pt>
                <c:pt idx="70">
                  <c:v>42.2828453352988</c:v>
                </c:pt>
                <c:pt idx="71">
                  <c:v>47.2304817072201</c:v>
                </c:pt>
                <c:pt idx="72">
                  <c:v>92.0745309527736</c:v>
                </c:pt>
                <c:pt idx="73">
                  <c:v>72.2220983656313</c:v>
                </c:pt>
                <c:pt idx="74">
                  <c:v>50.871829916283</c:v>
                </c:pt>
                <c:pt idx="75">
                  <c:v>37.1133045293823</c:v>
                </c:pt>
                <c:pt idx="76">
                  <c:v>46.4575923086352</c:v>
                </c:pt>
                <c:pt idx="77">
                  <c:v>4.76100383403224</c:v>
                </c:pt>
                <c:pt idx="78">
                  <c:v>3.34311681346194</c:v>
                </c:pt>
                <c:pt idx="79">
                  <c:v>41.4104147119193</c:v>
                </c:pt>
                <c:pt idx="80">
                  <c:v>25.8425514663318</c:v>
                </c:pt>
                <c:pt idx="81">
                  <c:v>92.21284207446701</c:v>
                </c:pt>
                <c:pt idx="82">
                  <c:v>110.609857322261</c:v>
                </c:pt>
                <c:pt idx="83">
                  <c:v>107.378628909371</c:v>
                </c:pt>
                <c:pt idx="84">
                  <c:v>26.8955805465845</c:v>
                </c:pt>
                <c:pt idx="85">
                  <c:v>42.0148617484273</c:v>
                </c:pt>
                <c:pt idx="86">
                  <c:v>50.8822347441279</c:v>
                </c:pt>
                <c:pt idx="87">
                  <c:v>43.5022187850213</c:v>
                </c:pt>
                <c:pt idx="88">
                  <c:v>25.992231002345</c:v>
                </c:pt>
                <c:pt idx="89">
                  <c:v>20.8350965914223</c:v>
                </c:pt>
                <c:pt idx="90">
                  <c:v>29.6216617141042</c:v>
                </c:pt>
                <c:pt idx="91">
                  <c:v>44.8687275295106</c:v>
                </c:pt>
                <c:pt idx="92">
                  <c:v>28.7582904227703</c:v>
                </c:pt>
                <c:pt idx="93">
                  <c:v>84.229130883208</c:v>
                </c:pt>
                <c:pt idx="94">
                  <c:v>71.6183643455517</c:v>
                </c:pt>
                <c:pt idx="95">
                  <c:v>52.7526733648264</c:v>
                </c:pt>
                <c:pt idx="96">
                  <c:v>57.5882977909742</c:v>
                </c:pt>
                <c:pt idx="97">
                  <c:v>45.7633665374617</c:v>
                </c:pt>
                <c:pt idx="98">
                  <c:v>29.4050198081923</c:v>
                </c:pt>
                <c:pt idx="99">
                  <c:v>21.1202878203242</c:v>
                </c:pt>
                <c:pt idx="100">
                  <c:v>6.0078071571805</c:v>
                </c:pt>
                <c:pt idx="101">
                  <c:v>18.6295793429839</c:v>
                </c:pt>
                <c:pt idx="102">
                  <c:v>42.9335078419273</c:v>
                </c:pt>
                <c:pt idx="103">
                  <c:v>53.2205894520102</c:v>
                </c:pt>
                <c:pt idx="104">
                  <c:v>63.1622488781674</c:v>
                </c:pt>
                <c:pt idx="105">
                  <c:v>102.671649644932</c:v>
                </c:pt>
                <c:pt idx="106">
                  <c:v>145.745387963416</c:v>
                </c:pt>
                <c:pt idx="107">
                  <c:v>135.662324394977</c:v>
                </c:pt>
                <c:pt idx="108">
                  <c:v>4.55801447987186</c:v>
                </c:pt>
                <c:pt idx="109">
                  <c:v>0.46238310143275</c:v>
                </c:pt>
                <c:pt idx="110">
                  <c:v>0.488033889839649</c:v>
                </c:pt>
                <c:pt idx="111">
                  <c:v>0.492940463071315</c:v>
                </c:pt>
                <c:pt idx="112">
                  <c:v>0.604443021162419</c:v>
                </c:pt>
                <c:pt idx="113">
                  <c:v>4.46432700168493</c:v>
                </c:pt>
                <c:pt idx="114">
                  <c:v>12.6988537458176</c:v>
                </c:pt>
                <c:pt idx="115">
                  <c:v>10.9883493011396</c:v>
                </c:pt>
                <c:pt idx="116">
                  <c:v>12.4866370710551</c:v>
                </c:pt>
                <c:pt idx="117">
                  <c:v>28.4713550243415</c:v>
                </c:pt>
                <c:pt idx="118">
                  <c:v>43.6143631304946</c:v>
                </c:pt>
                <c:pt idx="119">
                  <c:v>41.1763080520769</c:v>
                </c:pt>
                <c:pt idx="120">
                  <c:v>14.2371182492187</c:v>
                </c:pt>
                <c:pt idx="121">
                  <c:v>38.7323542539006</c:v>
                </c:pt>
                <c:pt idx="122">
                  <c:v>55.9848845551972</c:v>
                </c:pt>
                <c:pt idx="123">
                  <c:v>83.95454587788061</c:v>
                </c:pt>
                <c:pt idx="124">
                  <c:v>114.381584778011</c:v>
                </c:pt>
                <c:pt idx="125">
                  <c:v>135.521438870936</c:v>
                </c:pt>
                <c:pt idx="126">
                  <c:v>159.112301256801</c:v>
                </c:pt>
                <c:pt idx="127">
                  <c:v>167.27724225742</c:v>
                </c:pt>
                <c:pt idx="128">
                  <c:v>149.688195931296</c:v>
                </c:pt>
                <c:pt idx="129">
                  <c:v>140.059296535454</c:v>
                </c:pt>
                <c:pt idx="130">
                  <c:v>104.248436764466</c:v>
                </c:pt>
                <c:pt idx="131">
                  <c:v>105.519867291534</c:v>
                </c:pt>
                <c:pt idx="132">
                  <c:v>25.3774860595904</c:v>
                </c:pt>
                <c:pt idx="133">
                  <c:v>8.99787966622381</c:v>
                </c:pt>
                <c:pt idx="134">
                  <c:v>156.330986852112</c:v>
                </c:pt>
                <c:pt idx="135">
                  <c:v>78.4175367973912</c:v>
                </c:pt>
                <c:pt idx="136">
                  <c:v>169.861844933872</c:v>
                </c:pt>
                <c:pt idx="137">
                  <c:v>163.633000356965</c:v>
                </c:pt>
                <c:pt idx="138">
                  <c:v>34.5930589114525</c:v>
                </c:pt>
                <c:pt idx="139">
                  <c:v>59.6339573636754</c:v>
                </c:pt>
                <c:pt idx="140">
                  <c:v>55.8356886374559</c:v>
                </c:pt>
                <c:pt idx="141">
                  <c:v>120.18064699499</c:v>
                </c:pt>
                <c:pt idx="142">
                  <c:v>84.06218165122419</c:v>
                </c:pt>
                <c:pt idx="143">
                  <c:v>103.599825960829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1060.87315375908</c:v>
                </c:pt>
                <c:pt idx="5">
                  <c:v>1605.61032545705</c:v>
                </c:pt>
                <c:pt idx="6">
                  <c:v>2655.12483706549</c:v>
                </c:pt>
                <c:pt idx="7">
                  <c:v>1405.5873529037</c:v>
                </c:pt>
                <c:pt idx="8">
                  <c:v>2348.27435895101</c:v>
                </c:pt>
                <c:pt idx="9">
                  <c:v>6.03381138308438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1.37797679197429</c:v>
                </c:pt>
                <c:pt idx="16">
                  <c:v>1433.2707189131</c:v>
                </c:pt>
                <c:pt idx="17">
                  <c:v>2211.93979509073</c:v>
                </c:pt>
                <c:pt idx="18">
                  <c:v>2360.13584318887</c:v>
                </c:pt>
                <c:pt idx="19">
                  <c:v>2627.57438812904</c:v>
                </c:pt>
                <c:pt idx="20">
                  <c:v>1633.36970385302</c:v>
                </c:pt>
                <c:pt idx="21">
                  <c:v>53.5508128548181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97.7960459602978</c:v>
                </c:pt>
                <c:pt idx="28">
                  <c:v>852.954522466092</c:v>
                </c:pt>
                <c:pt idx="29">
                  <c:v>910.259037824839</c:v>
                </c:pt>
                <c:pt idx="30">
                  <c:v>2249.55127836121</c:v>
                </c:pt>
                <c:pt idx="31">
                  <c:v>960.018535507796</c:v>
                </c:pt>
                <c:pt idx="32">
                  <c:v>2062.59258945087</c:v>
                </c:pt>
                <c:pt idx="33">
                  <c:v>286.343998750643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90.43878257954189</c:v>
                </c:pt>
                <c:pt idx="40">
                  <c:v>1173.85181513676</c:v>
                </c:pt>
                <c:pt idx="41">
                  <c:v>2793.22845165148</c:v>
                </c:pt>
                <c:pt idx="42">
                  <c:v>2159.3947034103</c:v>
                </c:pt>
                <c:pt idx="43">
                  <c:v>1628.29034630133</c:v>
                </c:pt>
                <c:pt idx="44">
                  <c:v>1612.03708617688</c:v>
                </c:pt>
                <c:pt idx="45">
                  <c:v>307.889234220003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573.874061225994</c:v>
                </c:pt>
                <c:pt idx="52">
                  <c:v>1331.42951874015</c:v>
                </c:pt>
                <c:pt idx="53">
                  <c:v>935.691943654564</c:v>
                </c:pt>
                <c:pt idx="54">
                  <c:v>1019.05850968337</c:v>
                </c:pt>
                <c:pt idx="55">
                  <c:v>2285.17802791068</c:v>
                </c:pt>
                <c:pt idx="56">
                  <c:v>1338.00560374084</c:v>
                </c:pt>
                <c:pt idx="57">
                  <c:v>1147.5609784109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599.828312548941</c:v>
                </c:pt>
                <c:pt idx="64">
                  <c:v>1848.78633678512</c:v>
                </c:pt>
                <c:pt idx="65">
                  <c:v>2429.5712093677</c:v>
                </c:pt>
                <c:pt idx="66">
                  <c:v>1966.42300966957</c:v>
                </c:pt>
                <c:pt idx="67">
                  <c:v>1491.1086973602</c:v>
                </c:pt>
                <c:pt idx="68">
                  <c:v>1543.81052267856</c:v>
                </c:pt>
                <c:pt idx="69">
                  <c:v>1242.19788351831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311.120005351434</c:v>
                </c:pt>
                <c:pt idx="76">
                  <c:v>2045.39245816536</c:v>
                </c:pt>
                <c:pt idx="77">
                  <c:v>1075.28314805896</c:v>
                </c:pt>
                <c:pt idx="78">
                  <c:v>1076.89926874453</c:v>
                </c:pt>
                <c:pt idx="79">
                  <c:v>2640.99395337795</c:v>
                </c:pt>
                <c:pt idx="80">
                  <c:v>1721.10358234027</c:v>
                </c:pt>
                <c:pt idx="81">
                  <c:v>598.170350465591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124.535238625635</c:v>
                </c:pt>
                <c:pt idx="88">
                  <c:v>2194.86876958405</c:v>
                </c:pt>
                <c:pt idx="89">
                  <c:v>2038.81401619324</c:v>
                </c:pt>
                <c:pt idx="90">
                  <c:v>1587.58719168021</c:v>
                </c:pt>
                <c:pt idx="91">
                  <c:v>3033.9301776827</c:v>
                </c:pt>
                <c:pt idx="92">
                  <c:v>2313.34571076733</c:v>
                </c:pt>
                <c:pt idx="93">
                  <c:v>273.13919741953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5.044151004548</c:v>
                </c:pt>
                <c:pt idx="100">
                  <c:v>1555.35179313861</c:v>
                </c:pt>
                <c:pt idx="101">
                  <c:v>2122.244706311</c:v>
                </c:pt>
                <c:pt idx="102">
                  <c:v>1738.43702385632</c:v>
                </c:pt>
                <c:pt idx="103">
                  <c:v>2407.74580266754</c:v>
                </c:pt>
                <c:pt idx="104">
                  <c:v>1412.54655034633</c:v>
                </c:pt>
                <c:pt idx="105">
                  <c:v>45.8158707251872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0.116720228707557</c:v>
                </c:pt>
                <c:pt idx="112">
                  <c:v>2096.17057549988</c:v>
                </c:pt>
                <c:pt idx="113">
                  <c:v>2298.97880225874</c:v>
                </c:pt>
                <c:pt idx="114">
                  <c:v>2138.98332998297</c:v>
                </c:pt>
                <c:pt idx="115">
                  <c:v>2204.85272637132</c:v>
                </c:pt>
                <c:pt idx="116">
                  <c:v>2075.51025053191</c:v>
                </c:pt>
                <c:pt idx="117">
                  <c:v>26.8057173918289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1674.75359983889</c:v>
                </c:pt>
                <c:pt idx="125">
                  <c:v>2053.62051921037</c:v>
                </c:pt>
                <c:pt idx="126">
                  <c:v>2037.72676772197</c:v>
                </c:pt>
                <c:pt idx="127">
                  <c:v>2399.12351713116</c:v>
                </c:pt>
                <c:pt idx="128">
                  <c:v>2061.99726398349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1382.09920301713</c:v>
                </c:pt>
                <c:pt idx="137">
                  <c:v>1928.91758163107</c:v>
                </c:pt>
                <c:pt idx="138">
                  <c:v>2000.11851529812</c:v>
                </c:pt>
                <c:pt idx="139">
                  <c:v>1678.6258776343</c:v>
                </c:pt>
                <c:pt idx="140">
                  <c:v>1217.32770467131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104.956047276422</c:v>
                </c:pt>
                <c:pt idx="1">
                  <c:v>0.0</c:v>
                </c:pt>
                <c:pt idx="2">
                  <c:v>0.0</c:v>
                </c:pt>
                <c:pt idx="3">
                  <c:v>96.021438850221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266.930011308508</c:v>
                </c:pt>
                <c:pt idx="10">
                  <c:v>228.143222618957</c:v>
                </c:pt>
                <c:pt idx="11">
                  <c:v>114.767554693972</c:v>
                </c:pt>
                <c:pt idx="12">
                  <c:v>179.236201102325</c:v>
                </c:pt>
                <c:pt idx="13">
                  <c:v>223.046132619231</c:v>
                </c:pt>
                <c:pt idx="14">
                  <c:v>0.0</c:v>
                </c:pt>
                <c:pt idx="15">
                  <c:v>174.102077509835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404.833355613319</c:v>
                </c:pt>
                <c:pt idx="22">
                  <c:v>276.244259681379</c:v>
                </c:pt>
                <c:pt idx="23">
                  <c:v>247.702185958534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40.6239696664932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37.1154639358624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173.037982340657</c:v>
                </c:pt>
                <c:pt idx="46">
                  <c:v>404.833355613319</c:v>
                </c:pt>
                <c:pt idx="47">
                  <c:v>166.672221415358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155.968954413372</c:v>
                </c:pt>
                <c:pt idx="59">
                  <c:v>26.5180641801746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305.974211395701</c:v>
                </c:pt>
                <c:pt idx="71">
                  <c:v>102.718223931179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179.261275905838</c:v>
                </c:pt>
                <c:pt idx="83">
                  <c:v>45.2042794666285</c:v>
                </c:pt>
                <c:pt idx="84">
                  <c:v>107.945754496087</c:v>
                </c:pt>
                <c:pt idx="85">
                  <c:v>0.0</c:v>
                </c:pt>
                <c:pt idx="86">
                  <c:v>0.0</c:v>
                </c:pt>
                <c:pt idx="87">
                  <c:v>96.1714783707445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404.833355613319</c:v>
                </c:pt>
                <c:pt idx="94">
                  <c:v>404.833355613319</c:v>
                </c:pt>
                <c:pt idx="95">
                  <c:v>381.864983106416</c:v>
                </c:pt>
                <c:pt idx="96">
                  <c:v>0.0</c:v>
                </c:pt>
                <c:pt idx="97">
                  <c:v>0.0</c:v>
                </c:pt>
                <c:pt idx="98">
                  <c:v>78.2256335997354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404.833355613319</c:v>
                </c:pt>
                <c:pt idx="106">
                  <c:v>394.049162799908</c:v>
                </c:pt>
                <c:pt idx="107">
                  <c:v>173.895868064322</c:v>
                </c:pt>
                <c:pt idx="108">
                  <c:v>210.703439261238</c:v>
                </c:pt>
                <c:pt idx="109">
                  <c:v>182.764707106767</c:v>
                </c:pt>
                <c:pt idx="110">
                  <c:v>80.6286297741602</c:v>
                </c:pt>
                <c:pt idx="111">
                  <c:v>9.59412906652118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404.833355613319</c:v>
                </c:pt>
                <c:pt idx="118">
                  <c:v>398.241704072317</c:v>
                </c:pt>
                <c:pt idx="119">
                  <c:v>231.276935236323</c:v>
                </c:pt>
                <c:pt idx="120">
                  <c:v>50.9612090192812</c:v>
                </c:pt>
                <c:pt idx="121">
                  <c:v>35.1482071744993</c:v>
                </c:pt>
                <c:pt idx="122">
                  <c:v>295.072126794102</c:v>
                </c:pt>
                <c:pt idx="123">
                  <c:v>163.637725608319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329.555770282545</c:v>
                </c:pt>
                <c:pt idx="130">
                  <c:v>334.519911905533</c:v>
                </c:pt>
                <c:pt idx="131">
                  <c:v>303.707319112665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201.777920015009</c:v>
                </c:pt>
                <c:pt idx="142">
                  <c:v>144.336023481275</c:v>
                </c:pt>
                <c:pt idx="143">
                  <c:v>141.615976781048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73.911036567441</c:v>
                </c:pt>
                <c:pt idx="2">
                  <c:v>178.870088342757</c:v>
                </c:pt>
                <c:pt idx="3">
                  <c:v>294.718875089801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350.0</c:v>
                </c:pt>
                <c:pt idx="10">
                  <c:v>335.0</c:v>
                </c:pt>
                <c:pt idx="11">
                  <c:v>235.0</c:v>
                </c:pt>
                <c:pt idx="12">
                  <c:v>88.3070992694144</c:v>
                </c:pt>
                <c:pt idx="13">
                  <c:v>0.0</c:v>
                </c:pt>
                <c:pt idx="14">
                  <c:v>311.981557165021</c:v>
                </c:pt>
                <c:pt idx="15">
                  <c:v>350.0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247.211343565563</c:v>
                </c:pt>
                <c:pt idx="22">
                  <c:v>320.0</c:v>
                </c:pt>
                <c:pt idx="23">
                  <c:v>150.0</c:v>
                </c:pt>
                <c:pt idx="24">
                  <c:v>237.859146667724</c:v>
                </c:pt>
                <c:pt idx="25">
                  <c:v>157.130262972174</c:v>
                </c:pt>
                <c:pt idx="26">
                  <c:v>150.09015648128</c:v>
                </c:pt>
                <c:pt idx="27">
                  <c:v>147.614273632098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151.858377479481</c:v>
                </c:pt>
                <c:pt idx="34">
                  <c:v>350.0</c:v>
                </c:pt>
                <c:pt idx="35">
                  <c:v>272.947782767241</c:v>
                </c:pt>
                <c:pt idx="36">
                  <c:v>215.154171697081</c:v>
                </c:pt>
                <c:pt idx="37">
                  <c:v>173.719531004172</c:v>
                </c:pt>
                <c:pt idx="38">
                  <c:v>264.980673120281</c:v>
                </c:pt>
                <c:pt idx="39">
                  <c:v>349.282027688671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150.0</c:v>
                </c:pt>
                <c:pt idx="46">
                  <c:v>153.083127493966</c:v>
                </c:pt>
                <c:pt idx="47">
                  <c:v>161.280468995827</c:v>
                </c:pt>
                <c:pt idx="48">
                  <c:v>303.516329422556</c:v>
                </c:pt>
                <c:pt idx="49">
                  <c:v>228.932787276696</c:v>
                </c:pt>
                <c:pt idx="50">
                  <c:v>235.948501733533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350.0</c:v>
                </c:pt>
                <c:pt idx="59">
                  <c:v>350.0</c:v>
                </c:pt>
                <c:pt idx="60">
                  <c:v>340.818000271735</c:v>
                </c:pt>
                <c:pt idx="61">
                  <c:v>299.95896643922</c:v>
                </c:pt>
                <c:pt idx="62">
                  <c:v>315.89941520695</c:v>
                </c:pt>
                <c:pt idx="63">
                  <c:v>97.10058479304971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350.0</c:v>
                </c:pt>
                <c:pt idx="71">
                  <c:v>350.0</c:v>
                </c:pt>
                <c:pt idx="72">
                  <c:v>258.954128372126</c:v>
                </c:pt>
                <c:pt idx="73">
                  <c:v>218.494543818368</c:v>
                </c:pt>
                <c:pt idx="74">
                  <c:v>255.319370327516</c:v>
                </c:pt>
                <c:pt idx="75">
                  <c:v>65.9492536651833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350.0</c:v>
                </c:pt>
                <c:pt idx="83">
                  <c:v>350.0</c:v>
                </c:pt>
                <c:pt idx="84">
                  <c:v>229.971825072427</c:v>
                </c:pt>
                <c:pt idx="85">
                  <c:v>271.644503796472</c:v>
                </c:pt>
                <c:pt idx="86">
                  <c:v>317.528174927572</c:v>
                </c:pt>
                <c:pt idx="87">
                  <c:v>322.572858564398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11.5964609759426</c:v>
                </c:pt>
                <c:pt idx="94">
                  <c:v>240.782637639128</c:v>
                </c:pt>
                <c:pt idx="95">
                  <c:v>73.4035390240573</c:v>
                </c:pt>
                <c:pt idx="96">
                  <c:v>281.912324617725</c:v>
                </c:pt>
                <c:pt idx="97">
                  <c:v>240.808463209738</c:v>
                </c:pt>
                <c:pt idx="98">
                  <c:v>187.948360989372</c:v>
                </c:pt>
                <c:pt idx="99">
                  <c:v>347.051639010627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169.99383836556</c:v>
                </c:pt>
                <c:pt idx="106">
                  <c:v>89.7853738069751</c:v>
                </c:pt>
                <c:pt idx="107">
                  <c:v>150.0</c:v>
                </c:pt>
                <c:pt idx="108">
                  <c:v>97.17053421948989</c:v>
                </c:pt>
                <c:pt idx="109">
                  <c:v>85.0</c:v>
                </c:pt>
                <c:pt idx="110">
                  <c:v>250.0</c:v>
                </c:pt>
                <c:pt idx="111">
                  <c:v>350.0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337.82946578051</c:v>
                </c:pt>
                <c:pt idx="118">
                  <c:v>150.0</c:v>
                </c:pt>
                <c:pt idx="119">
                  <c:v>197.5</c:v>
                </c:pt>
                <c:pt idx="120">
                  <c:v>250.0</c:v>
                </c:pt>
                <c:pt idx="121">
                  <c:v>197.5</c:v>
                </c:pt>
                <c:pt idx="122">
                  <c:v>0.0</c:v>
                </c:pt>
                <c:pt idx="123">
                  <c:v>350.0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335.0</c:v>
                </c:pt>
                <c:pt idx="130">
                  <c:v>250.0</c:v>
                </c:pt>
                <c:pt idx="131">
                  <c:v>85.0</c:v>
                </c:pt>
                <c:pt idx="132">
                  <c:v>117.980371345504</c:v>
                </c:pt>
                <c:pt idx="133">
                  <c:v>44.6295381153762</c:v>
                </c:pt>
                <c:pt idx="134">
                  <c:v>137.729274507987</c:v>
                </c:pt>
                <c:pt idx="135">
                  <c:v>272.380219422608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350.0</c:v>
                </c:pt>
                <c:pt idx="142">
                  <c:v>350.0</c:v>
                </c:pt>
                <c:pt idx="143">
                  <c:v>194.780596608522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610.5635126029561</c:v>
                </c:pt>
                <c:pt idx="5">
                  <c:v>805.841736133498</c:v>
                </c:pt>
                <c:pt idx="6">
                  <c:v>0.361276395046004</c:v>
                </c:pt>
                <c:pt idx="7">
                  <c:v>1040.81574212813</c:v>
                </c:pt>
                <c:pt idx="8">
                  <c:v>8.06363586746982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-3.46944695195361E-18</c:v>
                </c:pt>
                <c:pt idx="16">
                  <c:v>618.425327608096</c:v>
                </c:pt>
                <c:pt idx="17">
                  <c:v>403.620809935094</c:v>
                </c:pt>
                <c:pt idx="18">
                  <c:v>400.402326096263</c:v>
                </c:pt>
                <c:pt idx="19">
                  <c:v>273.900377456967</c:v>
                </c:pt>
                <c:pt idx="20">
                  <c:v>1143.84684305909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2.22044604925031E-16</c:v>
                </c:pt>
                <c:pt idx="28">
                  <c:v>1683.70061484973</c:v>
                </c:pt>
                <c:pt idx="29">
                  <c:v>2259.55233024015</c:v>
                </c:pt>
                <c:pt idx="30">
                  <c:v>1050.88766824958</c:v>
                </c:pt>
                <c:pt idx="31">
                  <c:v>2227.17270766026</c:v>
                </c:pt>
                <c:pt idx="32">
                  <c:v>534.235416800954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-2.22044604925031E-16</c:v>
                </c:pt>
                <c:pt idx="40">
                  <c:v>1040.82297225372</c:v>
                </c:pt>
                <c:pt idx="41">
                  <c:v>409.0956901571</c:v>
                </c:pt>
                <c:pt idx="42">
                  <c:v>1076.68840403312</c:v>
                </c:pt>
                <c:pt idx="43">
                  <c:v>1626.08350173446</c:v>
                </c:pt>
                <c:pt idx="44">
                  <c:v>1319.54931225416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38.6043365512234</c:v>
                </c:pt>
                <c:pt idx="52">
                  <c:v>1058.89711963409</c:v>
                </c:pt>
                <c:pt idx="53">
                  <c:v>2080.032973913</c:v>
                </c:pt>
                <c:pt idx="54">
                  <c:v>2167.3567644581</c:v>
                </c:pt>
                <c:pt idx="55">
                  <c:v>813.029991489523</c:v>
                </c:pt>
                <c:pt idx="56">
                  <c:v>1614.80860825361</c:v>
                </c:pt>
                <c:pt idx="57">
                  <c:v>922.739783609373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9.76085289572198</c:v>
                </c:pt>
                <c:pt idx="64">
                  <c:v>825.285527114595</c:v>
                </c:pt>
                <c:pt idx="65">
                  <c:v>825.765330046043</c:v>
                </c:pt>
                <c:pt idx="66">
                  <c:v>1436.62546354745</c:v>
                </c:pt>
                <c:pt idx="67">
                  <c:v>1916.67831843314</c:v>
                </c:pt>
                <c:pt idx="68">
                  <c:v>1638.69758549722</c:v>
                </c:pt>
                <c:pt idx="69">
                  <c:v>1261.78655367994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-1.77635683940025E-15</c:v>
                </c:pt>
                <c:pt idx="76">
                  <c:v>505.024366386</c:v>
                </c:pt>
                <c:pt idx="77">
                  <c:v>2093.15114587888</c:v>
                </c:pt>
                <c:pt idx="78">
                  <c:v>2190.81541777293</c:v>
                </c:pt>
                <c:pt idx="79">
                  <c:v>494.475521947998</c:v>
                </c:pt>
                <c:pt idx="80">
                  <c:v>1191.07658230511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4.44089209850062E-16</c:v>
                </c:pt>
                <c:pt idx="88">
                  <c:v>169.44458559801</c:v>
                </c:pt>
                <c:pt idx="89">
                  <c:v>1047.63203877344</c:v>
                </c:pt>
                <c:pt idx="90">
                  <c:v>1582.80699132544</c:v>
                </c:pt>
                <c:pt idx="91">
                  <c:v>134.44807836128</c:v>
                </c:pt>
                <c:pt idx="92">
                  <c:v>645.98951148047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263.941322259635</c:v>
                </c:pt>
                <c:pt idx="101">
                  <c:v>362.495770953707</c:v>
                </c:pt>
                <c:pt idx="102">
                  <c:v>678.811381779291</c:v>
                </c:pt>
                <c:pt idx="103">
                  <c:v>448.000459702311</c:v>
                </c:pt>
                <c:pt idx="104">
                  <c:v>1463.99266761412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-7.105427357601E-15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1.4210854715202E-14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3.5527136788005E-15</c:v>
                </c:pt>
                <c:pt idx="125">
                  <c:v>0.0</c:v>
                </c:pt>
                <c:pt idx="126">
                  <c:v>0.0</c:v>
                </c:pt>
                <c:pt idx="127">
                  <c:v>-7.105427357601E-15</c:v>
                </c:pt>
                <c:pt idx="128">
                  <c:v>7.105427357601E-15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7.105427357601E-15</c:v>
                </c:pt>
                <c:pt idx="138">
                  <c:v>7.105427357601E-15</c:v>
                </c:pt>
                <c:pt idx="139">
                  <c:v>7.105427357601E-15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77.27521740802931</c:v>
                </c:pt>
                <c:pt idx="5">
                  <c:v>4.946337485764</c:v>
                </c:pt>
                <c:pt idx="6">
                  <c:v>0.0</c:v>
                </c:pt>
                <c:pt idx="7">
                  <c:v>19.6761302518556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2.73368270598683</c:v>
                </c:pt>
                <c:pt idx="17">
                  <c:v>0.278060775906162</c:v>
                </c:pt>
                <c:pt idx="18">
                  <c:v>0.597709312960382</c:v>
                </c:pt>
                <c:pt idx="19">
                  <c:v>3.06403785492156</c:v>
                </c:pt>
                <c:pt idx="20">
                  <c:v>0.665792578964173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36.7046936606753</c:v>
                </c:pt>
                <c:pt idx="29">
                  <c:v>55.132724493209</c:v>
                </c:pt>
                <c:pt idx="30">
                  <c:v>0.0</c:v>
                </c:pt>
                <c:pt idx="31">
                  <c:v>53.7966252290987</c:v>
                </c:pt>
                <c:pt idx="32">
                  <c:v>21.4179540721039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23.3745348972656</c:v>
                </c:pt>
                <c:pt idx="41">
                  <c:v>9.11058710160555</c:v>
                </c:pt>
                <c:pt idx="42">
                  <c:v>2.97974242823544</c:v>
                </c:pt>
                <c:pt idx="43">
                  <c:v>36.1209498619273</c:v>
                </c:pt>
                <c:pt idx="44">
                  <c:v>6.45374787313547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14.007369765987</c:v>
                </c:pt>
                <c:pt idx="50">
                  <c:v>1.43431125354004</c:v>
                </c:pt>
                <c:pt idx="51">
                  <c:v>0.0</c:v>
                </c:pt>
                <c:pt idx="52">
                  <c:v>0.0</c:v>
                </c:pt>
                <c:pt idx="53">
                  <c:v>18.1641541343743</c:v>
                </c:pt>
                <c:pt idx="54">
                  <c:v>25.4509495902001</c:v>
                </c:pt>
                <c:pt idx="55">
                  <c:v>20.9174991703147</c:v>
                </c:pt>
                <c:pt idx="56">
                  <c:v>23.153744995476</c:v>
                </c:pt>
                <c:pt idx="57">
                  <c:v>28.7810845698867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7.61666406582087</c:v>
                </c:pt>
                <c:pt idx="67">
                  <c:v>6.78552382844445</c:v>
                </c:pt>
                <c:pt idx="68">
                  <c:v>15.4222238390159</c:v>
                </c:pt>
                <c:pt idx="69">
                  <c:v>41.1849292567541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0.673741666310461</c:v>
                </c:pt>
                <c:pt idx="77">
                  <c:v>35.1695985198994</c:v>
                </c:pt>
                <c:pt idx="78">
                  <c:v>37.2142611704716</c:v>
                </c:pt>
                <c:pt idx="79">
                  <c:v>0.0</c:v>
                </c:pt>
                <c:pt idx="80">
                  <c:v>9.4891262971828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8.45659834351498</c:v>
                </c:pt>
                <c:pt idx="90">
                  <c:v>9.42936884442827</c:v>
                </c:pt>
                <c:pt idx="91">
                  <c:v>0.0</c:v>
                </c:pt>
                <c:pt idx="92">
                  <c:v>19.321606352107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11.0325291416553</c:v>
                </c:pt>
                <c:pt idx="101">
                  <c:v>0.0</c:v>
                </c:pt>
                <c:pt idx="102">
                  <c:v>0.0</c:v>
                </c:pt>
                <c:pt idx="103">
                  <c:v>11.4823064796867</c:v>
                </c:pt>
                <c:pt idx="104">
                  <c:v>17.0435522077078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548232"/>
        <c:axId val="2054544904"/>
      </c:areaChart>
      <c:lineChart>
        <c:grouping val="standard"/>
        <c:varyColors val="0"/>
        <c:ser>
          <c:idx val="1"/>
          <c:order val="14"/>
          <c:tx>
            <c:v>Marginal Cost (p.u.)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filtered!$AF$3:$AF$2305</c:f>
              <c:numCache>
                <c:formatCode>"$"#,##0.000</c:formatCode>
                <c:ptCount val="144"/>
                <c:pt idx="0">
                  <c:v>0.0897867564444444</c:v>
                </c:pt>
                <c:pt idx="1">
                  <c:v>0.0897867564444444</c:v>
                </c:pt>
                <c:pt idx="2">
                  <c:v>0.0897867564444444</c:v>
                </c:pt>
                <c:pt idx="3">
                  <c:v>0.0897867564444444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0.0897867564444444</c:v>
                </c:pt>
                <c:pt idx="10">
                  <c:v>0.0897867564444444</c:v>
                </c:pt>
                <c:pt idx="11">
                  <c:v>0.0897867564444444</c:v>
                </c:pt>
                <c:pt idx="12">
                  <c:v>0.0897867564444444</c:v>
                </c:pt>
                <c:pt idx="13">
                  <c:v>0.0897867564444444</c:v>
                </c:pt>
                <c:pt idx="14">
                  <c:v>0.0897867564444444</c:v>
                </c:pt>
                <c:pt idx="15">
                  <c:v>0.0897867564444444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0.0897867564444444</c:v>
                </c:pt>
                <c:pt idx="22">
                  <c:v>0.0897867564444444</c:v>
                </c:pt>
                <c:pt idx="23">
                  <c:v>0.0897867564444444</c:v>
                </c:pt>
                <c:pt idx="24">
                  <c:v>0.0136718112973739</c:v>
                </c:pt>
                <c:pt idx="25">
                  <c:v>0.0136718112973739</c:v>
                </c:pt>
                <c:pt idx="26">
                  <c:v>0.0136718112973739</c:v>
                </c:pt>
                <c:pt idx="27">
                  <c:v>0.0136718112973739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0.0136718112973739</c:v>
                </c:pt>
                <c:pt idx="34">
                  <c:v>0.0897867564444444</c:v>
                </c:pt>
                <c:pt idx="35">
                  <c:v>0.0136718112973739</c:v>
                </c:pt>
                <c:pt idx="36">
                  <c:v>0.0897867564444444</c:v>
                </c:pt>
                <c:pt idx="37">
                  <c:v>0.0897867564444444</c:v>
                </c:pt>
                <c:pt idx="38">
                  <c:v>0.0897867564444444</c:v>
                </c:pt>
                <c:pt idx="39">
                  <c:v>0.0897867564444444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0.0897867564444444</c:v>
                </c:pt>
                <c:pt idx="46">
                  <c:v>0.0897867564444444</c:v>
                </c:pt>
                <c:pt idx="47">
                  <c:v>0.0897867564444444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0.0897867564444444</c:v>
                </c:pt>
                <c:pt idx="59">
                  <c:v>0.0897867564444444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0.0897867564444444</c:v>
                </c:pt>
                <c:pt idx="71">
                  <c:v>0.0897867564444444</c:v>
                </c:pt>
                <c:pt idx="72">
                  <c:v>0.0862213985184148</c:v>
                </c:pt>
                <c:pt idx="73">
                  <c:v>0.0862213985184148</c:v>
                </c:pt>
                <c:pt idx="74">
                  <c:v>0.0862213985184148</c:v>
                </c:pt>
                <c:pt idx="75">
                  <c:v>0.0862213985184148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0.0663904768591794</c:v>
                </c:pt>
                <c:pt idx="82">
                  <c:v>0.0897867564444444</c:v>
                </c:pt>
                <c:pt idx="83">
                  <c:v>0.0897867564444444</c:v>
                </c:pt>
                <c:pt idx="84">
                  <c:v>0.0897867564444444</c:v>
                </c:pt>
                <c:pt idx="85">
                  <c:v>0.0897867564444444</c:v>
                </c:pt>
                <c:pt idx="86">
                  <c:v>0.0897867564444444</c:v>
                </c:pt>
                <c:pt idx="87">
                  <c:v>0.0897867564444444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0.0897867564444444</c:v>
                </c:pt>
                <c:pt idx="94">
                  <c:v>0.0897867564444444</c:v>
                </c:pt>
                <c:pt idx="95">
                  <c:v>0.0897867564444444</c:v>
                </c:pt>
                <c:pt idx="96">
                  <c:v>0.0897867564444444</c:v>
                </c:pt>
                <c:pt idx="97">
                  <c:v>0.0897867564444444</c:v>
                </c:pt>
                <c:pt idx="98">
                  <c:v>0.0897867564444444</c:v>
                </c:pt>
                <c:pt idx="99">
                  <c:v>0.0897867564444444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0.0897867564444444</c:v>
                </c:pt>
                <c:pt idx="106">
                  <c:v>0.0897867564444444</c:v>
                </c:pt>
                <c:pt idx="107">
                  <c:v>0.0897867564444444</c:v>
                </c:pt>
                <c:pt idx="108">
                  <c:v>0.142511367035903</c:v>
                </c:pt>
                <c:pt idx="109">
                  <c:v>0.142511367035903</c:v>
                </c:pt>
                <c:pt idx="110">
                  <c:v>0.142511367035903</c:v>
                </c:pt>
                <c:pt idx="111">
                  <c:v>0.142511367035903</c:v>
                </c:pt>
                <c:pt idx="112">
                  <c:v>0.0395434579435944</c:v>
                </c:pt>
                <c:pt idx="113">
                  <c:v>0.0395434579435944</c:v>
                </c:pt>
                <c:pt idx="114">
                  <c:v>0.0395434579435944</c:v>
                </c:pt>
                <c:pt idx="115">
                  <c:v>0.0395434579435944</c:v>
                </c:pt>
                <c:pt idx="116">
                  <c:v>0.0395434579435944</c:v>
                </c:pt>
                <c:pt idx="117">
                  <c:v>0.142511367035903</c:v>
                </c:pt>
                <c:pt idx="118">
                  <c:v>0.142511367035903</c:v>
                </c:pt>
                <c:pt idx="119">
                  <c:v>0.142511367035903</c:v>
                </c:pt>
                <c:pt idx="120">
                  <c:v>0.0979767564444444</c:v>
                </c:pt>
                <c:pt idx="121">
                  <c:v>0.0979767564444444</c:v>
                </c:pt>
                <c:pt idx="122">
                  <c:v>0.0979767564444444</c:v>
                </c:pt>
                <c:pt idx="123">
                  <c:v>0.0979767564444444</c:v>
                </c:pt>
                <c:pt idx="124">
                  <c:v>0.0061425</c:v>
                </c:pt>
                <c:pt idx="125">
                  <c:v>0.0061425</c:v>
                </c:pt>
                <c:pt idx="126">
                  <c:v>0.0061425</c:v>
                </c:pt>
                <c:pt idx="127">
                  <c:v>0.0061425</c:v>
                </c:pt>
                <c:pt idx="128">
                  <c:v>0.0061425</c:v>
                </c:pt>
                <c:pt idx="129">
                  <c:v>0.0979767564444444</c:v>
                </c:pt>
                <c:pt idx="130">
                  <c:v>0.0979767564444444</c:v>
                </c:pt>
                <c:pt idx="131">
                  <c:v>0.0979767564444444</c:v>
                </c:pt>
                <c:pt idx="132">
                  <c:v>0.142511367035904</c:v>
                </c:pt>
                <c:pt idx="133">
                  <c:v>0.142511367035904</c:v>
                </c:pt>
                <c:pt idx="134">
                  <c:v>0.142511367035904</c:v>
                </c:pt>
                <c:pt idx="135">
                  <c:v>0.142511367035904</c:v>
                </c:pt>
                <c:pt idx="136">
                  <c:v>0.0395434579435949</c:v>
                </c:pt>
                <c:pt idx="137">
                  <c:v>0.0395434579435949</c:v>
                </c:pt>
                <c:pt idx="138">
                  <c:v>0.0395434579435949</c:v>
                </c:pt>
                <c:pt idx="139">
                  <c:v>0.0395434579435949</c:v>
                </c:pt>
                <c:pt idx="140">
                  <c:v>0.0395434579435949</c:v>
                </c:pt>
                <c:pt idx="141">
                  <c:v>0.142511367035904</c:v>
                </c:pt>
                <c:pt idx="142">
                  <c:v>0.142511367035904</c:v>
                </c:pt>
                <c:pt idx="143">
                  <c:v>0.142511367035904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538744"/>
        <c:axId val="2054541656"/>
      </c:lineChart>
      <c:catAx>
        <c:axId val="20545482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05454490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5454490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4548232"/>
        <c:crosses val="autoZero"/>
        <c:crossBetween val="between"/>
      </c:valAx>
      <c:valAx>
        <c:axId val="205454165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054538744"/>
        <c:crosses val="max"/>
        <c:crossBetween val="between"/>
      </c:valAx>
      <c:catAx>
        <c:axId val="2054538744"/>
        <c:scaling>
          <c:orientation val="minMax"/>
        </c:scaling>
        <c:delete val="1"/>
        <c:axPos val="b"/>
        <c:majorTickMark val="out"/>
        <c:minorTickMark val="none"/>
        <c:tickLblPos val="nextTo"/>
        <c:crossAx val="20545416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543724233537225"/>
          <c:w val="0.282959443040369"/>
          <c:h val="0.92153786990617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33520234922412"/>
          <c:h val="0.657076802963548"/>
        </c:manualLayout>
      </c:layout>
      <c:areaChart>
        <c:grouping val="stacked"/>
        <c:varyColors val="0"/>
        <c:ser>
          <c:idx val="15"/>
          <c:order val="1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filtered!$AG$3:$AG$2305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783.171142518863</c:v>
                </c:pt>
                <c:pt idx="5">
                  <c:v>974.8152726187176</c:v>
                </c:pt>
                <c:pt idx="6">
                  <c:v>2139.67070453584</c:v>
                </c:pt>
                <c:pt idx="7">
                  <c:v>739.6555821059999</c:v>
                </c:pt>
                <c:pt idx="8">
                  <c:v>2081.86146697357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326.1681687117</c:v>
                </c:pt>
                <c:pt idx="13">
                  <c:v>286.490461110701</c:v>
                </c:pt>
                <c:pt idx="14">
                  <c:v>369.8578522695</c:v>
                </c:pt>
                <c:pt idx="15">
                  <c:v>589.6690976239</c:v>
                </c:pt>
                <c:pt idx="16">
                  <c:v>680.0526137776001</c:v>
                </c:pt>
                <c:pt idx="17">
                  <c:v>1464.596744643107</c:v>
                </c:pt>
                <c:pt idx="18">
                  <c:v>1619.352385508342</c:v>
                </c:pt>
                <c:pt idx="19">
                  <c:v>1899.1287109634</c:v>
                </c:pt>
                <c:pt idx="20">
                  <c:v>880.11700908035</c:v>
                </c:pt>
                <c:pt idx="21">
                  <c:v>764.7253059950001</c:v>
                </c:pt>
                <c:pt idx="22">
                  <c:v>661.9317053510001</c:v>
                </c:pt>
                <c:pt idx="23">
                  <c:v>457.8610480794</c:v>
                </c:pt>
                <c:pt idx="24">
                  <c:v>320.294255369901</c:v>
                </c:pt>
                <c:pt idx="25">
                  <c:v>265.4422618722</c:v>
                </c:pt>
                <c:pt idx="26">
                  <c:v>285.041168041001</c:v>
                </c:pt>
                <c:pt idx="27">
                  <c:v>404.5926738035</c:v>
                </c:pt>
                <c:pt idx="28">
                  <c:v>566.2790071554</c:v>
                </c:pt>
                <c:pt idx="29">
                  <c:v>609.6231216019</c:v>
                </c:pt>
                <c:pt idx="30">
                  <c:v>1996.18817770302</c:v>
                </c:pt>
                <c:pt idx="31">
                  <c:v>593.181905179501</c:v>
                </c:pt>
                <c:pt idx="32">
                  <c:v>1773.41848215367</c:v>
                </c:pt>
                <c:pt idx="33">
                  <c:v>648.0723277903001</c:v>
                </c:pt>
                <c:pt idx="34">
                  <c:v>594.976708778901</c:v>
                </c:pt>
                <c:pt idx="35">
                  <c:v>458.6480833417</c:v>
                </c:pt>
                <c:pt idx="36">
                  <c:v>321.5123385019</c:v>
                </c:pt>
                <c:pt idx="37">
                  <c:v>282.868471389</c:v>
                </c:pt>
                <c:pt idx="38">
                  <c:v>348.1184085162</c:v>
                </c:pt>
                <c:pt idx="39">
                  <c:v>576.1389322192</c:v>
                </c:pt>
                <c:pt idx="40">
                  <c:v>840.741188546975</c:v>
                </c:pt>
                <c:pt idx="41">
                  <c:v>2078.03700644528</c:v>
                </c:pt>
                <c:pt idx="42">
                  <c:v>1630.939965827752</c:v>
                </c:pt>
                <c:pt idx="43">
                  <c:v>1306.009789138865</c:v>
                </c:pt>
                <c:pt idx="44">
                  <c:v>898.494170492427</c:v>
                </c:pt>
                <c:pt idx="45">
                  <c:v>768.3197308150002</c:v>
                </c:pt>
                <c:pt idx="46">
                  <c:v>706.836982516001</c:v>
                </c:pt>
                <c:pt idx="47">
                  <c:v>488.5127935884</c:v>
                </c:pt>
                <c:pt idx="48">
                  <c:v>374.3016870985</c:v>
                </c:pt>
                <c:pt idx="49">
                  <c:v>294.8694136696</c:v>
                </c:pt>
                <c:pt idx="50">
                  <c:v>289.542587958401</c:v>
                </c:pt>
                <c:pt idx="51">
                  <c:v>399.8513062544</c:v>
                </c:pt>
                <c:pt idx="52">
                  <c:v>1170.060963335562</c:v>
                </c:pt>
                <c:pt idx="53">
                  <c:v>639.9716933953</c:v>
                </c:pt>
                <c:pt idx="54">
                  <c:v>702.473860284814</c:v>
                </c:pt>
                <c:pt idx="55">
                  <c:v>2322.76000464285</c:v>
                </c:pt>
                <c:pt idx="56">
                  <c:v>1017.023512861394</c:v>
                </c:pt>
                <c:pt idx="57">
                  <c:v>753.0115859900731</c:v>
                </c:pt>
                <c:pt idx="58">
                  <c:v>678.891187569</c:v>
                </c:pt>
                <c:pt idx="59">
                  <c:v>514.085593583101</c:v>
                </c:pt>
                <c:pt idx="60">
                  <c:v>377.2075280974009</c:v>
                </c:pt>
                <c:pt idx="61">
                  <c:v>348.628226324</c:v>
                </c:pt>
                <c:pt idx="62">
                  <c:v>412.0370106363</c:v>
                </c:pt>
                <c:pt idx="63">
                  <c:v>634.9686340592009</c:v>
                </c:pt>
                <c:pt idx="64">
                  <c:v>1649.53274399162</c:v>
                </c:pt>
                <c:pt idx="65">
                  <c:v>2177.63710512263</c:v>
                </c:pt>
                <c:pt idx="66">
                  <c:v>1683.674708664334</c:v>
                </c:pt>
                <c:pt idx="67">
                  <c:v>1204.295546910116</c:v>
                </c:pt>
                <c:pt idx="68">
                  <c:v>828.8488829740001</c:v>
                </c:pt>
                <c:pt idx="69">
                  <c:v>785.550385620001</c:v>
                </c:pt>
                <c:pt idx="70">
                  <c:v>755.8570567309999</c:v>
                </c:pt>
                <c:pt idx="71">
                  <c:v>557.5487056384</c:v>
                </c:pt>
                <c:pt idx="72">
                  <c:v>408.6286593249</c:v>
                </c:pt>
                <c:pt idx="73">
                  <c:v>348.316642184</c:v>
                </c:pt>
                <c:pt idx="74">
                  <c:v>363.7912002438001</c:v>
                </c:pt>
                <c:pt idx="75">
                  <c:v>471.782563546001</c:v>
                </c:pt>
                <c:pt idx="76">
                  <c:v>1741.850050473997</c:v>
                </c:pt>
                <c:pt idx="77">
                  <c:v>730.0441518929999</c:v>
                </c:pt>
                <c:pt idx="78">
                  <c:v>730.242385558</c:v>
                </c:pt>
                <c:pt idx="79">
                  <c:v>2332.40436808988</c:v>
                </c:pt>
                <c:pt idx="80">
                  <c:v>1097.658726643323</c:v>
                </c:pt>
                <c:pt idx="81">
                  <c:v>707.441249445</c:v>
                </c:pt>
                <c:pt idx="82">
                  <c:v>697.4711332281</c:v>
                </c:pt>
                <c:pt idx="83">
                  <c:v>560.182908376001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1629.329186773161</c:v>
                </c:pt>
                <c:pt idx="89">
                  <c:v>1304.81575717135</c:v>
                </c:pt>
                <c:pt idx="90">
                  <c:v>862.375497781</c:v>
                </c:pt>
                <c:pt idx="91">
                  <c:v>2323.96554959889</c:v>
                </c:pt>
                <c:pt idx="92">
                  <c:v>1587.27064557679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397.1006224087</c:v>
                </c:pt>
                <c:pt idx="97">
                  <c:v>344.1718297472</c:v>
                </c:pt>
                <c:pt idx="98">
                  <c:v>353.179014397301</c:v>
                </c:pt>
                <c:pt idx="99">
                  <c:v>430.8160778355</c:v>
                </c:pt>
                <c:pt idx="100">
                  <c:v>1211.359600295791</c:v>
                </c:pt>
                <c:pt idx="101">
                  <c:v>1604.035659057566</c:v>
                </c:pt>
                <c:pt idx="102">
                  <c:v>1026.537176084927</c:v>
                </c:pt>
                <c:pt idx="103">
                  <c:v>1706.133036506233</c:v>
                </c:pt>
                <c:pt idx="104">
                  <c:v>720.875443611183</c:v>
                </c:pt>
                <c:pt idx="105">
                  <c:v>780.914714349</c:v>
                </c:pt>
                <c:pt idx="106">
                  <c:v>687.1799245703</c:v>
                </c:pt>
                <c:pt idx="107">
                  <c:v>517.158192459301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1399.651240800125</c:v>
                </c:pt>
                <c:pt idx="113">
                  <c:v>1606.209773647111</c:v>
                </c:pt>
                <c:pt idx="114">
                  <c:v>1454.448828115471</c:v>
                </c:pt>
                <c:pt idx="115">
                  <c:v>1518.607720059145</c:v>
                </c:pt>
                <c:pt idx="116">
                  <c:v>1390.763531989646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527.5532432884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1069.836994755877</c:v>
                </c:pt>
                <c:pt idx="125">
                  <c:v>1434.30860246799</c:v>
                </c:pt>
                <c:pt idx="126">
                  <c:v>1449.369464902793</c:v>
                </c:pt>
                <c:pt idx="127">
                  <c:v>1811.567403775266</c:v>
                </c:pt>
                <c:pt idx="128">
                  <c:v>1456.852104301473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551.827186404201</c:v>
                </c:pt>
                <c:pt idx="132">
                  <c:v>330.909536260801</c:v>
                </c:pt>
                <c:pt idx="133">
                  <c:v>289.4274177816</c:v>
                </c:pt>
                <c:pt idx="134">
                  <c:v>351.6602613601</c:v>
                </c:pt>
                <c:pt idx="135">
                  <c:v>586.59775622</c:v>
                </c:pt>
                <c:pt idx="136">
                  <c:v>1259.561047951007</c:v>
                </c:pt>
                <c:pt idx="137">
                  <c:v>1401.931897385033</c:v>
                </c:pt>
                <c:pt idx="138">
                  <c:v>1742.31157420958</c:v>
                </c:pt>
                <c:pt idx="139">
                  <c:v>1445.859834997978</c:v>
                </c:pt>
                <c:pt idx="140">
                  <c:v>728.675517542</c:v>
                </c:pt>
                <c:pt idx="141">
                  <c:v>729.558567010001</c:v>
                </c:pt>
                <c:pt idx="142">
                  <c:v>635.9982051325001</c:v>
                </c:pt>
                <c:pt idx="143">
                  <c:v>497.5963993504</c:v>
                </c:pt>
              </c:numCache>
            </c:numRef>
          </c:val>
        </c:ser>
        <c:ser>
          <c:idx val="16"/>
          <c:order val="2"/>
          <c:tx>
            <c:strRef>
              <c:f>filtered!$X$2</c:f>
              <c:strCache>
                <c:ptCount val="1"/>
                <c:pt idx="0">
                  <c:v>ChargeEVs</c:v>
                </c:pt>
              </c:strCache>
            </c:strRef>
          </c:tx>
          <c:spPr>
            <a:solidFill>
              <a:srgbClr val="6C6C6C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350.0</c:v>
                </c:pt>
                <c:pt idx="5">
                  <c:v>350.0</c:v>
                </c:pt>
                <c:pt idx="6">
                  <c:v>350.0</c:v>
                </c:pt>
                <c:pt idx="7">
                  <c:v>350.0</c:v>
                </c:pt>
                <c:pt idx="8">
                  <c:v>350.0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350.0</c:v>
                </c:pt>
                <c:pt idx="17">
                  <c:v>350.0</c:v>
                </c:pt>
                <c:pt idx="18">
                  <c:v>350.0</c:v>
                </c:pt>
                <c:pt idx="19">
                  <c:v>350.0</c:v>
                </c:pt>
                <c:pt idx="20">
                  <c:v>350.0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350.0</c:v>
                </c:pt>
                <c:pt idx="29">
                  <c:v>350.0</c:v>
                </c:pt>
                <c:pt idx="30">
                  <c:v>350.0</c:v>
                </c:pt>
                <c:pt idx="31">
                  <c:v>350.0</c:v>
                </c:pt>
                <c:pt idx="32">
                  <c:v>350.0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350.0</c:v>
                </c:pt>
                <c:pt idx="41">
                  <c:v>350.0</c:v>
                </c:pt>
                <c:pt idx="42">
                  <c:v>350.0</c:v>
                </c:pt>
                <c:pt idx="43">
                  <c:v>350.0</c:v>
                </c:pt>
                <c:pt idx="44">
                  <c:v>350.0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252.146191231582</c:v>
                </c:pt>
                <c:pt idx="52">
                  <c:v>242.120502956748</c:v>
                </c:pt>
                <c:pt idx="53">
                  <c:v>350.0</c:v>
                </c:pt>
                <c:pt idx="54">
                  <c:v>350.0</c:v>
                </c:pt>
                <c:pt idx="55">
                  <c:v>0.0</c:v>
                </c:pt>
                <c:pt idx="56">
                  <c:v>350.0</c:v>
                </c:pt>
                <c:pt idx="57">
                  <c:v>206.899044036067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154.863956630076</c:v>
                </c:pt>
                <c:pt idx="64">
                  <c:v>267.573662475061</c:v>
                </c:pt>
                <c:pt idx="65">
                  <c:v>299.350649350649</c:v>
                </c:pt>
                <c:pt idx="66">
                  <c:v>350.0</c:v>
                </c:pt>
                <c:pt idx="67">
                  <c:v>350.0</c:v>
                </c:pt>
                <c:pt idx="68">
                  <c:v>350.0</c:v>
                </c:pt>
                <c:pt idx="69">
                  <c:v>350.0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350.0</c:v>
                </c:pt>
                <c:pt idx="77">
                  <c:v>350.0</c:v>
                </c:pt>
                <c:pt idx="78">
                  <c:v>350.0</c:v>
                </c:pt>
                <c:pt idx="79">
                  <c:v>350.0</c:v>
                </c:pt>
                <c:pt idx="80">
                  <c:v>350.0</c:v>
                </c:pt>
                <c:pt idx="81">
                  <c:v>40.5419430950588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350.0</c:v>
                </c:pt>
                <c:pt idx="89">
                  <c:v>350.0</c:v>
                </c:pt>
                <c:pt idx="90">
                  <c:v>350.0</c:v>
                </c:pt>
                <c:pt idx="91">
                  <c:v>350.0</c:v>
                </c:pt>
                <c:pt idx="92">
                  <c:v>350.0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350.0</c:v>
                </c:pt>
                <c:pt idx="101">
                  <c:v>350.0</c:v>
                </c:pt>
                <c:pt idx="102">
                  <c:v>350.0</c:v>
                </c:pt>
                <c:pt idx="103">
                  <c:v>350.0</c:v>
                </c:pt>
                <c:pt idx="104">
                  <c:v>350.0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350.0</c:v>
                </c:pt>
                <c:pt idx="113">
                  <c:v>350.0</c:v>
                </c:pt>
                <c:pt idx="114">
                  <c:v>350.0</c:v>
                </c:pt>
                <c:pt idx="115">
                  <c:v>350.0</c:v>
                </c:pt>
                <c:pt idx="116">
                  <c:v>350.0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350.0</c:v>
                </c:pt>
                <c:pt idx="125">
                  <c:v>350.0</c:v>
                </c:pt>
                <c:pt idx="126">
                  <c:v>350.0</c:v>
                </c:pt>
                <c:pt idx="127">
                  <c:v>350.0</c:v>
                </c:pt>
                <c:pt idx="128">
                  <c:v>350.0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350.0</c:v>
                </c:pt>
                <c:pt idx="137">
                  <c:v>350.0</c:v>
                </c:pt>
                <c:pt idx="138">
                  <c:v>350.0</c:v>
                </c:pt>
                <c:pt idx="139">
                  <c:v>350.0</c:v>
                </c:pt>
                <c:pt idx="140">
                  <c:v>350.0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strRef>
              <c:f>filtered!$V$2</c:f>
              <c:strCache>
                <c:ptCount val="1"/>
                <c:pt idx="0">
                  <c:v>ChargeBattery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02/06/2035</c:v>
                </c:pt>
                <c:pt idx="18">
                  <c:v>02/25/2035</c:v>
                </c:pt>
                <c:pt idx="30">
                  <c:v>04/05/2035</c:v>
                </c:pt>
                <c:pt idx="42">
                  <c:v>04/09/2035</c:v>
                </c:pt>
                <c:pt idx="54">
                  <c:v>06/01/2035</c:v>
                </c:pt>
                <c:pt idx="66">
                  <c:v>06/05/2035</c:v>
                </c:pt>
                <c:pt idx="78">
                  <c:v>08/04/2035</c:v>
                </c:pt>
                <c:pt idx="90">
                  <c:v>08/30/2035</c:v>
                </c:pt>
                <c:pt idx="102">
                  <c:v>10/14/2035</c:v>
                </c:pt>
                <c:pt idx="114">
                  <c:v>10/22/2035</c:v>
                </c:pt>
                <c:pt idx="126">
                  <c:v>12/04/2035</c:v>
                </c:pt>
                <c:pt idx="138">
                  <c:v>12/12/2035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404.833355613319</c:v>
                </c:pt>
                <c:pt idx="6">
                  <c:v>271.424321770804</c:v>
                </c:pt>
                <c:pt idx="7">
                  <c:v>404.833355613319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404.833355613319</c:v>
                </c:pt>
                <c:pt idx="17">
                  <c:v>404.833355613319</c:v>
                </c:pt>
                <c:pt idx="18">
                  <c:v>404.833355613319</c:v>
                </c:pt>
                <c:pt idx="19">
                  <c:v>387.552194192891</c:v>
                </c:pt>
                <c:pt idx="20">
                  <c:v>404.833355613319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54.1652928886576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404.833355613319</c:v>
                </c:pt>
                <c:pt idx="42">
                  <c:v>232.545319846957</c:v>
                </c:pt>
                <c:pt idx="43">
                  <c:v>0.0</c:v>
                </c:pt>
                <c:pt idx="44">
                  <c:v>404.833355613319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243.316024791396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404.833355613319</c:v>
                </c:pt>
                <c:pt idx="69">
                  <c:v>140.089891489188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299.287407163289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241.531813813238</c:v>
                </c:pt>
                <c:pt idx="89">
                  <c:v>404.833355613319</c:v>
                </c:pt>
                <c:pt idx="90">
                  <c:v>404.833355613319</c:v>
                </c:pt>
                <c:pt idx="91">
                  <c:v>404.833355613319</c:v>
                </c:pt>
                <c:pt idx="92">
                  <c:v>404.833355613319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186.838626596422</c:v>
                </c:pt>
                <c:pt idx="102">
                  <c:v>404.833355613319</c:v>
                </c:pt>
                <c:pt idx="103">
                  <c:v>404.833355613319</c:v>
                </c:pt>
                <c:pt idx="104">
                  <c:v>404.833355613319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404.723777720918</c:v>
                </c:pt>
                <c:pt idx="113">
                  <c:v>404.833355613319</c:v>
                </c:pt>
                <c:pt idx="114">
                  <c:v>404.833355613319</c:v>
                </c:pt>
                <c:pt idx="115">
                  <c:v>404.833355613319</c:v>
                </c:pt>
                <c:pt idx="116">
                  <c:v>404.833355613319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404.833355613319</c:v>
                </c:pt>
                <c:pt idx="125">
                  <c:v>404.833355613319</c:v>
                </c:pt>
                <c:pt idx="126">
                  <c:v>397.469604075985</c:v>
                </c:pt>
                <c:pt idx="127">
                  <c:v>404.833355613319</c:v>
                </c:pt>
                <c:pt idx="128">
                  <c:v>404.833355613319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398.218684603002</c:v>
                </c:pt>
                <c:pt idx="138">
                  <c:v>0.0</c:v>
                </c:pt>
                <c:pt idx="139">
                  <c:v>0.0</c:v>
                </c:pt>
                <c:pt idx="140">
                  <c:v>252.087875766776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91352"/>
        <c:axId val="205328756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filtered!$AB$3:$AB$2305</c:f>
              <c:numCache>
                <c:formatCode>General</c:formatCode>
                <c:ptCount val="144"/>
                <c:pt idx="0">
                  <c:v>2035.0</c:v>
                </c:pt>
                <c:pt idx="1">
                  <c:v>2035.0</c:v>
                </c:pt>
                <c:pt idx="2">
                  <c:v>2035.0</c:v>
                </c:pt>
                <c:pt idx="3">
                  <c:v>2035.0</c:v>
                </c:pt>
                <c:pt idx="4">
                  <c:v>2035.0</c:v>
                </c:pt>
                <c:pt idx="5">
                  <c:v>2035.0</c:v>
                </c:pt>
                <c:pt idx="6">
                  <c:v>2035.0</c:v>
                </c:pt>
                <c:pt idx="7">
                  <c:v>2035.0</c:v>
                </c:pt>
                <c:pt idx="8">
                  <c:v>2035.0</c:v>
                </c:pt>
                <c:pt idx="9">
                  <c:v>2035.0</c:v>
                </c:pt>
                <c:pt idx="10">
                  <c:v>2035.0</c:v>
                </c:pt>
                <c:pt idx="11">
                  <c:v>2035.0</c:v>
                </c:pt>
                <c:pt idx="12">
                  <c:v>2035.0</c:v>
                </c:pt>
                <c:pt idx="13">
                  <c:v>2035.0</c:v>
                </c:pt>
                <c:pt idx="14">
                  <c:v>2035.0</c:v>
                </c:pt>
                <c:pt idx="15">
                  <c:v>2035.0</c:v>
                </c:pt>
                <c:pt idx="16">
                  <c:v>2035.0</c:v>
                </c:pt>
                <c:pt idx="17">
                  <c:v>2035.0</c:v>
                </c:pt>
                <c:pt idx="18">
                  <c:v>2035.0</c:v>
                </c:pt>
                <c:pt idx="19">
                  <c:v>2035.0</c:v>
                </c:pt>
                <c:pt idx="20">
                  <c:v>2035.0</c:v>
                </c:pt>
                <c:pt idx="21">
                  <c:v>2035.0</c:v>
                </c:pt>
                <c:pt idx="22">
                  <c:v>2035.0</c:v>
                </c:pt>
                <c:pt idx="23">
                  <c:v>2035.0</c:v>
                </c:pt>
                <c:pt idx="24">
                  <c:v>2035.0</c:v>
                </c:pt>
                <c:pt idx="25">
                  <c:v>2035.0</c:v>
                </c:pt>
                <c:pt idx="26">
                  <c:v>2035.0</c:v>
                </c:pt>
                <c:pt idx="27">
                  <c:v>2035.0</c:v>
                </c:pt>
                <c:pt idx="28">
                  <c:v>2035.0</c:v>
                </c:pt>
                <c:pt idx="29">
                  <c:v>2035.0</c:v>
                </c:pt>
                <c:pt idx="30">
                  <c:v>2035.0</c:v>
                </c:pt>
                <c:pt idx="31">
                  <c:v>2035.0</c:v>
                </c:pt>
                <c:pt idx="32">
                  <c:v>2035.0</c:v>
                </c:pt>
                <c:pt idx="33">
                  <c:v>2035.0</c:v>
                </c:pt>
                <c:pt idx="34">
                  <c:v>2035.0</c:v>
                </c:pt>
                <c:pt idx="35">
                  <c:v>2035.0</c:v>
                </c:pt>
                <c:pt idx="36">
                  <c:v>2035.0</c:v>
                </c:pt>
                <c:pt idx="37">
                  <c:v>2035.0</c:v>
                </c:pt>
                <c:pt idx="38">
                  <c:v>2035.0</c:v>
                </c:pt>
                <c:pt idx="39">
                  <c:v>2035.0</c:v>
                </c:pt>
                <c:pt idx="40">
                  <c:v>2035.0</c:v>
                </c:pt>
                <c:pt idx="41">
                  <c:v>2035.0</c:v>
                </c:pt>
                <c:pt idx="42">
                  <c:v>2035.0</c:v>
                </c:pt>
                <c:pt idx="43">
                  <c:v>2035.0</c:v>
                </c:pt>
                <c:pt idx="44">
                  <c:v>2035.0</c:v>
                </c:pt>
                <c:pt idx="45">
                  <c:v>2035.0</c:v>
                </c:pt>
                <c:pt idx="46">
                  <c:v>2035.0</c:v>
                </c:pt>
                <c:pt idx="47">
                  <c:v>2035.0</c:v>
                </c:pt>
                <c:pt idx="48">
                  <c:v>2035.0</c:v>
                </c:pt>
                <c:pt idx="49">
                  <c:v>2035.0</c:v>
                </c:pt>
                <c:pt idx="50">
                  <c:v>2035.0</c:v>
                </c:pt>
                <c:pt idx="51">
                  <c:v>2035.0</c:v>
                </c:pt>
                <c:pt idx="52">
                  <c:v>2035.0</c:v>
                </c:pt>
                <c:pt idx="53">
                  <c:v>2035.0</c:v>
                </c:pt>
                <c:pt idx="54">
                  <c:v>2035.0</c:v>
                </c:pt>
                <c:pt idx="55">
                  <c:v>2035.0</c:v>
                </c:pt>
                <c:pt idx="56">
                  <c:v>2035.0</c:v>
                </c:pt>
                <c:pt idx="57">
                  <c:v>2035.0</c:v>
                </c:pt>
                <c:pt idx="58">
                  <c:v>2035.0</c:v>
                </c:pt>
                <c:pt idx="59">
                  <c:v>2035.0</c:v>
                </c:pt>
                <c:pt idx="60">
                  <c:v>2035.0</c:v>
                </c:pt>
                <c:pt idx="61">
                  <c:v>2035.0</c:v>
                </c:pt>
                <c:pt idx="62">
                  <c:v>2035.0</c:v>
                </c:pt>
                <c:pt idx="63">
                  <c:v>2035.0</c:v>
                </c:pt>
                <c:pt idx="64">
                  <c:v>2035.0</c:v>
                </c:pt>
                <c:pt idx="65">
                  <c:v>2035.0</c:v>
                </c:pt>
                <c:pt idx="66">
                  <c:v>2035.0</c:v>
                </c:pt>
                <c:pt idx="67">
                  <c:v>2035.0</c:v>
                </c:pt>
                <c:pt idx="68">
                  <c:v>2035.0</c:v>
                </c:pt>
                <c:pt idx="69">
                  <c:v>2035.0</c:v>
                </c:pt>
                <c:pt idx="70">
                  <c:v>2035.0</c:v>
                </c:pt>
                <c:pt idx="71">
                  <c:v>2035.0</c:v>
                </c:pt>
                <c:pt idx="72">
                  <c:v>2035.0</c:v>
                </c:pt>
                <c:pt idx="73">
                  <c:v>2035.0</c:v>
                </c:pt>
                <c:pt idx="74">
                  <c:v>2035.0</c:v>
                </c:pt>
                <c:pt idx="75">
                  <c:v>2035.0</c:v>
                </c:pt>
                <c:pt idx="76">
                  <c:v>2035.0</c:v>
                </c:pt>
                <c:pt idx="77">
                  <c:v>2035.0</c:v>
                </c:pt>
                <c:pt idx="78">
                  <c:v>2035.0</c:v>
                </c:pt>
                <c:pt idx="79">
                  <c:v>2035.0</c:v>
                </c:pt>
                <c:pt idx="80">
                  <c:v>2035.0</c:v>
                </c:pt>
                <c:pt idx="81">
                  <c:v>2035.0</c:v>
                </c:pt>
                <c:pt idx="82">
                  <c:v>2035.0</c:v>
                </c:pt>
                <c:pt idx="83">
                  <c:v>2035.0</c:v>
                </c:pt>
                <c:pt idx="84">
                  <c:v>2035.0</c:v>
                </c:pt>
                <c:pt idx="85">
                  <c:v>2035.0</c:v>
                </c:pt>
                <c:pt idx="86">
                  <c:v>2035.0</c:v>
                </c:pt>
                <c:pt idx="87">
                  <c:v>2035.0</c:v>
                </c:pt>
                <c:pt idx="88">
                  <c:v>2035.0</c:v>
                </c:pt>
                <c:pt idx="89">
                  <c:v>2035.0</c:v>
                </c:pt>
                <c:pt idx="90">
                  <c:v>2035.0</c:v>
                </c:pt>
                <c:pt idx="91">
                  <c:v>2035.0</c:v>
                </c:pt>
                <c:pt idx="92">
                  <c:v>2035.0</c:v>
                </c:pt>
                <c:pt idx="93">
                  <c:v>2035.0</c:v>
                </c:pt>
                <c:pt idx="94">
                  <c:v>2035.0</c:v>
                </c:pt>
                <c:pt idx="95">
                  <c:v>2035.0</c:v>
                </c:pt>
                <c:pt idx="96">
                  <c:v>2035.0</c:v>
                </c:pt>
                <c:pt idx="97">
                  <c:v>2035.0</c:v>
                </c:pt>
                <c:pt idx="98">
                  <c:v>2035.0</c:v>
                </c:pt>
                <c:pt idx="99">
                  <c:v>2035.0</c:v>
                </c:pt>
                <c:pt idx="100">
                  <c:v>2035.0</c:v>
                </c:pt>
                <c:pt idx="101">
                  <c:v>2035.0</c:v>
                </c:pt>
                <c:pt idx="102">
                  <c:v>2035.0</c:v>
                </c:pt>
                <c:pt idx="103">
                  <c:v>2035.0</c:v>
                </c:pt>
                <c:pt idx="104">
                  <c:v>2035.0</c:v>
                </c:pt>
                <c:pt idx="105">
                  <c:v>2035.0</c:v>
                </c:pt>
                <c:pt idx="106">
                  <c:v>2035.0</c:v>
                </c:pt>
                <c:pt idx="107">
                  <c:v>2035.0</c:v>
                </c:pt>
                <c:pt idx="108">
                  <c:v>2035.0</c:v>
                </c:pt>
                <c:pt idx="109">
                  <c:v>2035.0</c:v>
                </c:pt>
                <c:pt idx="110">
                  <c:v>2035.0</c:v>
                </c:pt>
                <c:pt idx="111">
                  <c:v>2035.0</c:v>
                </c:pt>
                <c:pt idx="112">
                  <c:v>2035.0</c:v>
                </c:pt>
                <c:pt idx="113">
                  <c:v>2035.0</c:v>
                </c:pt>
                <c:pt idx="114">
                  <c:v>2035.0</c:v>
                </c:pt>
                <c:pt idx="115">
                  <c:v>2035.0</c:v>
                </c:pt>
                <c:pt idx="116">
                  <c:v>2035.0</c:v>
                </c:pt>
                <c:pt idx="117">
                  <c:v>2035.0</c:v>
                </c:pt>
                <c:pt idx="118">
                  <c:v>2035.0</c:v>
                </c:pt>
                <c:pt idx="119">
                  <c:v>2035.0</c:v>
                </c:pt>
                <c:pt idx="120">
                  <c:v>2035.0</c:v>
                </c:pt>
                <c:pt idx="121">
                  <c:v>2035.0</c:v>
                </c:pt>
                <c:pt idx="122">
                  <c:v>2035.0</c:v>
                </c:pt>
                <c:pt idx="123">
                  <c:v>2035.0</c:v>
                </c:pt>
                <c:pt idx="124">
                  <c:v>2035.0</c:v>
                </c:pt>
                <c:pt idx="125">
                  <c:v>2035.0</c:v>
                </c:pt>
                <c:pt idx="126">
                  <c:v>2035.0</c:v>
                </c:pt>
                <c:pt idx="127">
                  <c:v>2035.0</c:v>
                </c:pt>
                <c:pt idx="128">
                  <c:v>2035.0</c:v>
                </c:pt>
                <c:pt idx="129">
                  <c:v>2035.0</c:v>
                </c:pt>
                <c:pt idx="130">
                  <c:v>2035.0</c:v>
                </c:pt>
                <c:pt idx="131">
                  <c:v>2035.0</c:v>
                </c:pt>
                <c:pt idx="132">
                  <c:v>2035.0</c:v>
                </c:pt>
                <c:pt idx="133">
                  <c:v>2035.0</c:v>
                </c:pt>
                <c:pt idx="134">
                  <c:v>2035.0</c:v>
                </c:pt>
                <c:pt idx="135">
                  <c:v>2035.0</c:v>
                </c:pt>
                <c:pt idx="136">
                  <c:v>2035.0</c:v>
                </c:pt>
                <c:pt idx="137">
                  <c:v>2035.0</c:v>
                </c:pt>
                <c:pt idx="138">
                  <c:v>2035.0</c:v>
                </c:pt>
                <c:pt idx="139">
                  <c:v>2035.0</c:v>
                </c:pt>
                <c:pt idx="140">
                  <c:v>2035.0</c:v>
                </c:pt>
                <c:pt idx="141">
                  <c:v>2035.0</c:v>
                </c:pt>
                <c:pt idx="142">
                  <c:v>2035.0</c:v>
                </c:pt>
                <c:pt idx="143">
                  <c:v>2035.0</c:v>
                </c:pt>
              </c:numCache>
            </c:num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465.954526731</c:v>
                </c:pt>
                <c:pt idx="13">
                  <c:v>409.272087301</c:v>
                </c:pt>
                <c:pt idx="14">
                  <c:v>528.368360385</c:v>
                </c:pt>
                <c:pt idx="15">
                  <c:v>842.384425177</c:v>
                </c:pt>
                <c:pt idx="16">
                  <c:v>971.503733968</c:v>
                </c:pt>
                <c:pt idx="17">
                  <c:v>1013.96756899</c:v>
                </c:pt>
                <c:pt idx="18">
                  <c:v>1028.48778168</c:v>
                </c:pt>
                <c:pt idx="19">
                  <c:v>1028.35070222</c:v>
                </c:pt>
                <c:pt idx="20">
                  <c:v>1019.49326034</c:v>
                </c:pt>
                <c:pt idx="21">
                  <c:v>1092.46472285</c:v>
                </c:pt>
                <c:pt idx="22">
                  <c:v>945.61672193</c:v>
                </c:pt>
                <c:pt idx="23">
                  <c:v>654.087211542</c:v>
                </c:pt>
                <c:pt idx="24">
                  <c:v>457.563221957</c:v>
                </c:pt>
                <c:pt idx="25">
                  <c:v>379.203231246</c:v>
                </c:pt>
                <c:pt idx="26">
                  <c:v>407.20166863</c:v>
                </c:pt>
                <c:pt idx="27">
                  <c:v>577.989534005</c:v>
                </c:pt>
                <c:pt idx="28">
                  <c:v>808.970010222</c:v>
                </c:pt>
                <c:pt idx="29">
                  <c:v>870.890173717</c:v>
                </c:pt>
                <c:pt idx="30">
                  <c:v>874.153468205</c:v>
                </c:pt>
                <c:pt idx="31">
                  <c:v>847.402721685</c:v>
                </c:pt>
                <c:pt idx="32">
                  <c:v>861.388257537</c:v>
                </c:pt>
                <c:pt idx="33">
                  <c:v>925.8176111290001</c:v>
                </c:pt>
                <c:pt idx="34">
                  <c:v>849.966726827</c:v>
                </c:pt>
                <c:pt idx="35">
                  <c:v>655.211547631</c:v>
                </c:pt>
                <c:pt idx="36">
                  <c:v>459.303340717</c:v>
                </c:pt>
                <c:pt idx="37">
                  <c:v>404.09781627</c:v>
                </c:pt>
                <c:pt idx="38">
                  <c:v>497.312012166</c:v>
                </c:pt>
                <c:pt idx="39">
                  <c:v>823.055617456</c:v>
                </c:pt>
                <c:pt idx="40">
                  <c:v>975.885789936</c:v>
                </c:pt>
                <c:pt idx="41">
                  <c:v>1058.22882844</c:v>
                </c:pt>
                <c:pt idx="42">
                  <c:v>1086.9308902</c:v>
                </c:pt>
                <c:pt idx="43">
                  <c:v>1083.24858457</c:v>
                </c:pt>
                <c:pt idx="44">
                  <c:v>1053.2247455</c:v>
                </c:pt>
                <c:pt idx="45">
                  <c:v>1097.59961545</c:v>
                </c:pt>
                <c:pt idx="46">
                  <c:v>1009.76711788</c:v>
                </c:pt>
                <c:pt idx="47">
                  <c:v>697.875419412</c:v>
                </c:pt>
                <c:pt idx="48">
                  <c:v>534.716695855</c:v>
                </c:pt>
                <c:pt idx="49">
                  <c:v>421.242019528</c:v>
                </c:pt>
                <c:pt idx="50">
                  <c:v>413.632268512</c:v>
                </c:pt>
                <c:pt idx="51">
                  <c:v>571.216151792</c:v>
                </c:pt>
                <c:pt idx="52">
                  <c:v>805.528462226</c:v>
                </c:pt>
                <c:pt idx="53">
                  <c:v>914.245276279</c:v>
                </c:pt>
                <c:pt idx="54">
                  <c:v>921.6219587419999</c:v>
                </c:pt>
                <c:pt idx="55">
                  <c:v>943.299510023</c:v>
                </c:pt>
                <c:pt idx="56">
                  <c:v>962.893001637</c:v>
                </c:pt>
                <c:pt idx="57">
                  <c:v>964.195507546</c:v>
                </c:pt>
                <c:pt idx="58">
                  <c:v>969.84455367</c:v>
                </c:pt>
                <c:pt idx="59">
                  <c:v>734.407990833</c:v>
                </c:pt>
                <c:pt idx="60">
                  <c:v>538.8678972819999</c:v>
                </c:pt>
                <c:pt idx="61">
                  <c:v>498.04032332</c:v>
                </c:pt>
                <c:pt idx="62">
                  <c:v>588.624300909</c:v>
                </c:pt>
                <c:pt idx="63">
                  <c:v>907.098048656</c:v>
                </c:pt>
                <c:pt idx="64">
                  <c:v>1100.16232894</c:v>
                </c:pt>
                <c:pt idx="65">
                  <c:v>1177.24509548</c:v>
                </c:pt>
                <c:pt idx="66">
                  <c:v>1206.50003818</c:v>
                </c:pt>
                <c:pt idx="67">
                  <c:v>1216.66988634</c:v>
                </c:pt>
                <c:pt idx="68">
                  <c:v>1184.06983282</c:v>
                </c:pt>
                <c:pt idx="69">
                  <c:v>1122.2148366</c:v>
                </c:pt>
                <c:pt idx="70">
                  <c:v>1079.79579533</c:v>
                </c:pt>
                <c:pt idx="71">
                  <c:v>796.498150912</c:v>
                </c:pt>
                <c:pt idx="72">
                  <c:v>583.7552276070001</c:v>
                </c:pt>
                <c:pt idx="73">
                  <c:v>497.59520312</c:v>
                </c:pt>
                <c:pt idx="74">
                  <c:v>519.701714634</c:v>
                </c:pt>
                <c:pt idx="75">
                  <c:v>673.97509078</c:v>
                </c:pt>
                <c:pt idx="76">
                  <c:v>954.669518822</c:v>
                </c:pt>
                <c:pt idx="77">
                  <c:v>1042.92021699</c:v>
                </c:pt>
                <c:pt idx="78">
                  <c:v>1043.20340794</c:v>
                </c:pt>
                <c:pt idx="79">
                  <c:v>1026.07397744</c:v>
                </c:pt>
                <c:pt idx="80">
                  <c:v>1040.64069446</c:v>
                </c:pt>
                <c:pt idx="81">
                  <c:v>1010.63035635</c:v>
                </c:pt>
                <c:pt idx="82">
                  <c:v>996.387333183</c:v>
                </c:pt>
                <c:pt idx="83">
                  <c:v>800.26129768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567.286603441</c:v>
                </c:pt>
                <c:pt idx="97">
                  <c:v>491.674042496</c:v>
                </c:pt>
                <c:pt idx="98">
                  <c:v>504.541449139</c:v>
                </c:pt>
                <c:pt idx="99">
                  <c:v>615.451539765</c:v>
                </c:pt>
                <c:pt idx="100">
                  <c:v>855.372397701</c:v>
                </c:pt>
                <c:pt idx="101">
                  <c:v>965.972295445</c:v>
                </c:pt>
                <c:pt idx="102">
                  <c:v>980.215483258</c:v>
                </c:pt>
                <c:pt idx="103">
                  <c:v>968.103307373</c:v>
                </c:pt>
                <c:pt idx="104">
                  <c:v>994.768699307</c:v>
                </c:pt>
                <c:pt idx="105">
                  <c:v>1115.59244907</c:v>
                </c:pt>
                <c:pt idx="106">
                  <c:v>981.685606529</c:v>
                </c:pt>
                <c:pt idx="107">
                  <c:v>738.797417799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472.727908944</c:v>
                </c:pt>
                <c:pt idx="133">
                  <c:v>413.467739688</c:v>
                </c:pt>
                <c:pt idx="134">
                  <c:v>502.371801943</c:v>
                </c:pt>
                <c:pt idx="135">
                  <c:v>837.9967946</c:v>
                </c:pt>
                <c:pt idx="136">
                  <c:v>966.320824949</c:v>
                </c:pt>
                <c:pt idx="137">
                  <c:v>1045.43492005</c:v>
                </c:pt>
                <c:pt idx="138">
                  <c:v>1045.27039123</c:v>
                </c:pt>
                <c:pt idx="139">
                  <c:v>1013.88522089</c:v>
                </c:pt>
                <c:pt idx="140">
                  <c:v>1040.96502506</c:v>
                </c:pt>
                <c:pt idx="141">
                  <c:v>1042.2265243</c:v>
                </c:pt>
                <c:pt idx="142">
                  <c:v>908.5688644750001</c:v>
                </c:pt>
                <c:pt idx="143">
                  <c:v>710.851999072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291352"/>
        <c:axId val="2053287560"/>
      </c:lineChart>
      <c:catAx>
        <c:axId val="20532913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0532875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532875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3291352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33770928084255"/>
          <c:y val="0.258750247696021"/>
          <c:w val="0.264565008471731"/>
          <c:h val="0.395123393224336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0.44241411525224</c:v>
                </c:pt>
                <c:pt idx="1">
                  <c:v>0.699999999999999</c:v>
                </c:pt>
                <c:pt idx="2">
                  <c:v>1.0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0.4</c:v>
                </c:pt>
                <c:pt idx="3">
                  <c:v>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479464"/>
        <c:axId val="2054476104"/>
      </c:lineChart>
      <c:catAx>
        <c:axId val="205447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4476104"/>
        <c:crosses val="autoZero"/>
        <c:auto val="1"/>
        <c:lblAlgn val="ctr"/>
        <c:lblOffset val="100"/>
        <c:noMultiLvlLbl val="0"/>
      </c:catAx>
      <c:valAx>
        <c:axId val="2054476104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44794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48150202341079"/>
          <c:y val="0.18708366929796"/>
          <c:w val="0.703335811253838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0.151440491038277</c:v>
                </c:pt>
                <c:pt idx="1">
                  <c:v>0.139761341295481</c:v>
                </c:pt>
                <c:pt idx="2">
                  <c:v>0.228455035231894</c:v>
                </c:pt>
                <c:pt idx="3">
                  <c:v>0.235990494231465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267480"/>
        <c:axId val="2053264120"/>
      </c:lineChart>
      <c:catAx>
        <c:axId val="205326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3264120"/>
        <c:crosses val="autoZero"/>
        <c:auto val="1"/>
        <c:lblAlgn val="ctr"/>
        <c:lblOffset val="100"/>
        <c:noMultiLvlLbl val="0"/>
      </c:catAx>
      <c:valAx>
        <c:axId val="2053264120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32674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428.599999999999</c:v>
                </c:pt>
                <c:pt idx="2">
                  <c:v>77.8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404.833355613319</c:v>
                </c:pt>
                <c:pt idx="3">
                  <c:v>404.833355613319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150.0</c:v>
                </c:pt>
                <c:pt idx="2">
                  <c:v>350.0</c:v>
                </c:pt>
                <c:pt idx="3">
                  <c:v>350.0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196.74461619398</c:v>
                </c:pt>
                <c:pt idx="1">
                  <c:v>196.74461619398</c:v>
                </c:pt>
                <c:pt idx="2">
                  <c:v>233.100659618234</c:v>
                </c:pt>
                <c:pt idx="3">
                  <c:v>233.100659618234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710.704715186828</c:v>
                </c:pt>
                <c:pt idx="1">
                  <c:v>1362.60953392856</c:v>
                </c:pt>
                <c:pt idx="2">
                  <c:v>3603.71902799453</c:v>
                </c:pt>
                <c:pt idx="3">
                  <c:v>3603.71902799453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357656"/>
        <c:axId val="2054354392"/>
      </c:areaChart>
      <c:catAx>
        <c:axId val="205435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4354392"/>
        <c:crosses val="autoZero"/>
        <c:auto val="1"/>
        <c:lblAlgn val="ctr"/>
        <c:lblOffset val="100"/>
        <c:noMultiLvlLbl val="0"/>
      </c:catAx>
      <c:valAx>
        <c:axId val="20543543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435765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10407678322622"/>
          <c:y val="0.0934926904474415"/>
          <c:w val="0.389592321677378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54.7364940365055</c:v>
                </c:pt>
                <c:pt idx="2">
                  <c:v>39.10209965872638</c:v>
                </c:pt>
                <c:pt idx="3">
                  <c:v>33.84677198439078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172.5062208066031</c:v>
                </c:pt>
                <c:pt idx="1">
                  <c:v>94.3848934357535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12.59276603111051</c:v>
                </c:pt>
                <c:pt idx="2">
                  <c:v>18.37550443135779</c:v>
                </c:pt>
                <c:pt idx="3">
                  <c:v>5.180613219561749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119.750645646718</c:v>
                </c:pt>
                <c:pt idx="2">
                  <c:v>1.28292438401129E-15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145.6549431001333</c:v>
                </c:pt>
                <c:pt idx="1">
                  <c:v>55.70944729847008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1.023232234008904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65.15466548921317</c:v>
                </c:pt>
                <c:pt idx="1">
                  <c:v>64.8679950143095</c:v>
                </c:pt>
                <c:pt idx="2">
                  <c:v>50.95060565093535</c:v>
                </c:pt>
                <c:pt idx="3">
                  <c:v>62.38942715176525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269.3264400858891</c:v>
                </c:pt>
                <c:pt idx="1">
                  <c:v>497.4410464736029</c:v>
                </c:pt>
                <c:pt idx="2">
                  <c:v>860.485391293302</c:v>
                </c:pt>
                <c:pt idx="3">
                  <c:v>805.1249427801626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50376"/>
        <c:axId val="2053147016"/>
      </c:areaChart>
      <c:catAx>
        <c:axId val="2053150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3147016"/>
        <c:crosses val="autoZero"/>
        <c:auto val="1"/>
        <c:lblAlgn val="ctr"/>
        <c:lblOffset val="100"/>
        <c:noMultiLvlLbl val="0"/>
      </c:catAx>
      <c:valAx>
        <c:axId val="20531470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315037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2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579784</xdr:colOff>
      <xdr:row>7</xdr:row>
      <xdr:rowOff>111829</xdr:rowOff>
    </xdr:from>
    <xdr:to>
      <xdr:col>13</xdr:col>
      <xdr:colOff>41413</xdr:colOff>
      <xdr:row>25</xdr:row>
      <xdr:rowOff>55218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579783</xdr:colOff>
      <xdr:row>25</xdr:row>
      <xdr:rowOff>110435</xdr:rowOff>
    </xdr:from>
    <xdr:to>
      <xdr:col>12</xdr:col>
      <xdr:colOff>690218</xdr:colOff>
      <xdr:row>43</xdr:row>
      <xdr:rowOff>110434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785191</xdr:colOff>
      <xdr:row>11</xdr:row>
      <xdr:rowOff>27610</xdr:rowOff>
    </xdr:from>
    <xdr:to>
      <xdr:col>16</xdr:col>
      <xdr:colOff>483152</xdr:colOff>
      <xdr:row>24</xdr:row>
      <xdr:rowOff>69022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27609</xdr:colOff>
      <xdr:row>3</xdr:row>
      <xdr:rowOff>151849</xdr:rowOff>
    </xdr:from>
    <xdr:to>
      <xdr:col>16</xdr:col>
      <xdr:colOff>248478</xdr:colOff>
      <xdr:row>6</xdr:row>
      <xdr:rowOff>179457</xdr:rowOff>
    </xdr:to>
    <xdr:sp macro="" textlink="$H$3">
      <xdr:nvSpPr>
        <xdr:cNvPr id="2" name="TextBox 1"/>
        <xdr:cNvSpPr txBox="1"/>
      </xdr:nvSpPr>
      <xdr:spPr>
        <a:xfrm>
          <a:off x="27609" y="745436"/>
          <a:ext cx="13473043" cy="648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EC13F68-2040-2045-9A41-3F1013B4C2BF}" type="TxLink">
            <a:rPr lang="en-US" sz="3600" b="1"/>
            <a:pPr algn="ctr"/>
            <a:t>rps_2030_2_bio_3_ph_test</a:t>
          </a:fld>
          <a:endParaRPr lang="en-US" sz="3600"/>
        </a:p>
      </xdr:txBody>
    </xdr:sp>
    <xdr:clientData/>
  </xdr:twoCellAnchor>
  <xdr:twoCellAnchor>
    <xdr:from>
      <xdr:col>13</xdr:col>
      <xdr:colOff>41414</xdr:colOff>
      <xdr:row>7</xdr:row>
      <xdr:rowOff>110436</xdr:rowOff>
    </xdr:from>
    <xdr:to>
      <xdr:col>16</xdr:col>
      <xdr:colOff>276087</xdr:colOff>
      <xdr:row>10</xdr:row>
      <xdr:rowOff>154424</xdr:rowOff>
    </xdr:to>
    <xdr:sp macro="" textlink="summary!G10">
      <xdr:nvSpPr>
        <xdr:cNvPr id="9" name="TextBox 8"/>
        <xdr:cNvSpPr txBox="1"/>
      </xdr:nvSpPr>
      <xdr:spPr>
        <a:xfrm>
          <a:off x="10808805" y="1532284"/>
          <a:ext cx="2719456" cy="62377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3241ED0-4686-3745-A327-4D3C792C2AC6}" type="TxLink">
            <a:rPr lang="en-US" sz="1600" b="0"/>
            <a:pPr algn="l"/>
            <a:t>Average renewables: 79.1%
Average cost: $0.182/kWh</a:t>
          </a:fld>
          <a:endParaRPr lang="en-US" sz="1600" b="0"/>
        </a:p>
      </xdr:txBody>
    </xdr:sp>
    <xdr:clientData/>
  </xdr:twoCellAnchor>
  <xdr:twoCellAnchor>
    <xdr:from>
      <xdr:col>12</xdr:col>
      <xdr:colOff>800652</xdr:colOff>
      <xdr:row>25</xdr:row>
      <xdr:rowOff>13805</xdr:rowOff>
    </xdr:from>
    <xdr:to>
      <xdr:col>16</xdr:col>
      <xdr:colOff>498613</xdr:colOff>
      <xdr:row>39</xdr:row>
      <xdr:rowOff>115448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55217</xdr:rowOff>
    </xdr:from>
    <xdr:to>
      <xdr:col>4</xdr:col>
      <xdr:colOff>524566</xdr:colOff>
      <xdr:row>23</xdr:row>
      <xdr:rowOff>41412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23</xdr:row>
      <xdr:rowOff>110434</xdr:rowOff>
    </xdr:from>
    <xdr:to>
      <xdr:col>4</xdr:col>
      <xdr:colOff>510762</xdr:colOff>
      <xdr:row>42</xdr:row>
      <xdr:rowOff>69021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51353</xdr:colOff>
          <xdr:row>1</xdr:row>
          <xdr:rowOff>108227</xdr:rowOff>
        </xdr:from>
        <xdr:to>
          <xdr:col>11</xdr:col>
          <xdr:colOff>610153</xdr:colOff>
          <xdr:row>3</xdr:row>
          <xdr:rowOff>80066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P544" activePane="bottomRight" state="frozenSplit"/>
      <selection activeCell="A2" sqref="A2"/>
      <selection pane="topRight" activeCell="R2" sqref="R2"/>
      <selection pane="bottomLeft" activeCell="O3" sqref="O3"/>
      <selection pane="bottomRight" activeCell="Q544" sqref="Q544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12.1640625" customWidth="1"/>
    <col min="5" max="5" width="11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0" width="8.83203125" customWidth="1"/>
    <col min="11" max="16" width="12.1640625" customWidth="1"/>
    <col min="17" max="17" width="14" customWidth="1"/>
    <col min="18" max="18" width="15.1640625" customWidth="1"/>
    <col min="19" max="19" width="20.6640625" customWidth="1"/>
    <col min="20" max="20" width="14.1640625" customWidth="1"/>
    <col min="21" max="21" width="11.33203125" customWidth="1"/>
    <col min="22" max="22" width="13" customWidth="1"/>
    <col min="23" max="23" width="17.33203125" customWidth="1"/>
    <col min="24" max="24" width="16" customWidth="1"/>
    <col min="25" max="25" width="12.83203125" customWidth="1"/>
    <col min="26" max="26" width="9.1640625" customWidth="1"/>
    <col min="27" max="28" width="12.1640625" bestFit="1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22</v>
      </c>
      <c r="X2" t="s">
        <v>20</v>
      </c>
      <c r="Y2" t="s">
        <v>12</v>
      </c>
      <c r="Z2" t="s">
        <v>45</v>
      </c>
      <c r="AA2" s="3"/>
      <c r="AB2" s="3"/>
      <c r="AC2" s="3"/>
      <c r="AD2" s="3"/>
      <c r="AE2" s="3"/>
    </row>
    <row r="3" spans="1:31">
      <c r="A3" t="s">
        <v>13</v>
      </c>
      <c r="B3">
        <v>2020</v>
      </c>
      <c r="C3" t="s">
        <v>141</v>
      </c>
      <c r="D3">
        <v>175.98873458899399</v>
      </c>
      <c r="E3">
        <v>0</v>
      </c>
      <c r="F3">
        <v>0</v>
      </c>
      <c r="G3">
        <v>248.928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85.681419336334599</v>
      </c>
      <c r="N3">
        <v>0</v>
      </c>
      <c r="O3">
        <v>0</v>
      </c>
      <c r="P3" s="1">
        <v>0</v>
      </c>
      <c r="Q3">
        <v>746.39815392532796</v>
      </c>
      <c r="R3">
        <v>0</v>
      </c>
      <c r="S3">
        <v>0</v>
      </c>
      <c r="T3">
        <v>528.55312327499996</v>
      </c>
      <c r="U3">
        <v>0</v>
      </c>
      <c r="V3">
        <v>0</v>
      </c>
      <c r="W3">
        <v>0</v>
      </c>
      <c r="X3">
        <v>217.845030650328</v>
      </c>
      <c r="Y3">
        <v>166.91962553905</v>
      </c>
      <c r="Z3" t="s">
        <v>51</v>
      </c>
      <c r="AA3" s="2"/>
      <c r="AB3" s="2"/>
      <c r="AC3" s="2"/>
      <c r="AD3" s="2"/>
      <c r="AE3" s="2"/>
    </row>
    <row r="4" spans="1:31">
      <c r="A4" t="s">
        <v>13</v>
      </c>
      <c r="B4">
        <v>2020</v>
      </c>
      <c r="C4" t="s">
        <v>142</v>
      </c>
      <c r="D4">
        <v>175.98873458899399</v>
      </c>
      <c r="E4">
        <v>0</v>
      </c>
      <c r="F4">
        <v>0</v>
      </c>
      <c r="G4">
        <v>248.928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63.957751238610903</v>
      </c>
      <c r="N4">
        <v>0</v>
      </c>
      <c r="O4">
        <v>0</v>
      </c>
      <c r="P4">
        <v>0</v>
      </c>
      <c r="Q4">
        <v>724.67448582760505</v>
      </c>
      <c r="R4">
        <v>0</v>
      </c>
      <c r="S4">
        <v>0</v>
      </c>
      <c r="T4">
        <v>464.98761069300002</v>
      </c>
      <c r="U4">
        <v>0</v>
      </c>
      <c r="V4">
        <v>0</v>
      </c>
      <c r="W4">
        <v>0</v>
      </c>
      <c r="X4">
        <v>259.68687513460497</v>
      </c>
      <c r="Y4">
        <v>166.91962553905</v>
      </c>
      <c r="Z4" t="s">
        <v>51</v>
      </c>
      <c r="AA4" s="2"/>
      <c r="AB4" s="2"/>
      <c r="AC4" s="2"/>
      <c r="AD4" s="2"/>
      <c r="AE4" s="2"/>
    </row>
    <row r="5" spans="1:31">
      <c r="A5" t="s">
        <v>13</v>
      </c>
      <c r="B5">
        <v>2020</v>
      </c>
      <c r="C5" t="s">
        <v>143</v>
      </c>
      <c r="D5">
        <v>175.98873458899399</v>
      </c>
      <c r="E5">
        <v>0</v>
      </c>
      <c r="F5">
        <v>0</v>
      </c>
      <c r="G5">
        <v>248.928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79.571905855999304</v>
      </c>
      <c r="N5">
        <v>0</v>
      </c>
      <c r="O5">
        <v>0</v>
      </c>
      <c r="P5">
        <v>0</v>
      </c>
      <c r="Q5">
        <v>740.28864044499301</v>
      </c>
      <c r="R5">
        <v>0</v>
      </c>
      <c r="S5">
        <v>0</v>
      </c>
      <c r="T5">
        <v>562.89297263599997</v>
      </c>
      <c r="U5">
        <v>0</v>
      </c>
      <c r="V5">
        <v>0</v>
      </c>
      <c r="W5">
        <v>0</v>
      </c>
      <c r="X5">
        <v>177.39566780899301</v>
      </c>
      <c r="Y5">
        <v>166.91962553905</v>
      </c>
      <c r="Z5" t="s">
        <v>51</v>
      </c>
      <c r="AA5" s="2"/>
      <c r="AB5" s="2"/>
      <c r="AC5" s="2"/>
      <c r="AD5" s="2"/>
      <c r="AE5" s="2"/>
    </row>
    <row r="6" spans="1:31">
      <c r="A6" t="s">
        <v>13</v>
      </c>
      <c r="B6">
        <v>2020</v>
      </c>
      <c r="C6" t="s">
        <v>144</v>
      </c>
      <c r="D6">
        <v>175.98873458899399</v>
      </c>
      <c r="E6">
        <v>0</v>
      </c>
      <c r="F6">
        <v>0</v>
      </c>
      <c r="G6">
        <v>248.928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37.7950212027784</v>
      </c>
      <c r="N6">
        <v>0</v>
      </c>
      <c r="O6">
        <v>0</v>
      </c>
      <c r="P6">
        <v>0</v>
      </c>
      <c r="Q6">
        <v>698.51175579177198</v>
      </c>
      <c r="R6">
        <v>0</v>
      </c>
      <c r="S6">
        <v>0</v>
      </c>
      <c r="T6">
        <v>899.07387908099997</v>
      </c>
      <c r="U6">
        <v>0</v>
      </c>
      <c r="V6">
        <v>0</v>
      </c>
      <c r="W6">
        <v>0</v>
      </c>
      <c r="X6">
        <v>-200.562123289227</v>
      </c>
      <c r="Y6">
        <v>166.91962553905</v>
      </c>
      <c r="Z6" t="s">
        <v>51</v>
      </c>
      <c r="AA6" s="2"/>
      <c r="AB6" s="2"/>
      <c r="AC6" s="2"/>
      <c r="AD6" s="2"/>
      <c r="AE6" s="2"/>
    </row>
    <row r="7" spans="1:31">
      <c r="A7" t="s">
        <v>13</v>
      </c>
      <c r="B7">
        <v>2020</v>
      </c>
      <c r="C7" t="s">
        <v>145</v>
      </c>
      <c r="D7">
        <v>175.98873458899399</v>
      </c>
      <c r="E7">
        <v>0</v>
      </c>
      <c r="F7">
        <v>0</v>
      </c>
      <c r="G7">
        <v>281.16844001996901</v>
      </c>
      <c r="H7">
        <v>178.2</v>
      </c>
      <c r="I7">
        <v>0</v>
      </c>
      <c r="J7">
        <v>0</v>
      </c>
      <c r="K7">
        <v>57.599999999999902</v>
      </c>
      <c r="L7">
        <v>183.597669882188</v>
      </c>
      <c r="M7">
        <v>67.777842778620098</v>
      </c>
      <c r="N7">
        <v>0</v>
      </c>
      <c r="O7">
        <v>0</v>
      </c>
      <c r="P7">
        <v>0</v>
      </c>
      <c r="Q7">
        <v>944.33268726977201</v>
      </c>
      <c r="R7">
        <v>0</v>
      </c>
      <c r="S7">
        <v>0</v>
      </c>
      <c r="T7">
        <v>1002.54045906</v>
      </c>
      <c r="U7">
        <v>0</v>
      </c>
      <c r="V7">
        <v>0</v>
      </c>
      <c r="W7">
        <v>0</v>
      </c>
      <c r="X7">
        <v>-58.207771790227099</v>
      </c>
      <c r="Y7">
        <v>166.91962553905</v>
      </c>
      <c r="Z7" t="s">
        <v>51</v>
      </c>
      <c r="AA7" s="2"/>
      <c r="AB7" s="2"/>
      <c r="AC7" s="2"/>
      <c r="AD7" s="2"/>
      <c r="AE7" s="2"/>
    </row>
    <row r="8" spans="1:31">
      <c r="A8" t="s">
        <v>13</v>
      </c>
      <c r="B8">
        <v>2020</v>
      </c>
      <c r="C8" t="s">
        <v>146</v>
      </c>
      <c r="D8">
        <v>175.98873458899399</v>
      </c>
      <c r="E8">
        <v>0</v>
      </c>
      <c r="F8">
        <v>0</v>
      </c>
      <c r="G8">
        <v>248.928</v>
      </c>
      <c r="H8">
        <v>178.2</v>
      </c>
      <c r="I8">
        <v>0</v>
      </c>
      <c r="J8">
        <v>0</v>
      </c>
      <c r="K8">
        <v>57.599999999999902</v>
      </c>
      <c r="L8">
        <v>398.78004491396598</v>
      </c>
      <c r="M8">
        <v>18.879540716428501</v>
      </c>
      <c r="N8">
        <v>0</v>
      </c>
      <c r="O8">
        <v>0</v>
      </c>
      <c r="P8">
        <v>0</v>
      </c>
      <c r="Q8">
        <v>1078.37632021938</v>
      </c>
      <c r="R8">
        <v>0</v>
      </c>
      <c r="S8">
        <v>0</v>
      </c>
      <c r="T8">
        <v>1064.1602474599999</v>
      </c>
      <c r="U8">
        <v>0</v>
      </c>
      <c r="V8">
        <v>0</v>
      </c>
      <c r="W8">
        <v>0</v>
      </c>
      <c r="X8">
        <v>14.216072759388901</v>
      </c>
      <c r="Y8">
        <v>166.91962553905</v>
      </c>
      <c r="Z8" t="s">
        <v>51</v>
      </c>
      <c r="AA8" s="2"/>
      <c r="AB8" s="2"/>
      <c r="AC8" s="2"/>
      <c r="AD8" s="2"/>
      <c r="AE8" s="2"/>
    </row>
    <row r="9" spans="1:31">
      <c r="A9" t="s">
        <v>13</v>
      </c>
      <c r="B9">
        <v>2020</v>
      </c>
      <c r="C9" t="s">
        <v>147</v>
      </c>
      <c r="D9">
        <v>175.98873458899399</v>
      </c>
      <c r="E9">
        <v>0</v>
      </c>
      <c r="F9">
        <v>0</v>
      </c>
      <c r="G9">
        <v>248.928</v>
      </c>
      <c r="H9">
        <v>178.2</v>
      </c>
      <c r="I9">
        <v>0</v>
      </c>
      <c r="J9">
        <v>0</v>
      </c>
      <c r="K9">
        <v>57.599999999999902</v>
      </c>
      <c r="L9">
        <v>446.472059154014</v>
      </c>
      <c r="M9">
        <v>21.4407061020936</v>
      </c>
      <c r="N9">
        <v>0</v>
      </c>
      <c r="O9">
        <v>0</v>
      </c>
      <c r="P9">
        <v>0</v>
      </c>
      <c r="Q9">
        <v>1128.6294998451001</v>
      </c>
      <c r="R9">
        <v>0</v>
      </c>
      <c r="S9">
        <v>0</v>
      </c>
      <c r="T9">
        <v>1072.40341616</v>
      </c>
      <c r="U9">
        <v>0</v>
      </c>
      <c r="V9">
        <v>0</v>
      </c>
      <c r="W9">
        <v>0</v>
      </c>
      <c r="X9">
        <v>56.226083685102601</v>
      </c>
      <c r="Y9">
        <v>166.91962553905</v>
      </c>
      <c r="Z9" t="s">
        <v>51</v>
      </c>
      <c r="AA9" s="2"/>
      <c r="AB9" s="2"/>
      <c r="AC9" s="2"/>
      <c r="AD9" s="2"/>
      <c r="AE9" s="2"/>
    </row>
    <row r="10" spans="1:31">
      <c r="A10" t="s">
        <v>13</v>
      </c>
      <c r="B10">
        <v>2020</v>
      </c>
      <c r="C10" t="s">
        <v>148</v>
      </c>
      <c r="D10">
        <v>175.98873458899399</v>
      </c>
      <c r="E10">
        <v>0</v>
      </c>
      <c r="F10">
        <v>0</v>
      </c>
      <c r="G10">
        <v>248.928</v>
      </c>
      <c r="H10">
        <v>178.2</v>
      </c>
      <c r="I10">
        <v>0</v>
      </c>
      <c r="J10">
        <v>0</v>
      </c>
      <c r="K10">
        <v>57.599999999999902</v>
      </c>
      <c r="L10">
        <v>457.50121357367902</v>
      </c>
      <c r="M10">
        <v>23.7763751000534</v>
      </c>
      <c r="N10">
        <v>0</v>
      </c>
      <c r="O10">
        <v>0</v>
      </c>
      <c r="P10" s="1">
        <v>0</v>
      </c>
      <c r="Q10">
        <v>1141.9943232627199</v>
      </c>
      <c r="R10">
        <v>0</v>
      </c>
      <c r="S10">
        <v>0</v>
      </c>
      <c r="T10">
        <v>1029.93867578</v>
      </c>
      <c r="U10">
        <v>0</v>
      </c>
      <c r="V10">
        <v>0</v>
      </c>
      <c r="W10">
        <v>0</v>
      </c>
      <c r="X10">
        <v>112.055647482727</v>
      </c>
      <c r="Y10">
        <v>166.91962553905</v>
      </c>
      <c r="Z10" t="s">
        <v>51</v>
      </c>
      <c r="AA10" s="2"/>
      <c r="AB10" s="2"/>
      <c r="AC10" s="2"/>
      <c r="AD10" s="2"/>
      <c r="AE10" s="2"/>
    </row>
    <row r="11" spans="1:31">
      <c r="A11" t="s">
        <v>13</v>
      </c>
      <c r="B11">
        <v>2020</v>
      </c>
      <c r="C11" t="s">
        <v>149</v>
      </c>
      <c r="D11">
        <v>175.98873458899399</v>
      </c>
      <c r="E11">
        <v>0</v>
      </c>
      <c r="F11">
        <v>0</v>
      </c>
      <c r="G11">
        <v>248.928</v>
      </c>
      <c r="H11">
        <v>178.2</v>
      </c>
      <c r="I11">
        <v>0</v>
      </c>
      <c r="J11">
        <v>0</v>
      </c>
      <c r="K11">
        <v>57.599999999999902</v>
      </c>
      <c r="L11">
        <v>258.27692453030397</v>
      </c>
      <c r="M11">
        <v>14.9714979591584</v>
      </c>
      <c r="N11">
        <v>0</v>
      </c>
      <c r="O11">
        <v>0</v>
      </c>
      <c r="P11" s="1">
        <v>0</v>
      </c>
      <c r="Q11">
        <v>933.96515707845697</v>
      </c>
      <c r="R11">
        <v>0</v>
      </c>
      <c r="S11">
        <v>0</v>
      </c>
      <c r="T11">
        <v>988.94654883999999</v>
      </c>
      <c r="U11">
        <v>0</v>
      </c>
      <c r="V11">
        <v>0</v>
      </c>
      <c r="W11">
        <v>0</v>
      </c>
      <c r="X11">
        <v>-54.981391761542703</v>
      </c>
      <c r="Y11">
        <v>166.91962553905</v>
      </c>
      <c r="Z11" t="s">
        <v>51</v>
      </c>
      <c r="AA11" s="2"/>
      <c r="AB11" s="2"/>
      <c r="AC11" s="2"/>
      <c r="AD11" s="2"/>
      <c r="AE11" s="2"/>
    </row>
    <row r="12" spans="1:31">
      <c r="A12" t="s">
        <v>13</v>
      </c>
      <c r="B12">
        <v>2020</v>
      </c>
      <c r="C12" t="s">
        <v>150</v>
      </c>
      <c r="D12">
        <v>175.98873458899399</v>
      </c>
      <c r="E12">
        <v>0</v>
      </c>
      <c r="F12">
        <v>0</v>
      </c>
      <c r="G12">
        <v>321.719814856857</v>
      </c>
      <c r="H12">
        <v>178.2</v>
      </c>
      <c r="I12">
        <v>0</v>
      </c>
      <c r="J12">
        <v>0</v>
      </c>
      <c r="K12">
        <v>57.599999999999902</v>
      </c>
      <c r="L12">
        <v>0.51052482655132903</v>
      </c>
      <c r="M12">
        <v>4.24865305059694</v>
      </c>
      <c r="N12">
        <v>0</v>
      </c>
      <c r="O12">
        <v>0</v>
      </c>
      <c r="P12">
        <v>0</v>
      </c>
      <c r="Q12">
        <v>738.26772732299901</v>
      </c>
      <c r="R12">
        <v>0</v>
      </c>
      <c r="S12">
        <v>0</v>
      </c>
      <c r="T12">
        <v>1054.6681818899999</v>
      </c>
      <c r="U12">
        <v>0</v>
      </c>
      <c r="V12">
        <v>0</v>
      </c>
      <c r="W12">
        <v>0</v>
      </c>
      <c r="X12">
        <v>-316.40045456699897</v>
      </c>
      <c r="Y12">
        <v>166.91962553905</v>
      </c>
      <c r="Z12" t="s">
        <v>51</v>
      </c>
      <c r="AA12" s="2"/>
      <c r="AB12" s="2"/>
      <c r="AC12" s="2"/>
      <c r="AD12" s="2"/>
      <c r="AE12" s="2"/>
    </row>
    <row r="13" spans="1:31">
      <c r="A13" t="s">
        <v>13</v>
      </c>
      <c r="B13">
        <v>2020</v>
      </c>
      <c r="C13" t="s">
        <v>151</v>
      </c>
      <c r="D13">
        <v>175.98873458899399</v>
      </c>
      <c r="E13">
        <v>0</v>
      </c>
      <c r="F13">
        <v>0</v>
      </c>
      <c r="G13">
        <v>248.928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12.0562839739314</v>
      </c>
      <c r="N13">
        <v>0</v>
      </c>
      <c r="O13">
        <v>0</v>
      </c>
      <c r="P13">
        <v>0</v>
      </c>
      <c r="Q13">
        <v>672.77301856292502</v>
      </c>
      <c r="R13">
        <v>0</v>
      </c>
      <c r="S13">
        <v>0</v>
      </c>
      <c r="T13">
        <v>907.96123591200001</v>
      </c>
      <c r="U13">
        <v>0</v>
      </c>
      <c r="V13">
        <v>0</v>
      </c>
      <c r="W13">
        <v>0</v>
      </c>
      <c r="X13">
        <v>-235.18821734907399</v>
      </c>
      <c r="Y13">
        <v>166.91962553905</v>
      </c>
      <c r="Z13" t="s">
        <v>51</v>
      </c>
      <c r="AA13" s="2"/>
      <c r="AB13" s="2"/>
      <c r="AC13" s="2"/>
      <c r="AD13" s="2"/>
      <c r="AE13" s="2"/>
    </row>
    <row r="14" spans="1:31">
      <c r="A14" t="s">
        <v>13</v>
      </c>
      <c r="B14">
        <v>2020</v>
      </c>
      <c r="C14" t="s">
        <v>152</v>
      </c>
      <c r="D14">
        <v>175.98873458899399</v>
      </c>
      <c r="E14">
        <v>0</v>
      </c>
      <c r="F14">
        <v>0</v>
      </c>
      <c r="G14">
        <v>248.928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20.331562155930101</v>
      </c>
      <c r="N14">
        <v>0</v>
      </c>
      <c r="O14" s="1">
        <v>0</v>
      </c>
      <c r="P14" s="1">
        <v>0</v>
      </c>
      <c r="Q14">
        <v>681.04829674492396</v>
      </c>
      <c r="R14">
        <v>0</v>
      </c>
      <c r="S14">
        <v>0</v>
      </c>
      <c r="T14">
        <v>653.13371550900001</v>
      </c>
      <c r="U14">
        <v>0</v>
      </c>
      <c r="V14">
        <v>0</v>
      </c>
      <c r="W14">
        <v>0</v>
      </c>
      <c r="X14">
        <v>27.914581235924299</v>
      </c>
      <c r="Y14">
        <v>166.91962553905</v>
      </c>
      <c r="Z14" t="s">
        <v>51</v>
      </c>
      <c r="AA14" s="2"/>
      <c r="AB14" s="2"/>
      <c r="AC14" s="2"/>
      <c r="AD14" s="2"/>
      <c r="AE14" s="2"/>
    </row>
    <row r="15" spans="1:31">
      <c r="A15" t="s">
        <v>13</v>
      </c>
      <c r="B15">
        <v>2020</v>
      </c>
      <c r="C15" t="s">
        <v>237</v>
      </c>
      <c r="D15">
        <v>175.98873458899399</v>
      </c>
      <c r="E15">
        <v>0</v>
      </c>
      <c r="F15">
        <v>0</v>
      </c>
      <c r="G15">
        <v>49.823999999999998</v>
      </c>
      <c r="H15">
        <v>178.2</v>
      </c>
      <c r="I15">
        <v>0</v>
      </c>
      <c r="J15">
        <v>0</v>
      </c>
      <c r="K15">
        <v>57.599999999999902</v>
      </c>
      <c r="L15">
        <v>0</v>
      </c>
      <c r="M15">
        <v>151.08673731580001</v>
      </c>
      <c r="N15">
        <v>0</v>
      </c>
      <c r="O15" s="1">
        <v>0</v>
      </c>
      <c r="P15" s="1">
        <v>0</v>
      </c>
      <c r="Q15">
        <v>612.699471904794</v>
      </c>
      <c r="R15">
        <v>0</v>
      </c>
      <c r="S15">
        <v>0</v>
      </c>
      <c r="T15">
        <v>503.91734458500002</v>
      </c>
      <c r="U15">
        <v>0</v>
      </c>
      <c r="V15">
        <v>0</v>
      </c>
      <c r="W15">
        <v>0</v>
      </c>
      <c r="X15">
        <v>108.782127319794</v>
      </c>
      <c r="Y15">
        <v>164.09091933344499</v>
      </c>
      <c r="Z15" t="s">
        <v>52</v>
      </c>
      <c r="AA15" s="2"/>
      <c r="AB15" s="2"/>
      <c r="AC15" s="2"/>
      <c r="AD15" s="2"/>
      <c r="AE15" s="2"/>
    </row>
    <row r="16" spans="1:31">
      <c r="A16" t="s">
        <v>13</v>
      </c>
      <c r="B16">
        <v>2020</v>
      </c>
      <c r="C16" t="s">
        <v>238</v>
      </c>
      <c r="D16">
        <v>175.98873458899399</v>
      </c>
      <c r="E16">
        <v>0</v>
      </c>
      <c r="F16">
        <v>0</v>
      </c>
      <c r="G16">
        <v>0</v>
      </c>
      <c r="H16">
        <v>178.2</v>
      </c>
      <c r="I16">
        <v>0</v>
      </c>
      <c r="J16">
        <v>0</v>
      </c>
      <c r="K16">
        <v>57.599999999999902</v>
      </c>
      <c r="L16">
        <v>0</v>
      </c>
      <c r="M16">
        <v>146.094540341146</v>
      </c>
      <c r="N16">
        <v>0</v>
      </c>
      <c r="O16" s="1">
        <v>0</v>
      </c>
      <c r="P16">
        <v>0</v>
      </c>
      <c r="Q16">
        <v>557.88327493014003</v>
      </c>
      <c r="R16">
        <v>0</v>
      </c>
      <c r="S16">
        <v>0</v>
      </c>
      <c r="T16">
        <v>450.391290486</v>
      </c>
      <c r="U16">
        <v>0</v>
      </c>
      <c r="V16">
        <v>0</v>
      </c>
      <c r="W16">
        <v>0</v>
      </c>
      <c r="X16">
        <v>107.49198444414</v>
      </c>
      <c r="Y16">
        <v>164.09091933344499</v>
      </c>
      <c r="Z16" t="s">
        <v>52</v>
      </c>
      <c r="AA16" s="2"/>
      <c r="AB16" s="2"/>
      <c r="AC16" s="2"/>
      <c r="AD16" s="2"/>
      <c r="AE16" s="2"/>
    </row>
    <row r="17" spans="1:31">
      <c r="A17" t="s">
        <v>13</v>
      </c>
      <c r="B17">
        <v>2020</v>
      </c>
      <c r="C17" t="s">
        <v>239</v>
      </c>
      <c r="D17">
        <v>175.98873458899399</v>
      </c>
      <c r="E17">
        <v>0</v>
      </c>
      <c r="F17">
        <v>0</v>
      </c>
      <c r="G17">
        <v>0</v>
      </c>
      <c r="H17">
        <v>178.2</v>
      </c>
      <c r="I17">
        <v>0</v>
      </c>
      <c r="J17">
        <v>0</v>
      </c>
      <c r="K17">
        <v>57.599999999999902</v>
      </c>
      <c r="L17">
        <v>0</v>
      </c>
      <c r="M17">
        <v>127.55653838237799</v>
      </c>
      <c r="N17">
        <v>0</v>
      </c>
      <c r="O17" s="1">
        <v>0</v>
      </c>
      <c r="P17">
        <v>0</v>
      </c>
      <c r="Q17">
        <v>539.34527297137197</v>
      </c>
      <c r="R17">
        <v>0</v>
      </c>
      <c r="S17">
        <v>0</v>
      </c>
      <c r="T17">
        <v>554.97094116799997</v>
      </c>
      <c r="U17">
        <v>0</v>
      </c>
      <c r="V17">
        <v>0</v>
      </c>
      <c r="W17">
        <v>0</v>
      </c>
      <c r="X17">
        <v>-15.625668196627499</v>
      </c>
      <c r="Y17">
        <v>164.09091933344499</v>
      </c>
      <c r="Z17" t="s">
        <v>52</v>
      </c>
      <c r="AA17" s="2"/>
      <c r="AB17" s="2"/>
      <c r="AC17" s="2"/>
      <c r="AD17" s="2"/>
      <c r="AE17" s="2"/>
    </row>
    <row r="18" spans="1:31">
      <c r="A18" t="s">
        <v>13</v>
      </c>
      <c r="B18">
        <v>2020</v>
      </c>
      <c r="C18" t="s">
        <v>240</v>
      </c>
      <c r="D18">
        <v>175.98873458899399</v>
      </c>
      <c r="E18">
        <v>0</v>
      </c>
      <c r="F18">
        <v>0</v>
      </c>
      <c r="G18">
        <v>149.37599999999901</v>
      </c>
      <c r="H18">
        <v>178.2</v>
      </c>
      <c r="I18">
        <v>0</v>
      </c>
      <c r="J18">
        <v>0</v>
      </c>
      <c r="K18">
        <v>57.599999999999902</v>
      </c>
      <c r="L18">
        <v>0</v>
      </c>
      <c r="M18">
        <v>145.468489575055</v>
      </c>
      <c r="N18">
        <v>0</v>
      </c>
      <c r="O18">
        <v>0</v>
      </c>
      <c r="P18">
        <v>0</v>
      </c>
      <c r="Q18">
        <v>706.63322416404901</v>
      </c>
      <c r="R18">
        <v>0</v>
      </c>
      <c r="S18">
        <v>0</v>
      </c>
      <c r="T18">
        <v>887.30031024499999</v>
      </c>
      <c r="U18">
        <v>0</v>
      </c>
      <c r="V18">
        <v>0</v>
      </c>
      <c r="W18">
        <v>0</v>
      </c>
      <c r="X18">
        <v>-180.66708608095001</v>
      </c>
      <c r="Y18">
        <v>164.09091933344499</v>
      </c>
      <c r="Z18" t="s">
        <v>52</v>
      </c>
      <c r="AA18" s="2"/>
      <c r="AB18" s="2"/>
      <c r="AC18" s="2"/>
      <c r="AD18" s="2"/>
      <c r="AE18" s="2"/>
    </row>
    <row r="19" spans="1:31">
      <c r="A19" t="s">
        <v>13</v>
      </c>
      <c r="B19">
        <v>2020</v>
      </c>
      <c r="C19" t="s">
        <v>241</v>
      </c>
      <c r="D19">
        <v>175.98873458899399</v>
      </c>
      <c r="E19">
        <v>0</v>
      </c>
      <c r="F19">
        <v>0</v>
      </c>
      <c r="G19">
        <v>0</v>
      </c>
      <c r="H19">
        <v>178.2</v>
      </c>
      <c r="I19">
        <v>0</v>
      </c>
      <c r="J19">
        <v>0</v>
      </c>
      <c r="K19">
        <v>57.599999999999902</v>
      </c>
      <c r="L19">
        <v>462.12320232631998</v>
      </c>
      <c r="M19">
        <v>133.74472108546701</v>
      </c>
      <c r="N19">
        <v>0</v>
      </c>
      <c r="O19">
        <v>0</v>
      </c>
      <c r="P19">
        <v>0</v>
      </c>
      <c r="Q19">
        <v>1007.65665800078</v>
      </c>
      <c r="R19">
        <v>0</v>
      </c>
      <c r="S19">
        <v>0</v>
      </c>
      <c r="T19">
        <v>964.36177797400001</v>
      </c>
      <c r="U19">
        <v>0</v>
      </c>
      <c r="V19">
        <v>0</v>
      </c>
      <c r="W19">
        <v>0</v>
      </c>
      <c r="X19">
        <v>43.294880026782103</v>
      </c>
      <c r="Y19">
        <v>164.09091933344499</v>
      </c>
      <c r="Z19" t="s">
        <v>52</v>
      </c>
      <c r="AA19" s="2"/>
      <c r="AB19" s="2"/>
      <c r="AC19" s="2"/>
      <c r="AD19" s="2"/>
      <c r="AE19" s="2"/>
    </row>
    <row r="20" spans="1:31">
      <c r="A20" t="s">
        <v>13</v>
      </c>
      <c r="B20">
        <v>2020</v>
      </c>
      <c r="C20" t="s">
        <v>242</v>
      </c>
      <c r="D20">
        <v>175.98873458899399</v>
      </c>
      <c r="E20">
        <v>0</v>
      </c>
      <c r="F20">
        <v>0</v>
      </c>
      <c r="G20">
        <v>99.551999999999893</v>
      </c>
      <c r="H20">
        <v>178.2</v>
      </c>
      <c r="I20">
        <v>0</v>
      </c>
      <c r="J20">
        <v>0</v>
      </c>
      <c r="K20">
        <v>57.599999999999902</v>
      </c>
      <c r="L20">
        <v>650.49448732400799</v>
      </c>
      <c r="M20">
        <v>114.458602919174</v>
      </c>
      <c r="N20">
        <v>0</v>
      </c>
      <c r="O20">
        <v>0</v>
      </c>
      <c r="P20">
        <v>0</v>
      </c>
      <c r="Q20">
        <v>1276.29382483217</v>
      </c>
      <c r="R20">
        <v>0</v>
      </c>
      <c r="S20">
        <v>0</v>
      </c>
      <c r="T20">
        <v>1041.0089398099999</v>
      </c>
      <c r="U20">
        <v>0</v>
      </c>
      <c r="V20">
        <v>0</v>
      </c>
      <c r="W20">
        <v>0</v>
      </c>
      <c r="X20">
        <v>235.284885022178</v>
      </c>
      <c r="Y20">
        <v>164.09091933344499</v>
      </c>
      <c r="Z20" t="s">
        <v>52</v>
      </c>
      <c r="AA20" s="2"/>
      <c r="AB20" s="2"/>
      <c r="AC20" s="2"/>
      <c r="AD20" s="2"/>
      <c r="AE20" s="2"/>
    </row>
    <row r="21" spans="1:31">
      <c r="A21" t="s">
        <v>13</v>
      </c>
      <c r="B21">
        <v>2020</v>
      </c>
      <c r="C21" t="s">
        <v>243</v>
      </c>
      <c r="D21">
        <v>175.98873458899399</v>
      </c>
      <c r="E21">
        <v>0</v>
      </c>
      <c r="F21">
        <v>0</v>
      </c>
      <c r="G21">
        <v>128.31409191634799</v>
      </c>
      <c r="H21">
        <v>178.2</v>
      </c>
      <c r="I21">
        <v>0</v>
      </c>
      <c r="J21">
        <v>0</v>
      </c>
      <c r="K21">
        <v>57.599999999999902</v>
      </c>
      <c r="L21">
        <v>699.66547637753195</v>
      </c>
      <c r="M21">
        <v>91.884372431414405</v>
      </c>
      <c r="N21">
        <v>0</v>
      </c>
      <c r="O21">
        <v>0</v>
      </c>
      <c r="P21">
        <v>0</v>
      </c>
      <c r="Q21">
        <v>1331.65267531428</v>
      </c>
      <c r="R21">
        <v>0</v>
      </c>
      <c r="S21">
        <v>0</v>
      </c>
      <c r="T21">
        <v>1048.3329936</v>
      </c>
      <c r="U21">
        <v>0</v>
      </c>
      <c r="V21">
        <v>0</v>
      </c>
      <c r="W21">
        <v>0</v>
      </c>
      <c r="X21">
        <v>283.31968171428798</v>
      </c>
      <c r="Y21">
        <v>164.09091933344499</v>
      </c>
      <c r="Z21" t="s">
        <v>52</v>
      </c>
      <c r="AA21" s="2"/>
      <c r="AB21" s="2"/>
      <c r="AC21" s="2"/>
      <c r="AD21" s="2"/>
      <c r="AE21" s="2"/>
    </row>
    <row r="22" spans="1:31">
      <c r="A22" t="s">
        <v>13</v>
      </c>
      <c r="B22">
        <v>2020</v>
      </c>
      <c r="C22" t="s">
        <v>244</v>
      </c>
      <c r="D22">
        <v>175.98873458899399</v>
      </c>
      <c r="E22">
        <v>0</v>
      </c>
      <c r="F22">
        <v>0</v>
      </c>
      <c r="G22">
        <v>199.2</v>
      </c>
      <c r="H22">
        <v>178.2</v>
      </c>
      <c r="I22">
        <v>0</v>
      </c>
      <c r="J22">
        <v>0</v>
      </c>
      <c r="K22">
        <v>57.599999999999902</v>
      </c>
      <c r="L22">
        <v>624.20606628869905</v>
      </c>
      <c r="M22">
        <v>94.925566845612195</v>
      </c>
      <c r="N22">
        <v>0</v>
      </c>
      <c r="O22">
        <v>0</v>
      </c>
      <c r="P22">
        <v>0</v>
      </c>
      <c r="Q22">
        <v>1330.1203677233</v>
      </c>
      <c r="R22">
        <v>0</v>
      </c>
      <c r="S22">
        <v>0</v>
      </c>
      <c r="T22">
        <v>1060.3345683</v>
      </c>
      <c r="U22">
        <v>0</v>
      </c>
      <c r="V22">
        <v>0</v>
      </c>
      <c r="W22">
        <v>0</v>
      </c>
      <c r="X22">
        <v>269.785799423306</v>
      </c>
      <c r="Y22">
        <v>164.09091933344499</v>
      </c>
      <c r="Z22" t="s">
        <v>52</v>
      </c>
      <c r="AA22" s="2"/>
      <c r="AB22" s="2"/>
      <c r="AC22" s="2"/>
      <c r="AD22" s="2"/>
      <c r="AE22" s="2"/>
    </row>
    <row r="23" spans="1:31">
      <c r="A23" t="s">
        <v>13</v>
      </c>
      <c r="B23">
        <v>2020</v>
      </c>
      <c r="C23" t="s">
        <v>245</v>
      </c>
      <c r="D23">
        <v>175.98873458899399</v>
      </c>
      <c r="E23">
        <v>0</v>
      </c>
      <c r="F23">
        <v>0</v>
      </c>
      <c r="G23">
        <v>0</v>
      </c>
      <c r="H23">
        <v>178.2</v>
      </c>
      <c r="I23">
        <v>0</v>
      </c>
      <c r="J23">
        <v>0</v>
      </c>
      <c r="K23">
        <v>57.599999999999902</v>
      </c>
      <c r="L23">
        <v>594.40392276570503</v>
      </c>
      <c r="M23">
        <v>74.244628568487201</v>
      </c>
      <c r="N23">
        <v>0</v>
      </c>
      <c r="O23">
        <v>0</v>
      </c>
      <c r="P23" s="1">
        <v>0</v>
      </c>
      <c r="Q23">
        <v>1080.4372859231801</v>
      </c>
      <c r="R23">
        <v>0</v>
      </c>
      <c r="S23">
        <v>0</v>
      </c>
      <c r="T23">
        <v>1053.62540678</v>
      </c>
      <c r="U23">
        <v>0</v>
      </c>
      <c r="V23">
        <v>0</v>
      </c>
      <c r="W23">
        <v>0</v>
      </c>
      <c r="X23">
        <v>26.811879143186601</v>
      </c>
      <c r="Y23">
        <v>164.09091933344499</v>
      </c>
      <c r="Z23" t="s">
        <v>52</v>
      </c>
      <c r="AA23" s="2"/>
      <c r="AB23" s="2"/>
      <c r="AC23" s="2"/>
      <c r="AD23" s="2"/>
      <c r="AE23" s="2"/>
    </row>
    <row r="24" spans="1:31">
      <c r="A24" t="s">
        <v>13</v>
      </c>
      <c r="B24">
        <v>2020</v>
      </c>
      <c r="C24" t="s">
        <v>246</v>
      </c>
      <c r="D24">
        <v>175.98873458899399</v>
      </c>
      <c r="E24">
        <v>0</v>
      </c>
      <c r="F24">
        <v>0</v>
      </c>
      <c r="G24">
        <v>288.57946957770798</v>
      </c>
      <c r="H24">
        <v>178.2</v>
      </c>
      <c r="I24">
        <v>0</v>
      </c>
      <c r="J24">
        <v>0</v>
      </c>
      <c r="K24">
        <v>57.599999999999902</v>
      </c>
      <c r="L24">
        <v>1.46871622172917</v>
      </c>
      <c r="M24">
        <v>103.022056750568</v>
      </c>
      <c r="N24">
        <v>0</v>
      </c>
      <c r="O24">
        <v>0</v>
      </c>
      <c r="P24" s="1">
        <v>0</v>
      </c>
      <c r="Q24">
        <v>804.85897713899999</v>
      </c>
      <c r="R24">
        <v>0</v>
      </c>
      <c r="S24">
        <v>0</v>
      </c>
      <c r="T24">
        <v>1149.7985387700001</v>
      </c>
      <c r="U24">
        <v>0</v>
      </c>
      <c r="V24">
        <v>0</v>
      </c>
      <c r="W24">
        <v>0</v>
      </c>
      <c r="X24">
        <v>-344.939561631</v>
      </c>
      <c r="Y24">
        <v>166.91962553905</v>
      </c>
      <c r="Z24" t="s">
        <v>52</v>
      </c>
      <c r="AA24" s="2"/>
      <c r="AB24" s="2"/>
      <c r="AC24" s="2"/>
      <c r="AD24" s="2"/>
      <c r="AE24" s="2"/>
    </row>
    <row r="25" spans="1:31">
      <c r="A25" t="s">
        <v>13</v>
      </c>
      <c r="B25">
        <v>2020</v>
      </c>
      <c r="C25" t="s">
        <v>247</v>
      </c>
      <c r="D25">
        <v>175.98873458899399</v>
      </c>
      <c r="E25">
        <v>0</v>
      </c>
      <c r="F25">
        <v>0</v>
      </c>
      <c r="G25">
        <v>219.17580121469501</v>
      </c>
      <c r="H25">
        <v>178.2</v>
      </c>
      <c r="I25">
        <v>0</v>
      </c>
      <c r="J25">
        <v>0</v>
      </c>
      <c r="K25">
        <v>57.599999999999902</v>
      </c>
      <c r="L25">
        <v>0</v>
      </c>
      <c r="M25">
        <v>86.908246900310303</v>
      </c>
      <c r="N25">
        <v>0</v>
      </c>
      <c r="O25">
        <v>0</v>
      </c>
      <c r="P25">
        <v>0</v>
      </c>
      <c r="Q25">
        <v>717.87278270399895</v>
      </c>
      <c r="R25">
        <v>0</v>
      </c>
      <c r="S25">
        <v>0</v>
      </c>
      <c r="T25">
        <v>1025.53254672</v>
      </c>
      <c r="U25">
        <v>0</v>
      </c>
      <c r="V25">
        <v>0</v>
      </c>
      <c r="W25">
        <v>0</v>
      </c>
      <c r="X25">
        <v>-307.659764016</v>
      </c>
      <c r="Y25">
        <v>164.09091933344499</v>
      </c>
      <c r="Z25" t="s">
        <v>52</v>
      </c>
      <c r="AA25" s="2"/>
      <c r="AB25" s="2"/>
      <c r="AC25" s="2"/>
      <c r="AD25" s="2"/>
      <c r="AE25" s="2"/>
    </row>
    <row r="26" spans="1:31">
      <c r="A26" t="s">
        <v>13</v>
      </c>
      <c r="B26">
        <v>2020</v>
      </c>
      <c r="C26" t="s">
        <v>248</v>
      </c>
      <c r="D26">
        <v>175.98873458899399</v>
      </c>
      <c r="E26">
        <v>0</v>
      </c>
      <c r="F26">
        <v>0</v>
      </c>
      <c r="G26">
        <v>18.328462802911002</v>
      </c>
      <c r="H26">
        <v>178.2</v>
      </c>
      <c r="I26">
        <v>0</v>
      </c>
      <c r="J26">
        <v>0</v>
      </c>
      <c r="K26">
        <v>57.599999999999902</v>
      </c>
      <c r="L26">
        <v>0</v>
      </c>
      <c r="M26">
        <v>96.934169335994497</v>
      </c>
      <c r="N26">
        <v>0</v>
      </c>
      <c r="O26">
        <v>0</v>
      </c>
      <c r="P26">
        <v>0</v>
      </c>
      <c r="Q26">
        <v>527.05136672789899</v>
      </c>
      <c r="R26">
        <v>0</v>
      </c>
      <c r="S26">
        <v>0</v>
      </c>
      <c r="T26">
        <v>752.93052389699994</v>
      </c>
      <c r="U26">
        <v>0</v>
      </c>
      <c r="V26">
        <v>0</v>
      </c>
      <c r="W26">
        <v>0</v>
      </c>
      <c r="X26">
        <v>-225.87915716909899</v>
      </c>
      <c r="Y26">
        <v>164.09091933344499</v>
      </c>
      <c r="Z26" t="s">
        <v>52</v>
      </c>
      <c r="AA26" s="2"/>
      <c r="AB26" s="2"/>
      <c r="AC26" s="2"/>
      <c r="AD26" s="2"/>
      <c r="AE26" s="2"/>
    </row>
    <row r="27" spans="1:31">
      <c r="A27" t="s">
        <v>13</v>
      </c>
      <c r="B27">
        <v>2020</v>
      </c>
      <c r="C27" t="s">
        <v>153</v>
      </c>
      <c r="D27">
        <v>175.98873458899399</v>
      </c>
      <c r="E27">
        <v>0</v>
      </c>
      <c r="F27">
        <v>0</v>
      </c>
      <c r="G27">
        <v>0</v>
      </c>
      <c r="H27">
        <v>178.2</v>
      </c>
      <c r="I27">
        <v>0</v>
      </c>
      <c r="J27">
        <v>0</v>
      </c>
      <c r="K27">
        <v>57.599999999999902</v>
      </c>
      <c r="L27">
        <v>0</v>
      </c>
      <c r="M27">
        <v>46.803955976043802</v>
      </c>
      <c r="N27">
        <v>0</v>
      </c>
      <c r="O27">
        <v>0</v>
      </c>
      <c r="P27">
        <v>0</v>
      </c>
      <c r="Q27">
        <v>458.59269056503803</v>
      </c>
      <c r="R27">
        <v>0</v>
      </c>
      <c r="S27">
        <v>0</v>
      </c>
      <c r="T27">
        <v>478.08193007199998</v>
      </c>
      <c r="U27">
        <v>0</v>
      </c>
      <c r="V27">
        <v>0</v>
      </c>
      <c r="W27">
        <v>0</v>
      </c>
      <c r="X27">
        <v>-19.489239506961901</v>
      </c>
      <c r="Y27">
        <v>164.09091933344499</v>
      </c>
      <c r="Z27" t="s">
        <v>52</v>
      </c>
      <c r="AA27" s="2"/>
      <c r="AB27" s="2"/>
      <c r="AC27" s="2"/>
      <c r="AD27" s="2"/>
      <c r="AE27" s="2"/>
    </row>
    <row r="28" spans="1:31">
      <c r="A28" t="s">
        <v>13</v>
      </c>
      <c r="B28">
        <v>2020</v>
      </c>
      <c r="C28" t="s">
        <v>154</v>
      </c>
      <c r="D28">
        <v>175.98873458899399</v>
      </c>
      <c r="E28">
        <v>0</v>
      </c>
      <c r="F28">
        <v>0</v>
      </c>
      <c r="G28">
        <v>49.823999999999998</v>
      </c>
      <c r="H28">
        <v>178.2</v>
      </c>
      <c r="I28">
        <v>0</v>
      </c>
      <c r="J28">
        <v>0</v>
      </c>
      <c r="K28">
        <v>57.599999999999902</v>
      </c>
      <c r="L28">
        <v>0</v>
      </c>
      <c r="M28">
        <v>49.049374214137302</v>
      </c>
      <c r="N28">
        <v>0</v>
      </c>
      <c r="O28">
        <v>0</v>
      </c>
      <c r="P28" s="1">
        <v>0</v>
      </c>
      <c r="Q28">
        <v>510.66210880313099</v>
      </c>
      <c r="R28">
        <v>0</v>
      </c>
      <c r="S28">
        <v>0</v>
      </c>
      <c r="T28">
        <v>424.27143827999998</v>
      </c>
      <c r="U28">
        <v>0</v>
      </c>
      <c r="V28">
        <v>0</v>
      </c>
      <c r="W28">
        <v>0</v>
      </c>
      <c r="X28">
        <v>86.390670523131604</v>
      </c>
      <c r="Y28">
        <v>164.09091933344499</v>
      </c>
      <c r="Z28" t="s">
        <v>52</v>
      </c>
      <c r="AA28" s="2"/>
      <c r="AB28" s="2"/>
      <c r="AC28" s="2"/>
      <c r="AD28" s="2"/>
      <c r="AE28" s="2"/>
    </row>
    <row r="29" spans="1:31">
      <c r="A29" t="s">
        <v>13</v>
      </c>
      <c r="B29">
        <v>2020</v>
      </c>
      <c r="C29" t="s">
        <v>155</v>
      </c>
      <c r="D29">
        <v>175.98873458899399</v>
      </c>
      <c r="E29">
        <v>0</v>
      </c>
      <c r="F29">
        <v>0</v>
      </c>
      <c r="G29">
        <v>49.727999999999902</v>
      </c>
      <c r="H29">
        <v>178.2</v>
      </c>
      <c r="I29">
        <v>0</v>
      </c>
      <c r="J29">
        <v>0</v>
      </c>
      <c r="K29">
        <v>57.599999999999902</v>
      </c>
      <c r="L29">
        <v>0</v>
      </c>
      <c r="M29">
        <v>24.982759106658001</v>
      </c>
      <c r="N29">
        <v>0</v>
      </c>
      <c r="O29">
        <v>0</v>
      </c>
      <c r="P29" s="1">
        <v>0</v>
      </c>
      <c r="Q29">
        <v>486.49949369565201</v>
      </c>
      <c r="R29">
        <v>0</v>
      </c>
      <c r="S29">
        <v>0</v>
      </c>
      <c r="T29">
        <v>515.13012993100006</v>
      </c>
      <c r="U29">
        <v>0</v>
      </c>
      <c r="V29">
        <v>0</v>
      </c>
      <c r="W29">
        <v>0</v>
      </c>
      <c r="X29">
        <v>-28.630636235347701</v>
      </c>
      <c r="Y29">
        <v>164.09091933344499</v>
      </c>
      <c r="Z29" t="s">
        <v>52</v>
      </c>
      <c r="AA29" s="2"/>
      <c r="AB29" s="2"/>
      <c r="AC29" s="2"/>
      <c r="AD29" s="2"/>
      <c r="AE29" s="2"/>
    </row>
    <row r="30" spans="1:31">
      <c r="A30" t="s">
        <v>13</v>
      </c>
      <c r="B30">
        <v>2020</v>
      </c>
      <c r="C30" t="s">
        <v>156</v>
      </c>
      <c r="D30">
        <v>175.98873458899399</v>
      </c>
      <c r="E30">
        <v>0</v>
      </c>
      <c r="F30">
        <v>0</v>
      </c>
      <c r="G30">
        <v>107.917717649301</v>
      </c>
      <c r="H30">
        <v>178.2</v>
      </c>
      <c r="I30">
        <v>0</v>
      </c>
      <c r="J30">
        <v>0</v>
      </c>
      <c r="K30">
        <v>57.599999999999902</v>
      </c>
      <c r="L30">
        <v>23.842491390586002</v>
      </c>
      <c r="M30">
        <v>39.300637613018502</v>
      </c>
      <c r="N30">
        <v>0</v>
      </c>
      <c r="O30">
        <v>0</v>
      </c>
      <c r="P30" s="1">
        <v>0</v>
      </c>
      <c r="Q30">
        <v>582.84958124189995</v>
      </c>
      <c r="R30">
        <v>0</v>
      </c>
      <c r="S30">
        <v>0</v>
      </c>
      <c r="T30">
        <v>832.64225891700005</v>
      </c>
      <c r="U30">
        <v>0</v>
      </c>
      <c r="V30">
        <v>0</v>
      </c>
      <c r="W30">
        <v>0</v>
      </c>
      <c r="X30">
        <v>-249.79267767510001</v>
      </c>
      <c r="Y30">
        <v>164.09091933344499</v>
      </c>
      <c r="Z30" t="s">
        <v>52</v>
      </c>
      <c r="AA30" s="2"/>
      <c r="AB30" s="2"/>
      <c r="AC30" s="2"/>
      <c r="AD30" s="2"/>
      <c r="AE30" s="2"/>
    </row>
    <row r="31" spans="1:31">
      <c r="A31" t="s">
        <v>13</v>
      </c>
      <c r="B31">
        <v>2020</v>
      </c>
      <c r="C31" t="s">
        <v>157</v>
      </c>
      <c r="D31">
        <v>175.98873458899399</v>
      </c>
      <c r="E31">
        <v>0</v>
      </c>
      <c r="F31">
        <v>0</v>
      </c>
      <c r="G31">
        <v>0</v>
      </c>
      <c r="H31">
        <v>178.2</v>
      </c>
      <c r="I31">
        <v>0</v>
      </c>
      <c r="J31">
        <v>0</v>
      </c>
      <c r="K31">
        <v>57.599999999999902</v>
      </c>
      <c r="L31">
        <v>614.29766433489601</v>
      </c>
      <c r="M31">
        <v>37.372364479275198</v>
      </c>
      <c r="N31">
        <v>0</v>
      </c>
      <c r="O31">
        <v>0</v>
      </c>
      <c r="P31">
        <v>0</v>
      </c>
      <c r="Q31">
        <v>1063.45876340316</v>
      </c>
      <c r="R31">
        <v>0</v>
      </c>
      <c r="S31">
        <v>0</v>
      </c>
      <c r="T31">
        <v>981.61044324800002</v>
      </c>
      <c r="U31">
        <v>0</v>
      </c>
      <c r="V31">
        <v>0</v>
      </c>
      <c r="W31">
        <v>0</v>
      </c>
      <c r="X31">
        <v>81.848320155165695</v>
      </c>
      <c r="Y31">
        <v>164.09091933344499</v>
      </c>
      <c r="Z31" t="s">
        <v>52</v>
      </c>
      <c r="AA31" s="2"/>
      <c r="AB31" s="2"/>
      <c r="AC31" s="2"/>
      <c r="AD31" s="2"/>
      <c r="AE31" s="2"/>
    </row>
    <row r="32" spans="1:31">
      <c r="A32" t="s">
        <v>13</v>
      </c>
      <c r="B32">
        <v>2020</v>
      </c>
      <c r="C32" t="s">
        <v>158</v>
      </c>
      <c r="D32">
        <v>175.98873458899399</v>
      </c>
      <c r="E32">
        <v>0</v>
      </c>
      <c r="F32">
        <v>0</v>
      </c>
      <c r="G32">
        <v>77.155389492977605</v>
      </c>
      <c r="H32">
        <v>178.2</v>
      </c>
      <c r="I32">
        <v>0</v>
      </c>
      <c r="J32">
        <v>0</v>
      </c>
      <c r="K32">
        <v>57.599999999999902</v>
      </c>
      <c r="L32">
        <v>816.26215900413797</v>
      </c>
      <c r="M32">
        <v>43.543925391987003</v>
      </c>
      <c r="N32">
        <v>0</v>
      </c>
      <c r="O32">
        <v>0</v>
      </c>
      <c r="P32">
        <v>0</v>
      </c>
      <c r="Q32">
        <v>1348.7502084780899</v>
      </c>
      <c r="R32">
        <v>0</v>
      </c>
      <c r="S32">
        <v>0</v>
      </c>
      <c r="T32">
        <v>1061.8726895</v>
      </c>
      <c r="U32">
        <v>0</v>
      </c>
      <c r="V32">
        <v>0</v>
      </c>
      <c r="W32">
        <v>0</v>
      </c>
      <c r="X32">
        <v>286.87751897809699</v>
      </c>
      <c r="Y32">
        <v>164.09091933344499</v>
      </c>
      <c r="Z32" t="s">
        <v>52</v>
      </c>
      <c r="AA32" s="2"/>
      <c r="AB32" s="2"/>
      <c r="AC32" s="2"/>
      <c r="AD32" s="2"/>
      <c r="AE32" s="2"/>
    </row>
    <row r="33" spans="1:31">
      <c r="A33" t="s">
        <v>13</v>
      </c>
      <c r="B33">
        <v>2020</v>
      </c>
      <c r="C33" t="s">
        <v>159</v>
      </c>
      <c r="D33">
        <v>175.98873458899399</v>
      </c>
      <c r="E33">
        <v>0</v>
      </c>
      <c r="F33">
        <v>0</v>
      </c>
      <c r="G33">
        <v>0</v>
      </c>
      <c r="H33">
        <v>178.2</v>
      </c>
      <c r="I33">
        <v>0</v>
      </c>
      <c r="J33">
        <v>0</v>
      </c>
      <c r="K33">
        <v>57.599999999999902</v>
      </c>
      <c r="L33">
        <v>843.27353016105997</v>
      </c>
      <c r="M33">
        <v>50.5237172292113</v>
      </c>
      <c r="N33">
        <v>0</v>
      </c>
      <c r="O33">
        <v>0</v>
      </c>
      <c r="P33">
        <v>0</v>
      </c>
      <c r="Q33">
        <v>1305.5859819792599</v>
      </c>
      <c r="R33">
        <v>0</v>
      </c>
      <c r="S33">
        <v>0</v>
      </c>
      <c r="T33">
        <v>1089.8494558499999</v>
      </c>
      <c r="U33">
        <v>0</v>
      </c>
      <c r="V33">
        <v>0</v>
      </c>
      <c r="W33">
        <v>0</v>
      </c>
      <c r="X33">
        <v>215.736526129265</v>
      </c>
      <c r="Y33">
        <v>164.09091933344499</v>
      </c>
      <c r="Z33" t="s">
        <v>52</v>
      </c>
      <c r="AA33" s="2"/>
      <c r="AB33" s="2"/>
      <c r="AC33" s="2"/>
      <c r="AD33" s="2"/>
      <c r="AE33" s="2"/>
    </row>
    <row r="34" spans="1:31">
      <c r="A34" t="s">
        <v>13</v>
      </c>
      <c r="B34">
        <v>2020</v>
      </c>
      <c r="C34" t="s">
        <v>160</v>
      </c>
      <c r="D34">
        <v>175.98873458899399</v>
      </c>
      <c r="E34">
        <v>0</v>
      </c>
      <c r="F34">
        <v>0</v>
      </c>
      <c r="G34">
        <v>49.823999999999998</v>
      </c>
      <c r="H34">
        <v>178.2</v>
      </c>
      <c r="I34">
        <v>0</v>
      </c>
      <c r="J34">
        <v>0</v>
      </c>
      <c r="K34">
        <v>57.599999999999902</v>
      </c>
      <c r="L34">
        <v>827.958077982997</v>
      </c>
      <c r="M34">
        <v>56.4941584968253</v>
      </c>
      <c r="N34">
        <v>0</v>
      </c>
      <c r="O34">
        <v>0</v>
      </c>
      <c r="P34">
        <v>0</v>
      </c>
      <c r="Q34">
        <v>1346.0649710688101</v>
      </c>
      <c r="R34">
        <v>0</v>
      </c>
      <c r="S34">
        <v>0</v>
      </c>
      <c r="T34">
        <v>1086.2602013600001</v>
      </c>
      <c r="U34">
        <v>0</v>
      </c>
      <c r="V34">
        <v>0</v>
      </c>
      <c r="W34">
        <v>0</v>
      </c>
      <c r="X34">
        <v>259.80476970881602</v>
      </c>
      <c r="Y34">
        <v>164.09091933344499</v>
      </c>
      <c r="Z34" t="s">
        <v>52</v>
      </c>
      <c r="AA34" s="2"/>
      <c r="AB34" s="2"/>
      <c r="AC34" s="2"/>
      <c r="AD34" s="2"/>
      <c r="AE34" s="2"/>
    </row>
    <row r="35" spans="1:31">
      <c r="A35" t="s">
        <v>13</v>
      </c>
      <c r="B35">
        <v>2020</v>
      </c>
      <c r="C35" t="s">
        <v>161</v>
      </c>
      <c r="D35">
        <v>175.98873458899399</v>
      </c>
      <c r="E35">
        <v>0</v>
      </c>
      <c r="F35">
        <v>0</v>
      </c>
      <c r="G35">
        <v>0</v>
      </c>
      <c r="H35">
        <v>178.2</v>
      </c>
      <c r="I35">
        <v>0</v>
      </c>
      <c r="J35">
        <v>0</v>
      </c>
      <c r="K35">
        <v>57.599999999999902</v>
      </c>
      <c r="L35">
        <v>712.63773983890906</v>
      </c>
      <c r="M35">
        <v>42.816275039595901</v>
      </c>
      <c r="N35">
        <v>0</v>
      </c>
      <c r="O35">
        <v>0</v>
      </c>
      <c r="P35">
        <v>0</v>
      </c>
      <c r="Q35">
        <v>1167.2427494675001</v>
      </c>
      <c r="R35">
        <v>0</v>
      </c>
      <c r="S35">
        <v>0</v>
      </c>
      <c r="T35">
        <v>1056.9950587400001</v>
      </c>
      <c r="U35">
        <v>0</v>
      </c>
      <c r="V35">
        <v>0</v>
      </c>
      <c r="W35">
        <v>0</v>
      </c>
      <c r="X35">
        <v>110.24769072749901</v>
      </c>
      <c r="Y35">
        <v>164.09091933344499</v>
      </c>
      <c r="Z35" t="s">
        <v>52</v>
      </c>
      <c r="AA35" s="2"/>
      <c r="AB35" s="2"/>
      <c r="AC35" s="2"/>
      <c r="AD35" s="2"/>
      <c r="AE35" s="2"/>
    </row>
    <row r="36" spans="1:31">
      <c r="A36" t="s">
        <v>13</v>
      </c>
      <c r="B36">
        <v>2020</v>
      </c>
      <c r="C36" t="s">
        <v>162</v>
      </c>
      <c r="D36">
        <v>175.98873458899399</v>
      </c>
      <c r="E36">
        <v>0</v>
      </c>
      <c r="F36">
        <v>0</v>
      </c>
      <c r="G36">
        <v>209.84254035299301</v>
      </c>
      <c r="H36">
        <v>178.2</v>
      </c>
      <c r="I36">
        <v>0</v>
      </c>
      <c r="J36">
        <v>0</v>
      </c>
      <c r="K36">
        <v>57.599999999999902</v>
      </c>
      <c r="L36">
        <v>75.477996445031394</v>
      </c>
      <c r="M36">
        <v>73.064737783980405</v>
      </c>
      <c r="N36">
        <v>0</v>
      </c>
      <c r="O36">
        <v>0</v>
      </c>
      <c r="P36">
        <v>0</v>
      </c>
      <c r="Q36">
        <v>770.17400917099906</v>
      </c>
      <c r="R36">
        <v>0</v>
      </c>
      <c r="S36">
        <v>0</v>
      </c>
      <c r="T36">
        <v>1100.24858453</v>
      </c>
      <c r="U36">
        <v>0</v>
      </c>
      <c r="V36">
        <v>0</v>
      </c>
      <c r="W36">
        <v>0</v>
      </c>
      <c r="X36">
        <v>-330.07457535899999</v>
      </c>
      <c r="Y36">
        <v>164.09091933344499</v>
      </c>
      <c r="Z36" t="s">
        <v>52</v>
      </c>
      <c r="AA36" s="2"/>
      <c r="AB36" s="2"/>
      <c r="AC36" s="2"/>
      <c r="AD36" s="2"/>
      <c r="AE36" s="2"/>
    </row>
    <row r="37" spans="1:31">
      <c r="A37" t="s">
        <v>13</v>
      </c>
      <c r="B37">
        <v>2020</v>
      </c>
      <c r="C37" t="s">
        <v>163</v>
      </c>
      <c r="D37">
        <v>175.98873458899399</v>
      </c>
      <c r="E37">
        <v>0</v>
      </c>
      <c r="F37">
        <v>0</v>
      </c>
      <c r="G37">
        <v>214.44022658546399</v>
      </c>
      <c r="H37">
        <v>178.2</v>
      </c>
      <c r="I37">
        <v>0</v>
      </c>
      <c r="J37">
        <v>0</v>
      </c>
      <c r="K37">
        <v>57.599999999999902</v>
      </c>
      <c r="L37">
        <v>0</v>
      </c>
      <c r="M37">
        <v>84.015956550540807</v>
      </c>
      <c r="N37">
        <v>0</v>
      </c>
      <c r="O37">
        <v>0</v>
      </c>
      <c r="P37">
        <v>0</v>
      </c>
      <c r="Q37">
        <v>710.24491772500005</v>
      </c>
      <c r="R37">
        <v>0</v>
      </c>
      <c r="S37">
        <v>0</v>
      </c>
      <c r="T37">
        <v>1014.63559675</v>
      </c>
      <c r="U37">
        <v>0</v>
      </c>
      <c r="V37">
        <v>0</v>
      </c>
      <c r="W37">
        <v>0</v>
      </c>
      <c r="X37">
        <v>-304.390679025</v>
      </c>
      <c r="Y37">
        <v>164.09091933344499</v>
      </c>
      <c r="Z37" t="s">
        <v>52</v>
      </c>
      <c r="AA37" s="2"/>
      <c r="AB37" s="2"/>
      <c r="AC37" s="2"/>
      <c r="AD37" s="2"/>
      <c r="AE37" s="2"/>
    </row>
    <row r="38" spans="1:31">
      <c r="A38" t="s">
        <v>13</v>
      </c>
      <c r="B38">
        <v>2020</v>
      </c>
      <c r="C38" t="s">
        <v>164</v>
      </c>
      <c r="D38">
        <v>175.98873458899399</v>
      </c>
      <c r="E38">
        <v>0</v>
      </c>
      <c r="F38">
        <v>0</v>
      </c>
      <c r="G38">
        <v>99.551999999999893</v>
      </c>
      <c r="H38">
        <v>178.2</v>
      </c>
      <c r="I38">
        <v>0</v>
      </c>
      <c r="J38">
        <v>0</v>
      </c>
      <c r="K38">
        <v>57.599999999999902</v>
      </c>
      <c r="L38">
        <v>0</v>
      </c>
      <c r="M38">
        <v>90.756916642438597</v>
      </c>
      <c r="N38">
        <v>0</v>
      </c>
      <c r="O38">
        <v>0</v>
      </c>
      <c r="P38">
        <v>0</v>
      </c>
      <c r="Q38">
        <v>602.097651231432</v>
      </c>
      <c r="R38">
        <v>0</v>
      </c>
      <c r="S38">
        <v>0</v>
      </c>
      <c r="T38">
        <v>710.62533965199998</v>
      </c>
      <c r="U38">
        <v>0</v>
      </c>
      <c r="V38">
        <v>0</v>
      </c>
      <c r="W38">
        <v>0</v>
      </c>
      <c r="X38">
        <v>-108.527688420567</v>
      </c>
      <c r="Y38">
        <v>164.09091933344499</v>
      </c>
      <c r="Z38" t="s">
        <v>52</v>
      </c>
      <c r="AA38" s="2"/>
      <c r="AB38" s="2"/>
      <c r="AC38" s="2"/>
      <c r="AD38" s="2"/>
      <c r="AE38" s="2"/>
    </row>
    <row r="39" spans="1:31">
      <c r="A39" t="s">
        <v>13</v>
      </c>
      <c r="B39">
        <v>2020</v>
      </c>
      <c r="C39" t="s">
        <v>249</v>
      </c>
      <c r="D39">
        <v>175.98873458899399</v>
      </c>
      <c r="E39">
        <v>0</v>
      </c>
      <c r="F39">
        <v>0</v>
      </c>
      <c r="G39">
        <v>49.823999999999998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34.983487666570603</v>
      </c>
      <c r="N39">
        <v>0</v>
      </c>
      <c r="O39">
        <v>0</v>
      </c>
      <c r="P39">
        <v>0</v>
      </c>
      <c r="Q39">
        <v>496.59622225556399</v>
      </c>
      <c r="R39">
        <v>0</v>
      </c>
      <c r="S39">
        <v>0</v>
      </c>
      <c r="T39">
        <v>487.238004252</v>
      </c>
      <c r="U39">
        <v>0</v>
      </c>
      <c r="V39">
        <v>0</v>
      </c>
      <c r="W39">
        <v>0</v>
      </c>
      <c r="X39">
        <v>9.3582180035649802</v>
      </c>
      <c r="Y39">
        <v>164.09091933344499</v>
      </c>
      <c r="Z39" t="s">
        <v>51</v>
      </c>
      <c r="AA39" s="2"/>
      <c r="AB39" s="2"/>
      <c r="AC39" s="2"/>
      <c r="AD39" s="2"/>
      <c r="AE39" s="2"/>
    </row>
    <row r="40" spans="1:31">
      <c r="A40" t="s">
        <v>13</v>
      </c>
      <c r="B40">
        <v>2020</v>
      </c>
      <c r="C40" t="s">
        <v>250</v>
      </c>
      <c r="D40">
        <v>175.98873458899399</v>
      </c>
      <c r="E40">
        <v>0</v>
      </c>
      <c r="F40">
        <v>0</v>
      </c>
      <c r="G40">
        <v>199.2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13.0068553703221</v>
      </c>
      <c r="N40">
        <v>0</v>
      </c>
      <c r="O40">
        <v>0</v>
      </c>
      <c r="P40">
        <v>0</v>
      </c>
      <c r="Q40">
        <v>623.99558995931602</v>
      </c>
      <c r="R40">
        <v>0</v>
      </c>
      <c r="S40">
        <v>0</v>
      </c>
      <c r="T40">
        <v>428.59328604699999</v>
      </c>
      <c r="U40">
        <v>0</v>
      </c>
      <c r="V40">
        <v>0</v>
      </c>
      <c r="W40">
        <v>0</v>
      </c>
      <c r="X40">
        <v>195.402303912316</v>
      </c>
      <c r="Y40">
        <v>164.09091933344499</v>
      </c>
      <c r="Z40" t="s">
        <v>51</v>
      </c>
      <c r="AA40" s="2"/>
      <c r="AB40" s="2"/>
      <c r="AC40" s="2"/>
      <c r="AD40" s="2"/>
      <c r="AE40" s="2"/>
    </row>
    <row r="41" spans="1:31">
      <c r="A41" t="s">
        <v>13</v>
      </c>
      <c r="B41">
        <v>2020</v>
      </c>
      <c r="C41" t="s">
        <v>251</v>
      </c>
      <c r="D41">
        <v>175.98873458899399</v>
      </c>
      <c r="E41">
        <v>0</v>
      </c>
      <c r="F41">
        <v>0</v>
      </c>
      <c r="G41">
        <v>199.2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9.1154124389968398</v>
      </c>
      <c r="N41">
        <v>0</v>
      </c>
      <c r="O41">
        <v>0</v>
      </c>
      <c r="P41">
        <v>0</v>
      </c>
      <c r="Q41">
        <v>620.10414702799096</v>
      </c>
      <c r="R41">
        <v>0</v>
      </c>
      <c r="S41">
        <v>0</v>
      </c>
      <c r="T41">
        <v>507.92678806100002</v>
      </c>
      <c r="U41">
        <v>0</v>
      </c>
      <c r="V41">
        <v>0</v>
      </c>
      <c r="W41">
        <v>0</v>
      </c>
      <c r="X41">
        <v>112.17735896699099</v>
      </c>
      <c r="Y41">
        <v>164.09091933344499</v>
      </c>
      <c r="Z41" t="s">
        <v>51</v>
      </c>
      <c r="AA41" s="2"/>
      <c r="AB41" s="2"/>
      <c r="AC41" s="2"/>
      <c r="AD41" s="2"/>
      <c r="AE41" s="2"/>
    </row>
    <row r="42" spans="1:31">
      <c r="A42" t="s">
        <v>13</v>
      </c>
      <c r="B42">
        <v>2020</v>
      </c>
      <c r="C42" t="s">
        <v>252</v>
      </c>
      <c r="D42">
        <v>175.98873458899399</v>
      </c>
      <c r="E42">
        <v>0</v>
      </c>
      <c r="F42">
        <v>0</v>
      </c>
      <c r="G42">
        <v>75.8438981914571</v>
      </c>
      <c r="H42">
        <v>178.2</v>
      </c>
      <c r="I42">
        <v>0</v>
      </c>
      <c r="J42">
        <v>0</v>
      </c>
      <c r="K42">
        <v>57.599999999999902</v>
      </c>
      <c r="L42">
        <v>53.432764452227602</v>
      </c>
      <c r="M42">
        <v>27.056001246920701</v>
      </c>
      <c r="N42">
        <v>0</v>
      </c>
      <c r="O42">
        <v>0</v>
      </c>
      <c r="P42">
        <v>0</v>
      </c>
      <c r="Q42">
        <v>568.12139847959895</v>
      </c>
      <c r="R42">
        <v>0</v>
      </c>
      <c r="S42">
        <v>0</v>
      </c>
      <c r="T42">
        <v>811.60199782799998</v>
      </c>
      <c r="U42">
        <v>0</v>
      </c>
      <c r="V42">
        <v>0</v>
      </c>
      <c r="W42">
        <v>0</v>
      </c>
      <c r="X42">
        <v>-243.48059934839901</v>
      </c>
      <c r="Y42">
        <v>164.09091933344499</v>
      </c>
      <c r="Z42" t="s">
        <v>51</v>
      </c>
      <c r="AA42" s="2"/>
      <c r="AB42" s="2"/>
      <c r="AC42" s="2"/>
      <c r="AD42" s="2"/>
      <c r="AE42" s="2"/>
    </row>
    <row r="43" spans="1:31">
      <c r="A43" t="s">
        <v>13</v>
      </c>
      <c r="B43">
        <v>2020</v>
      </c>
      <c r="C43" t="s">
        <v>253</v>
      </c>
      <c r="D43">
        <v>175.98873458899399</v>
      </c>
      <c r="E43">
        <v>0</v>
      </c>
      <c r="F43">
        <v>0</v>
      </c>
      <c r="G43">
        <v>99.551999999999893</v>
      </c>
      <c r="H43">
        <v>178.2</v>
      </c>
      <c r="I43">
        <v>0</v>
      </c>
      <c r="J43">
        <v>0</v>
      </c>
      <c r="K43">
        <v>57.599999999999902</v>
      </c>
      <c r="L43">
        <v>605.63544195270003</v>
      </c>
      <c r="M43">
        <v>3.6172560722398499</v>
      </c>
      <c r="N43">
        <v>0</v>
      </c>
      <c r="O43">
        <v>0</v>
      </c>
      <c r="P43">
        <v>0</v>
      </c>
      <c r="Q43">
        <v>1120.59343261393</v>
      </c>
      <c r="R43">
        <v>0</v>
      </c>
      <c r="S43">
        <v>0</v>
      </c>
      <c r="T43">
        <v>976.87122204399998</v>
      </c>
      <c r="U43">
        <v>0</v>
      </c>
      <c r="V43">
        <v>0</v>
      </c>
      <c r="W43">
        <v>0</v>
      </c>
      <c r="X43">
        <v>143.72221056993399</v>
      </c>
      <c r="Y43">
        <v>164.09091933344499</v>
      </c>
      <c r="Z43" t="s">
        <v>51</v>
      </c>
      <c r="AA43" s="2"/>
      <c r="AB43" s="2"/>
      <c r="AC43" s="2"/>
      <c r="AD43" s="2"/>
      <c r="AE43" s="2"/>
    </row>
    <row r="44" spans="1:31">
      <c r="A44" t="s">
        <v>13</v>
      </c>
      <c r="B44">
        <v>2020</v>
      </c>
      <c r="C44" t="s">
        <v>254</v>
      </c>
      <c r="D44">
        <v>175.98873458899399</v>
      </c>
      <c r="E44">
        <v>0</v>
      </c>
      <c r="F44">
        <v>0</v>
      </c>
      <c r="G44">
        <v>99.551999999999893</v>
      </c>
      <c r="H44">
        <v>178.2</v>
      </c>
      <c r="I44">
        <v>0</v>
      </c>
      <c r="J44">
        <v>0</v>
      </c>
      <c r="K44">
        <v>57.599999999999902</v>
      </c>
      <c r="L44">
        <v>718.94245825412202</v>
      </c>
      <c r="M44">
        <v>3.8699207355647798</v>
      </c>
      <c r="N44">
        <v>0</v>
      </c>
      <c r="O44">
        <v>0</v>
      </c>
      <c r="P44">
        <v>0</v>
      </c>
      <c r="Q44">
        <v>1234.1531135786799</v>
      </c>
      <c r="R44">
        <v>0</v>
      </c>
      <c r="S44">
        <v>0</v>
      </c>
      <c r="T44">
        <v>1055.10888129</v>
      </c>
      <c r="U44">
        <v>0</v>
      </c>
      <c r="V44">
        <v>0</v>
      </c>
      <c r="W44">
        <v>0</v>
      </c>
      <c r="X44">
        <v>179.044232288681</v>
      </c>
      <c r="Y44">
        <v>164.09091933344499</v>
      </c>
      <c r="Z44" t="s">
        <v>51</v>
      </c>
      <c r="AA44" s="2"/>
      <c r="AB44" s="2"/>
      <c r="AC44" s="2"/>
      <c r="AD44" s="2"/>
      <c r="AE44" s="2"/>
    </row>
    <row r="45" spans="1:31">
      <c r="A45" t="s">
        <v>13</v>
      </c>
      <c r="B45">
        <v>2020</v>
      </c>
      <c r="C45" t="s">
        <v>255</v>
      </c>
      <c r="D45">
        <v>175.98873458899399</v>
      </c>
      <c r="E45">
        <v>0</v>
      </c>
      <c r="F45">
        <v>0</v>
      </c>
      <c r="G45">
        <v>15.4464197202417</v>
      </c>
      <c r="H45">
        <v>178.2</v>
      </c>
      <c r="I45">
        <v>0</v>
      </c>
      <c r="J45">
        <v>0</v>
      </c>
      <c r="K45">
        <v>57.599999999999902</v>
      </c>
      <c r="L45">
        <v>782.07478761208097</v>
      </c>
      <c r="M45">
        <v>4.3698636595962697</v>
      </c>
      <c r="N45">
        <v>0</v>
      </c>
      <c r="O45">
        <v>0</v>
      </c>
      <c r="P45">
        <v>0</v>
      </c>
      <c r="Q45">
        <v>1213.6798055809099</v>
      </c>
      <c r="R45">
        <v>0</v>
      </c>
      <c r="S45">
        <v>0</v>
      </c>
      <c r="T45">
        <v>1082.4532336</v>
      </c>
      <c r="U45">
        <v>0</v>
      </c>
      <c r="V45">
        <v>0</v>
      </c>
      <c r="W45">
        <v>0</v>
      </c>
      <c r="X45">
        <v>131.22657198091301</v>
      </c>
      <c r="Y45">
        <v>164.09091933344499</v>
      </c>
      <c r="Z45" t="s">
        <v>51</v>
      </c>
      <c r="AA45" s="2"/>
      <c r="AB45" s="2"/>
      <c r="AC45" s="2"/>
      <c r="AD45" s="2"/>
      <c r="AE45" s="2"/>
    </row>
    <row r="46" spans="1:31">
      <c r="A46" t="s">
        <v>13</v>
      </c>
      <c r="B46">
        <v>2020</v>
      </c>
      <c r="C46" t="s">
        <v>256</v>
      </c>
      <c r="D46">
        <v>175.98873458899399</v>
      </c>
      <c r="E46">
        <v>0</v>
      </c>
      <c r="F46">
        <v>0</v>
      </c>
      <c r="G46">
        <v>199.2</v>
      </c>
      <c r="H46">
        <v>178.2</v>
      </c>
      <c r="I46">
        <v>0</v>
      </c>
      <c r="J46">
        <v>0</v>
      </c>
      <c r="K46">
        <v>57.599999999999902</v>
      </c>
      <c r="L46">
        <v>772.17581790254599</v>
      </c>
      <c r="M46">
        <v>4.0490486321249604</v>
      </c>
      <c r="N46">
        <v>0</v>
      </c>
      <c r="O46">
        <v>0</v>
      </c>
      <c r="P46">
        <v>0</v>
      </c>
      <c r="Q46">
        <v>1387.2136011236601</v>
      </c>
      <c r="R46">
        <v>0</v>
      </c>
      <c r="S46">
        <v>0</v>
      </c>
      <c r="T46">
        <v>1088.2135456999999</v>
      </c>
      <c r="U46">
        <v>0</v>
      </c>
      <c r="V46">
        <v>0</v>
      </c>
      <c r="W46">
        <v>0</v>
      </c>
      <c r="X46">
        <v>299.00005542366603</v>
      </c>
      <c r="Y46">
        <v>164.09091933344499</v>
      </c>
      <c r="Z46" t="s">
        <v>51</v>
      </c>
      <c r="AA46" s="2"/>
      <c r="AB46" s="2"/>
      <c r="AC46" s="2"/>
      <c r="AD46" s="2"/>
      <c r="AE46" s="2"/>
    </row>
    <row r="47" spans="1:31">
      <c r="A47" t="s">
        <v>13</v>
      </c>
      <c r="B47">
        <v>2020</v>
      </c>
      <c r="C47" t="s">
        <v>257</v>
      </c>
      <c r="D47">
        <v>175.98873458899399</v>
      </c>
      <c r="E47">
        <v>0</v>
      </c>
      <c r="F47">
        <v>0</v>
      </c>
      <c r="G47">
        <v>0</v>
      </c>
      <c r="H47">
        <v>178.2</v>
      </c>
      <c r="I47">
        <v>0</v>
      </c>
      <c r="J47">
        <v>0</v>
      </c>
      <c r="K47">
        <v>57.599999999999902</v>
      </c>
      <c r="L47">
        <v>665.07922520843795</v>
      </c>
      <c r="M47">
        <v>3.1810355298530699</v>
      </c>
      <c r="N47">
        <v>0</v>
      </c>
      <c r="O47">
        <v>0</v>
      </c>
      <c r="P47">
        <v>0</v>
      </c>
      <c r="Q47">
        <v>1080.04899532728</v>
      </c>
      <c r="R47">
        <v>0</v>
      </c>
      <c r="S47">
        <v>0</v>
      </c>
      <c r="T47">
        <v>1073.12462121</v>
      </c>
      <c r="U47">
        <v>0</v>
      </c>
      <c r="V47">
        <v>0</v>
      </c>
      <c r="W47">
        <v>0</v>
      </c>
      <c r="X47">
        <v>6.9243741172858497</v>
      </c>
      <c r="Y47">
        <v>164.09091933344499</v>
      </c>
      <c r="Z47" t="s">
        <v>51</v>
      </c>
      <c r="AA47" s="2"/>
      <c r="AB47" s="2"/>
      <c r="AC47" s="2"/>
      <c r="AD47" s="2"/>
      <c r="AE47" s="2"/>
    </row>
    <row r="48" spans="1:31">
      <c r="A48" t="s">
        <v>13</v>
      </c>
      <c r="B48">
        <v>2020</v>
      </c>
      <c r="C48" t="s">
        <v>258</v>
      </c>
      <c r="D48">
        <v>175.98873458899399</v>
      </c>
      <c r="E48">
        <v>0</v>
      </c>
      <c r="F48">
        <v>0</v>
      </c>
      <c r="G48">
        <v>248.928</v>
      </c>
      <c r="H48">
        <v>178.2</v>
      </c>
      <c r="I48">
        <v>0</v>
      </c>
      <c r="J48">
        <v>0</v>
      </c>
      <c r="K48">
        <v>57.599999999999902</v>
      </c>
      <c r="L48">
        <v>93.446845101062294</v>
      </c>
      <c r="M48">
        <v>4.57201893883286E-2</v>
      </c>
      <c r="N48">
        <v>0</v>
      </c>
      <c r="O48">
        <v>0</v>
      </c>
      <c r="P48">
        <v>0</v>
      </c>
      <c r="Q48">
        <v>754.20929987944396</v>
      </c>
      <c r="R48">
        <v>0</v>
      </c>
      <c r="S48">
        <v>0</v>
      </c>
      <c r="T48">
        <v>1074.74187435</v>
      </c>
      <c r="U48">
        <v>0</v>
      </c>
      <c r="V48">
        <v>0</v>
      </c>
      <c r="W48">
        <v>0</v>
      </c>
      <c r="X48">
        <v>-320.53257447055501</v>
      </c>
      <c r="Y48">
        <v>164.09091933344499</v>
      </c>
      <c r="Z48" t="s">
        <v>51</v>
      </c>
      <c r="AA48" s="2"/>
      <c r="AB48" s="2"/>
      <c r="AC48" s="2"/>
      <c r="AD48" s="2"/>
      <c r="AE48" s="2"/>
    </row>
    <row r="49" spans="1:31">
      <c r="A49" t="s">
        <v>13</v>
      </c>
      <c r="B49">
        <v>2020</v>
      </c>
      <c r="C49" t="s">
        <v>259</v>
      </c>
      <c r="D49">
        <v>175.98873458899399</v>
      </c>
      <c r="E49">
        <v>0</v>
      </c>
      <c r="F49">
        <v>0</v>
      </c>
      <c r="G49">
        <v>287.91208776230098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1.3158870204159E-2</v>
      </c>
      <c r="N49">
        <v>0</v>
      </c>
      <c r="O49">
        <v>0</v>
      </c>
      <c r="P49">
        <v>0</v>
      </c>
      <c r="Q49">
        <v>699.71398122150003</v>
      </c>
      <c r="R49">
        <v>0</v>
      </c>
      <c r="S49">
        <v>0</v>
      </c>
      <c r="T49">
        <v>999.59140174499998</v>
      </c>
      <c r="U49">
        <v>0</v>
      </c>
      <c r="V49">
        <v>0</v>
      </c>
      <c r="W49">
        <v>0</v>
      </c>
      <c r="X49">
        <v>-299.87742052350001</v>
      </c>
      <c r="Y49">
        <v>166.91962553905</v>
      </c>
      <c r="Z49" t="s">
        <v>51</v>
      </c>
      <c r="AA49" s="2"/>
      <c r="AB49" s="2"/>
      <c r="AC49" s="2"/>
      <c r="AD49" s="2"/>
      <c r="AE49" s="2"/>
    </row>
    <row r="50" spans="1:31">
      <c r="A50" t="s">
        <v>13</v>
      </c>
      <c r="B50">
        <v>2020</v>
      </c>
      <c r="C50" t="s">
        <v>260</v>
      </c>
      <c r="D50">
        <v>175.98873458899399</v>
      </c>
      <c r="E50">
        <v>0</v>
      </c>
      <c r="F50">
        <v>0</v>
      </c>
      <c r="G50">
        <v>84.384067250094603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0.74490364301105505</v>
      </c>
      <c r="N50">
        <v>0</v>
      </c>
      <c r="O50">
        <v>0</v>
      </c>
      <c r="P50">
        <v>0</v>
      </c>
      <c r="Q50">
        <v>496.91770548210002</v>
      </c>
      <c r="R50">
        <v>0</v>
      </c>
      <c r="S50">
        <v>0</v>
      </c>
      <c r="T50">
        <v>709.88243640300004</v>
      </c>
      <c r="U50">
        <v>0</v>
      </c>
      <c r="V50">
        <v>0</v>
      </c>
      <c r="W50">
        <v>0</v>
      </c>
      <c r="X50">
        <v>-212.9647309209</v>
      </c>
      <c r="Y50">
        <v>164.09091933344499</v>
      </c>
      <c r="Z50" t="s">
        <v>51</v>
      </c>
      <c r="AA50" s="2"/>
      <c r="AB50" s="2"/>
      <c r="AC50" s="2"/>
      <c r="AD50" s="2"/>
      <c r="AE50" s="2"/>
    </row>
    <row r="51" spans="1:31">
      <c r="A51" t="s">
        <v>13</v>
      </c>
      <c r="B51">
        <v>2020</v>
      </c>
      <c r="C51" t="s">
        <v>165</v>
      </c>
      <c r="D51">
        <v>175.98873458899399</v>
      </c>
      <c r="E51">
        <v>0</v>
      </c>
      <c r="F51">
        <v>0</v>
      </c>
      <c r="G51">
        <v>0</v>
      </c>
      <c r="H51">
        <v>178.2</v>
      </c>
      <c r="I51">
        <v>0</v>
      </c>
      <c r="J51">
        <v>0</v>
      </c>
      <c r="K51">
        <v>57.599999999999902</v>
      </c>
      <c r="L51">
        <v>0</v>
      </c>
      <c r="M51">
        <v>34.552734129482403</v>
      </c>
      <c r="N51">
        <v>0</v>
      </c>
      <c r="O51">
        <v>0</v>
      </c>
      <c r="P51">
        <v>0</v>
      </c>
      <c r="Q51">
        <v>446.34146871847599</v>
      </c>
      <c r="R51">
        <v>0</v>
      </c>
      <c r="S51">
        <v>0</v>
      </c>
      <c r="T51">
        <v>555.63590607200001</v>
      </c>
      <c r="U51">
        <v>0</v>
      </c>
      <c r="V51">
        <v>0</v>
      </c>
      <c r="W51">
        <v>0</v>
      </c>
      <c r="X51">
        <v>-109.29443735352299</v>
      </c>
      <c r="Y51">
        <v>164.09091933344499</v>
      </c>
      <c r="Z51" t="s">
        <v>52</v>
      </c>
      <c r="AA51" s="2"/>
      <c r="AB51" s="2"/>
      <c r="AC51" s="2"/>
      <c r="AD51" s="2"/>
      <c r="AE51" s="2"/>
    </row>
    <row r="52" spans="1:31">
      <c r="A52" t="s">
        <v>13</v>
      </c>
      <c r="B52">
        <v>2020</v>
      </c>
      <c r="C52" t="s">
        <v>166</v>
      </c>
      <c r="D52">
        <v>175.98873458899399</v>
      </c>
      <c r="E52">
        <v>0</v>
      </c>
      <c r="F52">
        <v>0</v>
      </c>
      <c r="G52">
        <v>49.727999999999902</v>
      </c>
      <c r="H52">
        <v>178.2</v>
      </c>
      <c r="I52">
        <v>0</v>
      </c>
      <c r="J52">
        <v>0</v>
      </c>
      <c r="K52">
        <v>57.599999999999902</v>
      </c>
      <c r="L52">
        <v>0</v>
      </c>
      <c r="M52">
        <v>44.750405113493002</v>
      </c>
      <c r="N52">
        <v>0</v>
      </c>
      <c r="O52">
        <v>0</v>
      </c>
      <c r="P52">
        <v>0</v>
      </c>
      <c r="Q52">
        <v>506.26713970248699</v>
      </c>
      <c r="R52">
        <v>0</v>
      </c>
      <c r="S52">
        <v>0</v>
      </c>
      <c r="T52">
        <v>515.84003680700005</v>
      </c>
      <c r="U52">
        <v>0</v>
      </c>
      <c r="V52">
        <v>0</v>
      </c>
      <c r="W52">
        <v>0</v>
      </c>
      <c r="X52">
        <v>-9.5728971045126894</v>
      </c>
      <c r="Y52">
        <v>164.09091933344499</v>
      </c>
      <c r="Z52" t="s">
        <v>52</v>
      </c>
      <c r="AA52" s="2"/>
      <c r="AB52" s="2"/>
      <c r="AC52" s="2"/>
      <c r="AD52" s="2"/>
      <c r="AE52" s="2"/>
    </row>
    <row r="53" spans="1:31">
      <c r="A53" t="s">
        <v>13</v>
      </c>
      <c r="B53">
        <v>2020</v>
      </c>
      <c r="C53" t="s">
        <v>167</v>
      </c>
      <c r="D53">
        <v>175.98873458899399</v>
      </c>
      <c r="E53">
        <v>0</v>
      </c>
      <c r="F53">
        <v>0</v>
      </c>
      <c r="G53">
        <v>199.2</v>
      </c>
      <c r="H53">
        <v>178.2</v>
      </c>
      <c r="I53">
        <v>0</v>
      </c>
      <c r="J53">
        <v>0</v>
      </c>
      <c r="K53">
        <v>57.599999999999902</v>
      </c>
      <c r="L53">
        <v>0</v>
      </c>
      <c r="M53">
        <v>84.261409517575999</v>
      </c>
      <c r="N53">
        <v>0</v>
      </c>
      <c r="O53">
        <v>0</v>
      </c>
      <c r="P53" s="1">
        <v>0</v>
      </c>
      <c r="Q53">
        <v>695.25014410657002</v>
      </c>
      <c r="R53">
        <v>0</v>
      </c>
      <c r="S53">
        <v>0</v>
      </c>
      <c r="T53">
        <v>604.13497524700006</v>
      </c>
      <c r="U53">
        <v>0</v>
      </c>
      <c r="V53">
        <v>0</v>
      </c>
      <c r="W53">
        <v>0</v>
      </c>
      <c r="X53">
        <v>91.115168859570204</v>
      </c>
      <c r="Y53">
        <v>164.09091933344499</v>
      </c>
      <c r="Z53" t="s">
        <v>52</v>
      </c>
      <c r="AA53" s="2"/>
      <c r="AB53" s="2"/>
      <c r="AC53" s="2"/>
      <c r="AD53" s="2"/>
      <c r="AE53" s="2"/>
    </row>
    <row r="54" spans="1:31">
      <c r="A54" t="s">
        <v>13</v>
      </c>
      <c r="B54">
        <v>2020</v>
      </c>
      <c r="C54" t="s">
        <v>168</v>
      </c>
      <c r="D54">
        <v>175.98873458899399</v>
      </c>
      <c r="E54">
        <v>0</v>
      </c>
      <c r="F54">
        <v>0</v>
      </c>
      <c r="G54">
        <v>0</v>
      </c>
      <c r="H54">
        <v>178.2</v>
      </c>
      <c r="I54">
        <v>0</v>
      </c>
      <c r="J54">
        <v>0</v>
      </c>
      <c r="K54">
        <v>57.599999999999902</v>
      </c>
      <c r="L54">
        <v>154.667988741242</v>
      </c>
      <c r="M54">
        <v>84.992363156429207</v>
      </c>
      <c r="N54">
        <v>0</v>
      </c>
      <c r="O54">
        <v>0</v>
      </c>
      <c r="P54">
        <v>0</v>
      </c>
      <c r="Q54">
        <v>651.44908648666603</v>
      </c>
      <c r="R54">
        <v>0</v>
      </c>
      <c r="S54">
        <v>0</v>
      </c>
      <c r="T54">
        <v>914.56095454800004</v>
      </c>
      <c r="U54">
        <v>0</v>
      </c>
      <c r="V54">
        <v>0</v>
      </c>
      <c r="W54">
        <v>0</v>
      </c>
      <c r="X54">
        <v>-263.11186806133298</v>
      </c>
      <c r="Y54">
        <v>164.09091933344499</v>
      </c>
      <c r="Z54" t="s">
        <v>52</v>
      </c>
      <c r="AA54" s="2"/>
      <c r="AB54" s="2"/>
      <c r="AC54" s="2"/>
      <c r="AD54" s="2"/>
      <c r="AE54" s="2"/>
    </row>
    <row r="55" spans="1:31">
      <c r="A55" t="s">
        <v>13</v>
      </c>
      <c r="B55">
        <v>2020</v>
      </c>
      <c r="C55" t="s">
        <v>169</v>
      </c>
      <c r="D55">
        <v>175.98873458899399</v>
      </c>
      <c r="E55">
        <v>0</v>
      </c>
      <c r="F55">
        <v>0</v>
      </c>
      <c r="G55">
        <v>49.727999999999902</v>
      </c>
      <c r="H55">
        <v>178.2</v>
      </c>
      <c r="I55">
        <v>0</v>
      </c>
      <c r="J55">
        <v>0</v>
      </c>
      <c r="K55">
        <v>57.599999999999902</v>
      </c>
      <c r="L55">
        <v>648.30524633999903</v>
      </c>
      <c r="M55">
        <v>61.874131312356397</v>
      </c>
      <c r="N55">
        <v>0</v>
      </c>
      <c r="O55">
        <v>0</v>
      </c>
      <c r="P55">
        <v>0</v>
      </c>
      <c r="Q55">
        <v>1171.69611224134</v>
      </c>
      <c r="R55">
        <v>0</v>
      </c>
      <c r="S55">
        <v>0</v>
      </c>
      <c r="T55">
        <v>1102.74653876</v>
      </c>
      <c r="U55">
        <v>0</v>
      </c>
      <c r="V55">
        <v>0</v>
      </c>
      <c r="W55">
        <v>0</v>
      </c>
      <c r="X55">
        <v>68.9495734813502</v>
      </c>
      <c r="Y55">
        <v>164.09091933344499</v>
      </c>
      <c r="Z55" t="s">
        <v>52</v>
      </c>
      <c r="AA55" s="2"/>
      <c r="AB55" s="2"/>
      <c r="AC55" s="2"/>
      <c r="AD55" s="2"/>
      <c r="AE55" s="2"/>
    </row>
    <row r="56" spans="1:31">
      <c r="A56" t="s">
        <v>13</v>
      </c>
      <c r="B56">
        <v>2020</v>
      </c>
      <c r="C56" t="s">
        <v>170</v>
      </c>
      <c r="D56">
        <v>175.98873458899399</v>
      </c>
      <c r="E56">
        <v>0</v>
      </c>
      <c r="F56">
        <v>0</v>
      </c>
      <c r="G56">
        <v>65.8053825410651</v>
      </c>
      <c r="H56">
        <v>178.2</v>
      </c>
      <c r="I56">
        <v>0</v>
      </c>
      <c r="J56">
        <v>0</v>
      </c>
      <c r="K56">
        <v>57.599999999999902</v>
      </c>
      <c r="L56">
        <v>819.885604786145</v>
      </c>
      <c r="M56">
        <v>43.318959699460201</v>
      </c>
      <c r="N56">
        <v>0</v>
      </c>
      <c r="O56">
        <v>0</v>
      </c>
      <c r="P56">
        <v>0</v>
      </c>
      <c r="Q56">
        <v>1340.7986816156599</v>
      </c>
      <c r="R56">
        <v>0</v>
      </c>
      <c r="S56">
        <v>0</v>
      </c>
      <c r="T56">
        <v>1177.8814390699999</v>
      </c>
      <c r="U56">
        <v>0</v>
      </c>
      <c r="V56">
        <v>0</v>
      </c>
      <c r="W56">
        <v>0</v>
      </c>
      <c r="X56">
        <v>162.917242545665</v>
      </c>
      <c r="Y56">
        <v>164.09091933344499</v>
      </c>
      <c r="Z56" t="s">
        <v>52</v>
      </c>
      <c r="AA56" s="2"/>
      <c r="AB56" s="2"/>
      <c r="AC56" s="2"/>
      <c r="AD56" s="2"/>
      <c r="AE56" s="2"/>
    </row>
    <row r="57" spans="1:31">
      <c r="A57" t="s">
        <v>13</v>
      </c>
      <c r="B57">
        <v>2020</v>
      </c>
      <c r="C57" t="s">
        <v>171</v>
      </c>
      <c r="D57">
        <v>175.98873458899399</v>
      </c>
      <c r="E57">
        <v>0</v>
      </c>
      <c r="F57">
        <v>0</v>
      </c>
      <c r="G57">
        <v>248.928</v>
      </c>
      <c r="H57">
        <v>178.2</v>
      </c>
      <c r="I57">
        <v>0</v>
      </c>
      <c r="J57">
        <v>0</v>
      </c>
      <c r="K57">
        <v>57.599999999999902</v>
      </c>
      <c r="L57">
        <v>843.27353016105997</v>
      </c>
      <c r="M57">
        <v>68.742612916113103</v>
      </c>
      <c r="N57">
        <v>0</v>
      </c>
      <c r="O57">
        <v>0</v>
      </c>
      <c r="P57">
        <v>0</v>
      </c>
      <c r="Q57">
        <v>1572.73287766616</v>
      </c>
      <c r="R57">
        <v>0</v>
      </c>
      <c r="S57">
        <v>0</v>
      </c>
      <c r="T57">
        <v>1206.3971151799999</v>
      </c>
      <c r="U57">
        <v>0</v>
      </c>
      <c r="V57">
        <v>0</v>
      </c>
      <c r="W57">
        <v>0</v>
      </c>
      <c r="X57">
        <v>366.33576248616799</v>
      </c>
      <c r="Y57">
        <v>164.09091933344499</v>
      </c>
      <c r="Z57" t="s">
        <v>52</v>
      </c>
      <c r="AA57" s="2"/>
      <c r="AB57" s="2"/>
      <c r="AC57" s="2"/>
      <c r="AD57" s="2"/>
      <c r="AE57" s="2"/>
    </row>
    <row r="58" spans="1:31">
      <c r="A58" t="s">
        <v>13</v>
      </c>
      <c r="B58">
        <v>2020</v>
      </c>
      <c r="C58" t="s">
        <v>172</v>
      </c>
      <c r="D58">
        <v>175.98873458899399</v>
      </c>
      <c r="E58">
        <v>0</v>
      </c>
      <c r="F58">
        <v>0</v>
      </c>
      <c r="G58">
        <v>0</v>
      </c>
      <c r="H58">
        <v>178.2</v>
      </c>
      <c r="I58">
        <v>0</v>
      </c>
      <c r="J58">
        <v>0</v>
      </c>
      <c r="K58">
        <v>57.599999999999902</v>
      </c>
      <c r="L58">
        <v>841.59288208633802</v>
      </c>
      <c r="M58">
        <v>63.186849549910001</v>
      </c>
      <c r="N58">
        <v>0</v>
      </c>
      <c r="O58">
        <v>0</v>
      </c>
      <c r="P58">
        <v>0</v>
      </c>
      <c r="Q58">
        <v>1316.5684662252399</v>
      </c>
      <c r="R58">
        <v>0</v>
      </c>
      <c r="S58">
        <v>0</v>
      </c>
      <c r="T58">
        <v>1216.30997329</v>
      </c>
      <c r="U58">
        <v>0</v>
      </c>
      <c r="V58">
        <v>0</v>
      </c>
      <c r="W58">
        <v>0</v>
      </c>
      <c r="X58">
        <v>100.258492935242</v>
      </c>
      <c r="Y58">
        <v>164.09091933344499</v>
      </c>
      <c r="Z58" t="s">
        <v>52</v>
      </c>
      <c r="AA58" s="2"/>
      <c r="AB58" s="2"/>
      <c r="AC58" s="2"/>
      <c r="AD58" s="2"/>
      <c r="AE58" s="2"/>
    </row>
    <row r="59" spans="1:31">
      <c r="A59" t="s">
        <v>13</v>
      </c>
      <c r="B59">
        <v>2020</v>
      </c>
      <c r="C59" t="s">
        <v>173</v>
      </c>
      <c r="D59">
        <v>175.98873458899399</v>
      </c>
      <c r="E59">
        <v>0</v>
      </c>
      <c r="F59">
        <v>0</v>
      </c>
      <c r="G59">
        <v>99.551999999999893</v>
      </c>
      <c r="H59">
        <v>178.2</v>
      </c>
      <c r="I59">
        <v>0</v>
      </c>
      <c r="J59">
        <v>0</v>
      </c>
      <c r="K59">
        <v>57.599999999999902</v>
      </c>
      <c r="L59">
        <v>730.39379634773798</v>
      </c>
      <c r="M59">
        <v>48.947489741375399</v>
      </c>
      <c r="N59">
        <v>0</v>
      </c>
      <c r="O59">
        <v>0</v>
      </c>
      <c r="P59">
        <v>0</v>
      </c>
      <c r="Q59">
        <v>1290.6820206780999</v>
      </c>
      <c r="R59">
        <v>0</v>
      </c>
      <c r="S59">
        <v>0</v>
      </c>
      <c r="T59">
        <v>1184.53371666</v>
      </c>
      <c r="U59">
        <v>0</v>
      </c>
      <c r="V59">
        <v>0</v>
      </c>
      <c r="W59">
        <v>0</v>
      </c>
      <c r="X59">
        <v>106.148304018107</v>
      </c>
      <c r="Y59">
        <v>164.09091933344499</v>
      </c>
      <c r="Z59" t="s">
        <v>52</v>
      </c>
      <c r="AA59" s="2"/>
      <c r="AB59" s="2"/>
      <c r="AC59" s="2"/>
      <c r="AD59" s="2"/>
      <c r="AE59" s="2"/>
    </row>
    <row r="60" spans="1:31">
      <c r="A60" t="s">
        <v>13</v>
      </c>
      <c r="B60">
        <v>2020</v>
      </c>
      <c r="C60" t="s">
        <v>174</v>
      </c>
      <c r="D60">
        <v>175.98873458899399</v>
      </c>
      <c r="E60">
        <v>0</v>
      </c>
      <c r="F60">
        <v>0</v>
      </c>
      <c r="G60">
        <v>199.10399999999899</v>
      </c>
      <c r="H60">
        <v>178.2</v>
      </c>
      <c r="I60">
        <v>0</v>
      </c>
      <c r="J60">
        <v>0</v>
      </c>
      <c r="K60">
        <v>57.599999999999902</v>
      </c>
      <c r="L60">
        <v>499.06823403974101</v>
      </c>
      <c r="M60">
        <v>67.4306407963293</v>
      </c>
      <c r="N60">
        <v>0</v>
      </c>
      <c r="O60">
        <v>0</v>
      </c>
      <c r="P60">
        <v>0</v>
      </c>
      <c r="Q60">
        <v>1177.3916094250601</v>
      </c>
      <c r="R60">
        <v>0</v>
      </c>
      <c r="S60">
        <v>0</v>
      </c>
      <c r="T60">
        <v>1124.24178392</v>
      </c>
      <c r="U60">
        <v>0</v>
      </c>
      <c r="V60">
        <v>0</v>
      </c>
      <c r="W60">
        <v>0</v>
      </c>
      <c r="X60">
        <v>53.149825505065202</v>
      </c>
      <c r="Y60">
        <v>164.09091933344499</v>
      </c>
      <c r="Z60" t="s">
        <v>52</v>
      </c>
      <c r="AA60" s="2"/>
      <c r="AB60" s="2"/>
      <c r="AC60" s="2"/>
      <c r="AD60" s="2"/>
      <c r="AE60" s="2"/>
    </row>
    <row r="61" spans="1:31">
      <c r="A61" t="s">
        <v>13</v>
      </c>
      <c r="B61">
        <v>2020</v>
      </c>
      <c r="C61" t="s">
        <v>175</v>
      </c>
      <c r="D61">
        <v>175.98873458899399</v>
      </c>
      <c r="E61">
        <v>0</v>
      </c>
      <c r="F61">
        <v>0</v>
      </c>
      <c r="G61">
        <v>305.89900766464501</v>
      </c>
      <c r="H61">
        <v>178.2</v>
      </c>
      <c r="I61">
        <v>0</v>
      </c>
      <c r="J61">
        <v>0</v>
      </c>
      <c r="K61">
        <v>57.599999999999902</v>
      </c>
      <c r="L61">
        <v>0</v>
      </c>
      <c r="M61">
        <v>40.338522140360404</v>
      </c>
      <c r="N61">
        <v>0</v>
      </c>
      <c r="O61">
        <v>0</v>
      </c>
      <c r="P61">
        <v>0</v>
      </c>
      <c r="Q61">
        <v>758.02626439400001</v>
      </c>
      <c r="R61">
        <v>0</v>
      </c>
      <c r="S61">
        <v>0</v>
      </c>
      <c r="T61">
        <v>1082.8946634199999</v>
      </c>
      <c r="U61">
        <v>0</v>
      </c>
      <c r="V61">
        <v>0</v>
      </c>
      <c r="W61">
        <v>0</v>
      </c>
      <c r="X61">
        <v>-324.868399025999</v>
      </c>
      <c r="Y61">
        <v>166.91962553905</v>
      </c>
      <c r="Z61" t="s">
        <v>52</v>
      </c>
      <c r="AA61" s="2"/>
      <c r="AB61" s="2"/>
      <c r="AC61" s="2"/>
      <c r="AD61" s="2"/>
      <c r="AE61" s="2"/>
    </row>
    <row r="62" spans="1:31">
      <c r="A62" t="s">
        <v>13</v>
      </c>
      <c r="B62">
        <v>2020</v>
      </c>
      <c r="C62" t="s">
        <v>176</v>
      </c>
      <c r="D62">
        <v>175.98873458899399</v>
      </c>
      <c r="E62">
        <v>0</v>
      </c>
      <c r="F62">
        <v>0</v>
      </c>
      <c r="G62">
        <v>107.95449135216199</v>
      </c>
      <c r="H62">
        <v>178.2</v>
      </c>
      <c r="I62">
        <v>0</v>
      </c>
      <c r="J62">
        <v>0</v>
      </c>
      <c r="K62">
        <v>57.599999999999902</v>
      </c>
      <c r="L62">
        <v>0</v>
      </c>
      <c r="M62">
        <v>44.985900059042798</v>
      </c>
      <c r="N62">
        <v>0</v>
      </c>
      <c r="O62">
        <v>0</v>
      </c>
      <c r="P62">
        <v>0</v>
      </c>
      <c r="Q62">
        <v>564.72912600019902</v>
      </c>
      <c r="R62">
        <v>0</v>
      </c>
      <c r="S62">
        <v>0</v>
      </c>
      <c r="T62">
        <v>806.75589428599994</v>
      </c>
      <c r="U62">
        <v>0</v>
      </c>
      <c r="V62">
        <v>0</v>
      </c>
      <c r="W62">
        <v>0</v>
      </c>
      <c r="X62">
        <v>-242.02676828579899</v>
      </c>
      <c r="Y62">
        <v>164.09091933344499</v>
      </c>
      <c r="Z62" t="s">
        <v>52</v>
      </c>
      <c r="AA62" s="2"/>
      <c r="AB62" s="2"/>
      <c r="AC62" s="2"/>
      <c r="AD62" s="2"/>
      <c r="AE62" s="2"/>
    </row>
    <row r="63" spans="1:31">
      <c r="A63" t="s">
        <v>13</v>
      </c>
      <c r="B63">
        <v>2020</v>
      </c>
      <c r="C63" t="s">
        <v>261</v>
      </c>
      <c r="D63">
        <v>175.98873458899399</v>
      </c>
      <c r="E63">
        <v>0</v>
      </c>
      <c r="F63">
        <v>0</v>
      </c>
      <c r="G63">
        <v>0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64.106863824339996</v>
      </c>
      <c r="N63">
        <v>0</v>
      </c>
      <c r="O63">
        <v>0</v>
      </c>
      <c r="P63" s="1">
        <v>0</v>
      </c>
      <c r="Q63">
        <v>475.89559841333403</v>
      </c>
      <c r="R63">
        <v>0</v>
      </c>
      <c r="S63">
        <v>0</v>
      </c>
      <c r="T63">
        <v>575.15177403899997</v>
      </c>
      <c r="U63">
        <v>0</v>
      </c>
      <c r="V63">
        <v>0</v>
      </c>
      <c r="W63">
        <v>0</v>
      </c>
      <c r="X63">
        <v>-99.256175625665605</v>
      </c>
      <c r="Y63">
        <v>32.832191642530802</v>
      </c>
      <c r="Z63" t="s">
        <v>51</v>
      </c>
      <c r="AA63" s="2"/>
      <c r="AB63" s="2"/>
      <c r="AC63" s="2"/>
      <c r="AD63" s="2"/>
      <c r="AE63" s="2"/>
    </row>
    <row r="64" spans="1:31">
      <c r="A64" t="s">
        <v>13</v>
      </c>
      <c r="B64">
        <v>2020</v>
      </c>
      <c r="C64" t="s">
        <v>262</v>
      </c>
      <c r="D64">
        <v>175.98873458899399</v>
      </c>
      <c r="E64">
        <v>0</v>
      </c>
      <c r="F64">
        <v>0</v>
      </c>
      <c r="G64">
        <v>0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50.875349316687497</v>
      </c>
      <c r="N64">
        <v>0</v>
      </c>
      <c r="O64">
        <v>0</v>
      </c>
      <c r="P64">
        <v>0</v>
      </c>
      <c r="Q64">
        <v>462.66408390568103</v>
      </c>
      <c r="R64">
        <v>0</v>
      </c>
      <c r="S64">
        <v>0</v>
      </c>
      <c r="T64">
        <v>494.642162079</v>
      </c>
      <c r="U64">
        <v>0</v>
      </c>
      <c r="V64">
        <v>0</v>
      </c>
      <c r="W64">
        <v>0</v>
      </c>
      <c r="X64">
        <v>-31.978078173318099</v>
      </c>
      <c r="Y64">
        <v>32.832191642530802</v>
      </c>
      <c r="Z64" t="s">
        <v>51</v>
      </c>
      <c r="AA64" s="2"/>
      <c r="AB64" s="2"/>
      <c r="AC64" s="2"/>
      <c r="AD64" s="2"/>
      <c r="AE64" s="2"/>
    </row>
    <row r="65" spans="1:31">
      <c r="A65" t="s">
        <v>13</v>
      </c>
      <c r="B65">
        <v>2020</v>
      </c>
      <c r="C65" t="s">
        <v>263</v>
      </c>
      <c r="D65">
        <v>175.98873458899399</v>
      </c>
      <c r="E65">
        <v>0</v>
      </c>
      <c r="F65">
        <v>0</v>
      </c>
      <c r="G65">
        <v>0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50.833267460476499</v>
      </c>
      <c r="N65">
        <v>0</v>
      </c>
      <c r="O65">
        <v>0</v>
      </c>
      <c r="P65">
        <v>0</v>
      </c>
      <c r="Q65">
        <v>462.62200204946998</v>
      </c>
      <c r="R65">
        <v>0</v>
      </c>
      <c r="S65">
        <v>0</v>
      </c>
      <c r="T65">
        <v>502.87485012600001</v>
      </c>
      <c r="U65">
        <v>0</v>
      </c>
      <c r="V65">
        <v>0</v>
      </c>
      <c r="W65">
        <v>0</v>
      </c>
      <c r="X65">
        <v>-40.252848076529098</v>
      </c>
      <c r="Y65">
        <v>32.832191642530802</v>
      </c>
      <c r="Z65" t="s">
        <v>51</v>
      </c>
      <c r="AA65" s="2"/>
      <c r="AB65" s="2"/>
      <c r="AC65" s="2"/>
      <c r="AD65" s="2"/>
      <c r="AE65" s="2"/>
    </row>
    <row r="66" spans="1:31">
      <c r="A66" t="s">
        <v>13</v>
      </c>
      <c r="B66">
        <v>2020</v>
      </c>
      <c r="C66" t="s">
        <v>264</v>
      </c>
      <c r="D66">
        <v>175.98873458899399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57.599999999999902</v>
      </c>
      <c r="L66">
        <v>172.261803454291</v>
      </c>
      <c r="M66">
        <v>62.356924551720802</v>
      </c>
      <c r="N66">
        <v>0</v>
      </c>
      <c r="O66">
        <v>0</v>
      </c>
      <c r="P66" s="1">
        <v>0</v>
      </c>
      <c r="Q66">
        <v>468.20746259500601</v>
      </c>
      <c r="R66">
        <v>0</v>
      </c>
      <c r="S66">
        <v>0</v>
      </c>
      <c r="T66">
        <v>605.00879901999997</v>
      </c>
      <c r="U66">
        <v>0</v>
      </c>
      <c r="V66">
        <v>0</v>
      </c>
      <c r="W66">
        <v>0</v>
      </c>
      <c r="X66">
        <v>-136.801336424993</v>
      </c>
      <c r="Y66">
        <v>32.832191642530802</v>
      </c>
      <c r="Z66" t="s">
        <v>51</v>
      </c>
      <c r="AA66" s="2"/>
      <c r="AB66" s="2"/>
      <c r="AC66" s="2"/>
      <c r="AD66" s="2"/>
      <c r="AE66" s="2"/>
    </row>
    <row r="67" spans="1:31">
      <c r="A67" t="s">
        <v>13</v>
      </c>
      <c r="B67">
        <v>2020</v>
      </c>
      <c r="C67" t="s">
        <v>265</v>
      </c>
      <c r="D67">
        <v>175.98873458899399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57.599999999999902</v>
      </c>
      <c r="L67">
        <v>473.93949395661099</v>
      </c>
      <c r="M67">
        <v>43.842540314193997</v>
      </c>
      <c r="N67">
        <v>0</v>
      </c>
      <c r="O67">
        <v>0</v>
      </c>
      <c r="P67" s="1">
        <v>0</v>
      </c>
      <c r="Q67">
        <v>751.37076885980002</v>
      </c>
      <c r="R67">
        <v>0</v>
      </c>
      <c r="S67">
        <v>0</v>
      </c>
      <c r="T67">
        <v>820.26245120700003</v>
      </c>
      <c r="U67">
        <v>0</v>
      </c>
      <c r="V67">
        <v>0</v>
      </c>
      <c r="W67">
        <v>0</v>
      </c>
      <c r="X67">
        <v>-68.891682347200202</v>
      </c>
      <c r="Y67">
        <v>32.832191642530802</v>
      </c>
      <c r="Z67" t="s">
        <v>51</v>
      </c>
      <c r="AA67" s="2"/>
      <c r="AB67" s="2"/>
      <c r="AC67" s="2"/>
      <c r="AD67" s="2"/>
      <c r="AE67" s="2"/>
    </row>
    <row r="68" spans="1:31">
      <c r="A68" t="s">
        <v>13</v>
      </c>
      <c r="B68">
        <v>2020</v>
      </c>
      <c r="C68" t="s">
        <v>266</v>
      </c>
      <c r="D68">
        <v>175.98873458899399</v>
      </c>
      <c r="E68">
        <v>0</v>
      </c>
      <c r="F68">
        <v>0</v>
      </c>
      <c r="G68">
        <v>0</v>
      </c>
      <c r="H68">
        <v>71.095796150783301</v>
      </c>
      <c r="I68">
        <v>0</v>
      </c>
      <c r="J68">
        <v>0</v>
      </c>
      <c r="K68">
        <v>57.599999999999902</v>
      </c>
      <c r="L68">
        <v>737.22913927738898</v>
      </c>
      <c r="M68">
        <v>67.671188147874005</v>
      </c>
      <c r="N68">
        <v>0</v>
      </c>
      <c r="O68">
        <v>0</v>
      </c>
      <c r="P68">
        <v>0</v>
      </c>
      <c r="Q68">
        <v>1109.58485816504</v>
      </c>
      <c r="R68">
        <v>0</v>
      </c>
      <c r="S68">
        <v>0</v>
      </c>
      <c r="T68">
        <v>918.30668944499996</v>
      </c>
      <c r="U68">
        <v>0</v>
      </c>
      <c r="V68">
        <v>0</v>
      </c>
      <c r="W68">
        <v>0</v>
      </c>
      <c r="X68">
        <v>191.27816872004101</v>
      </c>
      <c r="Y68">
        <v>32.832191642530802</v>
      </c>
      <c r="Z68" t="s">
        <v>51</v>
      </c>
      <c r="AA68" s="2"/>
      <c r="AB68" s="2"/>
      <c r="AC68" s="2"/>
      <c r="AD68" s="2"/>
      <c r="AE68" s="2"/>
    </row>
    <row r="69" spans="1:31">
      <c r="A69" t="s">
        <v>13</v>
      </c>
      <c r="B69">
        <v>2020</v>
      </c>
      <c r="C69" t="s">
        <v>267</v>
      </c>
      <c r="D69">
        <v>175.98873458899399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57.599999999999902</v>
      </c>
      <c r="L69">
        <v>825.84819477059398</v>
      </c>
      <c r="M69">
        <v>77.370339147351302</v>
      </c>
      <c r="N69">
        <v>0</v>
      </c>
      <c r="O69">
        <v>0</v>
      </c>
      <c r="P69">
        <v>0</v>
      </c>
      <c r="Q69">
        <v>1136.8072685069401</v>
      </c>
      <c r="R69">
        <v>0</v>
      </c>
      <c r="S69">
        <v>0</v>
      </c>
      <c r="T69">
        <v>941.10705475300006</v>
      </c>
      <c r="U69">
        <v>0</v>
      </c>
      <c r="V69">
        <v>0</v>
      </c>
      <c r="W69">
        <v>0</v>
      </c>
      <c r="X69">
        <v>195.70021375394001</v>
      </c>
      <c r="Y69">
        <v>32.832191642530802</v>
      </c>
      <c r="Z69" t="s">
        <v>51</v>
      </c>
      <c r="AA69" s="2"/>
      <c r="AB69" s="2"/>
      <c r="AC69" s="2"/>
      <c r="AD69" s="2"/>
      <c r="AE69" s="2"/>
    </row>
    <row r="70" spans="1:31">
      <c r="A70" t="s">
        <v>13</v>
      </c>
      <c r="B70">
        <v>2020</v>
      </c>
      <c r="C70" t="s">
        <v>268</v>
      </c>
      <c r="D70">
        <v>175.98873458899399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57.599999999999902</v>
      </c>
      <c r="L70">
        <v>839.41145007782097</v>
      </c>
      <c r="M70">
        <v>69.470653690420704</v>
      </c>
      <c r="N70">
        <v>0</v>
      </c>
      <c r="O70">
        <v>0</v>
      </c>
      <c r="P70">
        <v>0</v>
      </c>
      <c r="Q70">
        <v>1142.4708383572299</v>
      </c>
      <c r="R70">
        <v>0</v>
      </c>
      <c r="S70">
        <v>0</v>
      </c>
      <c r="T70">
        <v>936.09525040699998</v>
      </c>
      <c r="U70">
        <v>0</v>
      </c>
      <c r="V70">
        <v>0</v>
      </c>
      <c r="W70">
        <v>0</v>
      </c>
      <c r="X70">
        <v>206.37558795023699</v>
      </c>
      <c r="Y70">
        <v>32.832191642530802</v>
      </c>
      <c r="Z70" t="s">
        <v>51</v>
      </c>
      <c r="AA70" s="2"/>
      <c r="AB70" s="2"/>
      <c r="AC70" s="2"/>
      <c r="AD70" s="2"/>
      <c r="AE70" s="2"/>
    </row>
    <row r="71" spans="1:31">
      <c r="A71" t="s">
        <v>13</v>
      </c>
      <c r="B71">
        <v>2020</v>
      </c>
      <c r="C71" t="s">
        <v>269</v>
      </c>
      <c r="D71">
        <v>175.98873458899399</v>
      </c>
      <c r="E71">
        <v>0</v>
      </c>
      <c r="F71">
        <v>0</v>
      </c>
      <c r="G71">
        <v>0</v>
      </c>
      <c r="H71">
        <v>178.2</v>
      </c>
      <c r="I71">
        <v>0</v>
      </c>
      <c r="J71">
        <v>0</v>
      </c>
      <c r="K71">
        <v>57.599999999999902</v>
      </c>
      <c r="L71">
        <v>719.27758752084799</v>
      </c>
      <c r="M71">
        <v>61.5053167309825</v>
      </c>
      <c r="N71">
        <v>0</v>
      </c>
      <c r="O71">
        <v>0</v>
      </c>
      <c r="P71">
        <v>0</v>
      </c>
      <c r="Q71">
        <v>1192.57163884082</v>
      </c>
      <c r="R71">
        <v>0</v>
      </c>
      <c r="S71">
        <v>0</v>
      </c>
      <c r="T71">
        <v>946.787099678</v>
      </c>
      <c r="U71">
        <v>0</v>
      </c>
      <c r="V71">
        <v>0</v>
      </c>
      <c r="W71">
        <v>0</v>
      </c>
      <c r="X71">
        <v>245.78453916282501</v>
      </c>
      <c r="Y71">
        <v>32.832191642530802</v>
      </c>
      <c r="Z71" t="s">
        <v>51</v>
      </c>
      <c r="AA71" s="2"/>
      <c r="AB71" s="2"/>
      <c r="AC71" s="2"/>
      <c r="AD71" s="2"/>
      <c r="AE71" s="2"/>
    </row>
    <row r="72" spans="1:31">
      <c r="A72" t="s">
        <v>13</v>
      </c>
      <c r="B72">
        <v>2020</v>
      </c>
      <c r="C72" t="s">
        <v>270</v>
      </c>
      <c r="D72">
        <v>175.98873458899399</v>
      </c>
      <c r="E72">
        <v>0</v>
      </c>
      <c r="F72">
        <v>0</v>
      </c>
      <c r="G72">
        <v>0</v>
      </c>
      <c r="H72">
        <v>178.2</v>
      </c>
      <c r="I72">
        <v>0</v>
      </c>
      <c r="J72">
        <v>0</v>
      </c>
      <c r="K72">
        <v>57.599999999999902</v>
      </c>
      <c r="L72">
        <v>509.77845280669499</v>
      </c>
      <c r="M72">
        <v>77.003107682972498</v>
      </c>
      <c r="N72">
        <v>0</v>
      </c>
      <c r="O72">
        <v>0</v>
      </c>
      <c r="P72">
        <v>0</v>
      </c>
      <c r="Q72">
        <v>998.57029507866196</v>
      </c>
      <c r="R72">
        <v>0</v>
      </c>
      <c r="S72">
        <v>0</v>
      </c>
      <c r="T72">
        <v>949.92779777299995</v>
      </c>
      <c r="U72">
        <v>0</v>
      </c>
      <c r="V72">
        <v>0</v>
      </c>
      <c r="W72">
        <v>0</v>
      </c>
      <c r="X72">
        <v>48.642497305662197</v>
      </c>
      <c r="Y72">
        <v>32.832191642530802</v>
      </c>
      <c r="Z72" t="s">
        <v>51</v>
      </c>
      <c r="AA72" s="2"/>
      <c r="AB72" s="2"/>
      <c r="AC72" s="2"/>
      <c r="AD72" s="2"/>
      <c r="AE72" s="2"/>
    </row>
    <row r="73" spans="1:31">
      <c r="A73" t="s">
        <v>13</v>
      </c>
      <c r="B73">
        <v>2020</v>
      </c>
      <c r="C73" t="s">
        <v>271</v>
      </c>
      <c r="D73">
        <v>175.98873458899399</v>
      </c>
      <c r="E73">
        <v>0</v>
      </c>
      <c r="F73">
        <v>0</v>
      </c>
      <c r="G73">
        <v>185.41643887973501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76.444765896469704</v>
      </c>
      <c r="N73">
        <v>0</v>
      </c>
      <c r="O73">
        <v>0</v>
      </c>
      <c r="P73">
        <v>0</v>
      </c>
      <c r="Q73">
        <v>673.64993936519897</v>
      </c>
      <c r="R73">
        <v>0</v>
      </c>
      <c r="S73">
        <v>0</v>
      </c>
      <c r="T73">
        <v>962.35705623599995</v>
      </c>
      <c r="U73">
        <v>0</v>
      </c>
      <c r="V73">
        <v>0</v>
      </c>
      <c r="W73">
        <v>0</v>
      </c>
      <c r="X73">
        <v>-288.70711687079898</v>
      </c>
      <c r="Y73">
        <v>164.09091933344499</v>
      </c>
      <c r="Z73" t="s">
        <v>51</v>
      </c>
      <c r="AA73" s="2"/>
      <c r="AB73" s="2"/>
      <c r="AC73" s="2"/>
      <c r="AD73" s="2"/>
      <c r="AE73" s="2"/>
    </row>
    <row r="74" spans="1:31">
      <c r="A74" t="s">
        <v>13</v>
      </c>
      <c r="B74">
        <v>2020</v>
      </c>
      <c r="C74" t="s">
        <v>272</v>
      </c>
      <c r="D74">
        <v>175.98873458899399</v>
      </c>
      <c r="E74">
        <v>0</v>
      </c>
      <c r="F74">
        <v>0</v>
      </c>
      <c r="G74">
        <v>48.604520060424797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57.358873890380799</v>
      </c>
      <c r="N74">
        <v>0</v>
      </c>
      <c r="O74">
        <v>0</v>
      </c>
      <c r="P74" s="1">
        <v>0</v>
      </c>
      <c r="Q74">
        <v>517.75212853979997</v>
      </c>
      <c r="R74">
        <v>0</v>
      </c>
      <c r="S74">
        <v>0</v>
      </c>
      <c r="T74">
        <v>739.64589791399999</v>
      </c>
      <c r="U74">
        <v>0</v>
      </c>
      <c r="V74">
        <v>0</v>
      </c>
      <c r="W74">
        <v>0</v>
      </c>
      <c r="X74">
        <v>-221.89376937419999</v>
      </c>
      <c r="Y74">
        <v>164.09091933344499</v>
      </c>
      <c r="Z74" t="s">
        <v>51</v>
      </c>
      <c r="AA74" s="2"/>
      <c r="AB74" s="2"/>
      <c r="AC74" s="2"/>
      <c r="AD74" s="2"/>
      <c r="AE74" s="2"/>
    </row>
    <row r="75" spans="1:31">
      <c r="A75" t="s">
        <v>13</v>
      </c>
      <c r="B75">
        <v>2020</v>
      </c>
      <c r="C75" t="s">
        <v>273</v>
      </c>
      <c r="D75">
        <v>175.98873458899399</v>
      </c>
      <c r="E75">
        <v>0</v>
      </c>
      <c r="F75">
        <v>0</v>
      </c>
      <c r="G75">
        <v>199.10399999999899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84.6167314505375</v>
      </c>
      <c r="N75">
        <v>0</v>
      </c>
      <c r="O75">
        <v>0</v>
      </c>
      <c r="P75">
        <v>0</v>
      </c>
      <c r="Q75">
        <v>695.50946603953105</v>
      </c>
      <c r="R75">
        <v>0</v>
      </c>
      <c r="S75">
        <v>0</v>
      </c>
      <c r="T75">
        <v>595.90736559100003</v>
      </c>
      <c r="U75">
        <v>0</v>
      </c>
      <c r="V75">
        <v>0</v>
      </c>
      <c r="W75">
        <v>0</v>
      </c>
      <c r="X75">
        <v>99.602100448531701</v>
      </c>
      <c r="Y75">
        <v>164.09091933344499</v>
      </c>
      <c r="Z75" t="s">
        <v>51</v>
      </c>
      <c r="AA75" s="2"/>
      <c r="AB75" s="2"/>
      <c r="AC75" s="2"/>
      <c r="AD75" s="2"/>
      <c r="AE75" s="2"/>
    </row>
    <row r="76" spans="1:31">
      <c r="A76" t="s">
        <v>13</v>
      </c>
      <c r="B76">
        <v>2020</v>
      </c>
      <c r="C76" t="s">
        <v>274</v>
      </c>
      <c r="D76">
        <v>175.98873458899399</v>
      </c>
      <c r="E76">
        <v>0</v>
      </c>
      <c r="F76">
        <v>0</v>
      </c>
      <c r="G76">
        <v>49.823999999999998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114.07275610585501</v>
      </c>
      <c r="N76">
        <v>0</v>
      </c>
      <c r="O76">
        <v>0</v>
      </c>
      <c r="P76">
        <v>0</v>
      </c>
      <c r="Q76">
        <v>575.68549069485005</v>
      </c>
      <c r="R76">
        <v>0</v>
      </c>
      <c r="S76">
        <v>0</v>
      </c>
      <c r="T76">
        <v>523.18938005500002</v>
      </c>
      <c r="U76">
        <v>0</v>
      </c>
      <c r="V76">
        <v>0</v>
      </c>
      <c r="W76">
        <v>0</v>
      </c>
      <c r="X76">
        <v>52.496110639850102</v>
      </c>
      <c r="Y76">
        <v>164.09091933344499</v>
      </c>
      <c r="Z76" t="s">
        <v>51</v>
      </c>
      <c r="AA76" s="2"/>
      <c r="AB76" s="2"/>
      <c r="AC76" s="2"/>
      <c r="AD76" s="2"/>
      <c r="AE76" s="2"/>
    </row>
    <row r="77" spans="1:31">
      <c r="A77" t="s">
        <v>13</v>
      </c>
      <c r="B77">
        <v>2020</v>
      </c>
      <c r="C77" t="s">
        <v>275</v>
      </c>
      <c r="D77">
        <v>175.98873458899399</v>
      </c>
      <c r="E77">
        <v>0</v>
      </c>
      <c r="F77">
        <v>0</v>
      </c>
      <c r="G77">
        <v>113.67402169206601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55.743392973635601</v>
      </c>
      <c r="N77">
        <v>0</v>
      </c>
      <c r="O77">
        <v>0</v>
      </c>
      <c r="P77">
        <v>0</v>
      </c>
      <c r="Q77">
        <v>581.20614925469602</v>
      </c>
      <c r="R77">
        <v>0</v>
      </c>
      <c r="S77">
        <v>0</v>
      </c>
      <c r="T77">
        <v>591.48353464499996</v>
      </c>
      <c r="U77">
        <v>0</v>
      </c>
      <c r="V77">
        <v>0</v>
      </c>
      <c r="W77">
        <v>0</v>
      </c>
      <c r="X77">
        <v>-10.277385390303399</v>
      </c>
      <c r="Y77">
        <v>164.09091933344499</v>
      </c>
      <c r="Z77" t="s">
        <v>51</v>
      </c>
      <c r="AA77" s="2"/>
      <c r="AB77" s="2"/>
      <c r="AC77" s="2"/>
      <c r="AD77" s="2"/>
      <c r="AE77" s="2"/>
    </row>
    <row r="78" spans="1:31">
      <c r="A78" t="s">
        <v>13</v>
      </c>
      <c r="B78">
        <v>2020</v>
      </c>
      <c r="C78" t="s">
        <v>276</v>
      </c>
      <c r="D78">
        <v>175.98873458899399</v>
      </c>
      <c r="E78">
        <v>0</v>
      </c>
      <c r="F78">
        <v>0</v>
      </c>
      <c r="G78">
        <v>99.551999999999893</v>
      </c>
      <c r="H78">
        <v>178.2</v>
      </c>
      <c r="I78">
        <v>0</v>
      </c>
      <c r="J78">
        <v>0</v>
      </c>
      <c r="K78">
        <v>57.599999999999902</v>
      </c>
      <c r="L78">
        <v>78.034033776605895</v>
      </c>
      <c r="M78">
        <v>66.705476234747493</v>
      </c>
      <c r="N78">
        <v>0</v>
      </c>
      <c r="O78">
        <v>0</v>
      </c>
      <c r="P78">
        <v>0</v>
      </c>
      <c r="Q78">
        <v>656.08024460034699</v>
      </c>
      <c r="R78">
        <v>0</v>
      </c>
      <c r="S78">
        <v>0</v>
      </c>
      <c r="T78">
        <v>899.76970229699998</v>
      </c>
      <c r="U78">
        <v>0</v>
      </c>
      <c r="V78">
        <v>0</v>
      </c>
      <c r="W78">
        <v>0</v>
      </c>
      <c r="X78">
        <v>-243.689457696652</v>
      </c>
      <c r="Y78">
        <v>164.09091933344499</v>
      </c>
      <c r="Z78" t="s">
        <v>51</v>
      </c>
      <c r="AA78" s="2"/>
      <c r="AB78" s="2"/>
      <c r="AC78" s="2"/>
      <c r="AD78" s="2"/>
      <c r="AE78" s="2"/>
    </row>
    <row r="79" spans="1:31">
      <c r="A79" t="s">
        <v>13</v>
      </c>
      <c r="B79">
        <v>2020</v>
      </c>
      <c r="C79" t="s">
        <v>277</v>
      </c>
      <c r="D79">
        <v>175.98873458899399</v>
      </c>
      <c r="E79">
        <v>0</v>
      </c>
      <c r="F79">
        <v>0</v>
      </c>
      <c r="G79">
        <v>199.10399999999899</v>
      </c>
      <c r="H79">
        <v>178.2</v>
      </c>
      <c r="I79">
        <v>0</v>
      </c>
      <c r="J79">
        <v>0</v>
      </c>
      <c r="K79">
        <v>57.599999999999902</v>
      </c>
      <c r="L79">
        <v>296.162725911481</v>
      </c>
      <c r="M79">
        <v>99.974138684021796</v>
      </c>
      <c r="N79">
        <v>0</v>
      </c>
      <c r="O79">
        <v>0</v>
      </c>
      <c r="P79">
        <v>0</v>
      </c>
      <c r="Q79">
        <v>1007.0295991844901</v>
      </c>
      <c r="R79">
        <v>0</v>
      </c>
      <c r="S79">
        <v>0</v>
      </c>
      <c r="T79">
        <v>1063.24800587</v>
      </c>
      <c r="U79">
        <v>0</v>
      </c>
      <c r="V79">
        <v>0</v>
      </c>
      <c r="W79">
        <v>0</v>
      </c>
      <c r="X79">
        <v>-56.218406685502998</v>
      </c>
      <c r="Y79">
        <v>164.09091933344499</v>
      </c>
      <c r="Z79" t="s">
        <v>51</v>
      </c>
      <c r="AA79" s="2"/>
      <c r="AB79" s="2"/>
      <c r="AC79" s="2"/>
      <c r="AD79" s="2"/>
      <c r="AE79" s="2"/>
    </row>
    <row r="80" spans="1:31">
      <c r="A80" t="s">
        <v>13</v>
      </c>
      <c r="B80">
        <v>2020</v>
      </c>
      <c r="C80" t="s">
        <v>278</v>
      </c>
      <c r="D80">
        <v>175.98873458899399</v>
      </c>
      <c r="E80">
        <v>0</v>
      </c>
      <c r="F80">
        <v>0</v>
      </c>
      <c r="G80">
        <v>199.2</v>
      </c>
      <c r="H80">
        <v>178.2</v>
      </c>
      <c r="I80">
        <v>0</v>
      </c>
      <c r="J80">
        <v>0</v>
      </c>
      <c r="K80">
        <v>57.599999999999902</v>
      </c>
      <c r="L80">
        <v>563.80060436299198</v>
      </c>
      <c r="M80">
        <v>104.185866683808</v>
      </c>
      <c r="N80">
        <v>0</v>
      </c>
      <c r="O80">
        <v>0</v>
      </c>
      <c r="P80">
        <v>0</v>
      </c>
      <c r="Q80">
        <v>1278.97520563579</v>
      </c>
      <c r="R80">
        <v>0</v>
      </c>
      <c r="S80">
        <v>0</v>
      </c>
      <c r="T80">
        <v>1155.5856065999999</v>
      </c>
      <c r="U80">
        <v>0</v>
      </c>
      <c r="V80">
        <v>0</v>
      </c>
      <c r="W80">
        <v>0</v>
      </c>
      <c r="X80">
        <v>123.389599035795</v>
      </c>
      <c r="Y80">
        <v>164.09091933344499</v>
      </c>
      <c r="Z80" t="s">
        <v>51</v>
      </c>
      <c r="AA80" s="2"/>
      <c r="AB80" s="2"/>
      <c r="AC80" s="2"/>
      <c r="AD80" s="2"/>
      <c r="AE80" s="2"/>
    </row>
    <row r="81" spans="1:31">
      <c r="A81" t="s">
        <v>13</v>
      </c>
      <c r="B81">
        <v>2020</v>
      </c>
      <c r="C81" t="s">
        <v>279</v>
      </c>
      <c r="D81">
        <v>175.98873458899399</v>
      </c>
      <c r="E81">
        <v>0</v>
      </c>
      <c r="F81">
        <v>0</v>
      </c>
      <c r="G81">
        <v>49.823999999999998</v>
      </c>
      <c r="H81">
        <v>178.2</v>
      </c>
      <c r="I81">
        <v>0</v>
      </c>
      <c r="J81">
        <v>0</v>
      </c>
      <c r="K81">
        <v>57.599999999999902</v>
      </c>
      <c r="L81">
        <v>842.65228532468802</v>
      </c>
      <c r="M81">
        <v>125.61061572496</v>
      </c>
      <c r="N81">
        <v>0</v>
      </c>
      <c r="O81">
        <v>0</v>
      </c>
      <c r="P81">
        <v>0</v>
      </c>
      <c r="Q81">
        <v>1429.87563563864</v>
      </c>
      <c r="R81">
        <v>0</v>
      </c>
      <c r="S81">
        <v>0</v>
      </c>
      <c r="T81">
        <v>1176.42130219</v>
      </c>
      <c r="U81">
        <v>0</v>
      </c>
      <c r="V81">
        <v>0</v>
      </c>
      <c r="W81">
        <v>0</v>
      </c>
      <c r="X81">
        <v>253.45433344864301</v>
      </c>
      <c r="Y81">
        <v>164.09091933344499</v>
      </c>
      <c r="Z81" t="s">
        <v>51</v>
      </c>
      <c r="AA81" s="2"/>
      <c r="AB81" s="2"/>
      <c r="AC81" s="2"/>
      <c r="AD81" s="2"/>
      <c r="AE81" s="2"/>
    </row>
    <row r="82" spans="1:31">
      <c r="A82" t="s">
        <v>13</v>
      </c>
      <c r="B82">
        <v>2020</v>
      </c>
      <c r="C82" t="s">
        <v>280</v>
      </c>
      <c r="D82">
        <v>175.98873458899399</v>
      </c>
      <c r="E82">
        <v>0</v>
      </c>
      <c r="F82">
        <v>0</v>
      </c>
      <c r="G82">
        <v>49.727999999999902</v>
      </c>
      <c r="H82">
        <v>178.2</v>
      </c>
      <c r="I82">
        <v>0</v>
      </c>
      <c r="J82">
        <v>0</v>
      </c>
      <c r="K82">
        <v>57.599999999999902</v>
      </c>
      <c r="L82">
        <v>836.08949710648994</v>
      </c>
      <c r="M82">
        <v>118.12611867510699</v>
      </c>
      <c r="N82">
        <v>0</v>
      </c>
      <c r="O82">
        <v>0</v>
      </c>
      <c r="P82">
        <v>0</v>
      </c>
      <c r="Q82">
        <v>1415.73235037059</v>
      </c>
      <c r="R82">
        <v>0</v>
      </c>
      <c r="S82">
        <v>0</v>
      </c>
      <c r="T82">
        <v>1178.0919036299999</v>
      </c>
      <c r="U82">
        <v>0</v>
      </c>
      <c r="V82">
        <v>0</v>
      </c>
      <c r="W82">
        <v>0</v>
      </c>
      <c r="X82">
        <v>237.64044674059201</v>
      </c>
      <c r="Y82">
        <v>164.09091933344499</v>
      </c>
      <c r="Z82" t="s">
        <v>51</v>
      </c>
      <c r="AA82" s="2"/>
      <c r="AB82" s="2"/>
      <c r="AC82" s="2"/>
      <c r="AD82" s="2"/>
      <c r="AE82" s="2"/>
    </row>
    <row r="83" spans="1:31">
      <c r="A83" t="s">
        <v>13</v>
      </c>
      <c r="B83">
        <v>2020</v>
      </c>
      <c r="C83" t="s">
        <v>281</v>
      </c>
      <c r="D83">
        <v>175.98873458899399</v>
      </c>
      <c r="E83">
        <v>0</v>
      </c>
      <c r="F83">
        <v>0</v>
      </c>
      <c r="G83">
        <v>99.551999999999893</v>
      </c>
      <c r="H83">
        <v>178.2</v>
      </c>
      <c r="I83">
        <v>0</v>
      </c>
      <c r="J83">
        <v>0</v>
      </c>
      <c r="K83">
        <v>57.599999999999902</v>
      </c>
      <c r="L83">
        <v>736.66719673256898</v>
      </c>
      <c r="M83">
        <v>105.003353243833</v>
      </c>
      <c r="N83">
        <v>0</v>
      </c>
      <c r="O83">
        <v>0</v>
      </c>
      <c r="P83">
        <v>0</v>
      </c>
      <c r="Q83">
        <v>1353.01128456539</v>
      </c>
      <c r="R83">
        <v>0</v>
      </c>
      <c r="S83">
        <v>0</v>
      </c>
      <c r="T83">
        <v>1127.21197456</v>
      </c>
      <c r="U83">
        <v>0</v>
      </c>
      <c r="V83">
        <v>0</v>
      </c>
      <c r="W83">
        <v>0</v>
      </c>
      <c r="X83">
        <v>225.79931000539699</v>
      </c>
      <c r="Y83">
        <v>164.09091933344499</v>
      </c>
      <c r="Z83" t="s">
        <v>51</v>
      </c>
      <c r="AA83" s="2"/>
      <c r="AB83" s="2"/>
      <c r="AC83" s="2"/>
      <c r="AD83" s="2"/>
      <c r="AE83" s="2"/>
    </row>
    <row r="84" spans="1:31">
      <c r="A84" t="s">
        <v>13</v>
      </c>
      <c r="B84">
        <v>2020</v>
      </c>
      <c r="C84" t="s">
        <v>282</v>
      </c>
      <c r="D84">
        <v>175.98873458899399</v>
      </c>
      <c r="E84">
        <v>0</v>
      </c>
      <c r="F84">
        <v>0</v>
      </c>
      <c r="G84">
        <v>80.206843581424806</v>
      </c>
      <c r="H84">
        <v>178.2</v>
      </c>
      <c r="I84">
        <v>0</v>
      </c>
      <c r="J84">
        <v>0</v>
      </c>
      <c r="K84">
        <v>57.599999999999902</v>
      </c>
      <c r="L84">
        <v>111.532769589106</v>
      </c>
      <c r="M84">
        <v>141.194295744474</v>
      </c>
      <c r="N84">
        <v>0</v>
      </c>
      <c r="O84">
        <v>0</v>
      </c>
      <c r="P84">
        <v>0</v>
      </c>
      <c r="Q84">
        <v>744.72264350399996</v>
      </c>
      <c r="R84">
        <v>0</v>
      </c>
      <c r="S84">
        <v>0</v>
      </c>
      <c r="T84">
        <v>1063.8894907199999</v>
      </c>
      <c r="U84">
        <v>0</v>
      </c>
      <c r="V84">
        <v>0</v>
      </c>
      <c r="W84">
        <v>0</v>
      </c>
      <c r="X84">
        <v>-319.16684721599898</v>
      </c>
      <c r="Y84">
        <v>164.09091933344499</v>
      </c>
      <c r="Z84" t="s">
        <v>51</v>
      </c>
      <c r="AA84" s="2"/>
      <c r="AB84" s="2"/>
      <c r="AC84" s="2"/>
      <c r="AD84" s="2"/>
      <c r="AE84" s="2"/>
    </row>
    <row r="85" spans="1:31">
      <c r="A85" t="s">
        <v>13</v>
      </c>
      <c r="B85">
        <v>2020</v>
      </c>
      <c r="C85" t="s">
        <v>283</v>
      </c>
      <c r="D85">
        <v>175.98873458899399</v>
      </c>
      <c r="E85">
        <v>0</v>
      </c>
      <c r="F85">
        <v>0</v>
      </c>
      <c r="G85">
        <v>187.24060252917701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114.98903849082799</v>
      </c>
      <c r="N85">
        <v>0</v>
      </c>
      <c r="O85">
        <v>0</v>
      </c>
      <c r="P85">
        <v>0</v>
      </c>
      <c r="Q85">
        <v>714.01837560899901</v>
      </c>
      <c r="R85">
        <v>0</v>
      </c>
      <c r="S85">
        <v>0</v>
      </c>
      <c r="T85">
        <v>1020.02625087</v>
      </c>
      <c r="U85">
        <v>0</v>
      </c>
      <c r="V85">
        <v>0</v>
      </c>
      <c r="W85">
        <v>0</v>
      </c>
      <c r="X85">
        <v>-306.00787526099998</v>
      </c>
      <c r="Y85">
        <v>164.09091933344499</v>
      </c>
      <c r="Z85" t="s">
        <v>51</v>
      </c>
      <c r="AA85" s="2"/>
      <c r="AB85" s="2"/>
      <c r="AC85" s="2"/>
      <c r="AD85" s="2"/>
      <c r="AE85" s="2"/>
    </row>
    <row r="86" spans="1:31">
      <c r="A86" t="s">
        <v>13</v>
      </c>
      <c r="B86">
        <v>2020</v>
      </c>
      <c r="C86" t="s">
        <v>284</v>
      </c>
      <c r="D86">
        <v>175.98873458899399</v>
      </c>
      <c r="E86">
        <v>0</v>
      </c>
      <c r="F86">
        <v>0</v>
      </c>
      <c r="G86">
        <v>248.928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93.181716727653196</v>
      </c>
      <c r="N86">
        <v>0</v>
      </c>
      <c r="O86">
        <v>0</v>
      </c>
      <c r="P86">
        <v>0</v>
      </c>
      <c r="Q86">
        <v>753.89845131664697</v>
      </c>
      <c r="R86">
        <v>0</v>
      </c>
      <c r="S86">
        <v>0</v>
      </c>
      <c r="T86">
        <v>810.92037938600004</v>
      </c>
      <c r="U86">
        <v>0</v>
      </c>
      <c r="V86">
        <v>0</v>
      </c>
      <c r="W86">
        <v>0</v>
      </c>
      <c r="X86">
        <v>-57.021928069352498</v>
      </c>
      <c r="Y86">
        <v>164.09091933344499</v>
      </c>
      <c r="Z86" t="s">
        <v>51</v>
      </c>
      <c r="AA86" s="2"/>
      <c r="AB86" s="2"/>
      <c r="AC86" s="2"/>
      <c r="AD86" s="2"/>
      <c r="AE86" s="2"/>
    </row>
    <row r="87" spans="1:31">
      <c r="A87" t="s">
        <v>13</v>
      </c>
      <c r="B87">
        <v>2020</v>
      </c>
      <c r="C87" t="s">
        <v>177</v>
      </c>
      <c r="D87">
        <v>175.98873458899399</v>
      </c>
      <c r="E87">
        <v>0</v>
      </c>
      <c r="F87">
        <v>0</v>
      </c>
      <c r="G87">
        <v>99.551999999999893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25.713180986978099</v>
      </c>
      <c r="N87">
        <v>0</v>
      </c>
      <c r="O87">
        <v>0</v>
      </c>
      <c r="P87">
        <v>0</v>
      </c>
      <c r="Q87">
        <v>537.05391557597204</v>
      </c>
      <c r="R87">
        <v>0</v>
      </c>
      <c r="S87">
        <v>0</v>
      </c>
      <c r="T87">
        <v>618.58346987499999</v>
      </c>
      <c r="U87">
        <v>0</v>
      </c>
      <c r="V87">
        <v>0</v>
      </c>
      <c r="W87">
        <v>0</v>
      </c>
      <c r="X87">
        <v>-81.529554299027595</v>
      </c>
      <c r="Y87">
        <v>164.09091933344499</v>
      </c>
      <c r="Z87" t="s">
        <v>52</v>
      </c>
      <c r="AA87" s="2"/>
      <c r="AB87" s="2"/>
      <c r="AC87" s="2"/>
      <c r="AD87" s="2"/>
      <c r="AE87" s="2"/>
    </row>
    <row r="88" spans="1:31">
      <c r="A88" t="s">
        <v>13</v>
      </c>
      <c r="B88">
        <v>2020</v>
      </c>
      <c r="C88" t="s">
        <v>178</v>
      </c>
      <c r="D88">
        <v>175.98873458899399</v>
      </c>
      <c r="E88">
        <v>0</v>
      </c>
      <c r="F88">
        <v>0</v>
      </c>
      <c r="G88">
        <v>199.10399999999899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39.096337287272</v>
      </c>
      <c r="N88">
        <v>0</v>
      </c>
      <c r="O88">
        <v>0</v>
      </c>
      <c r="P88">
        <v>0</v>
      </c>
      <c r="Q88">
        <v>649.98907187626605</v>
      </c>
      <c r="R88">
        <v>0</v>
      </c>
      <c r="S88">
        <v>0</v>
      </c>
      <c r="T88">
        <v>547.35325797899998</v>
      </c>
      <c r="U88">
        <v>0</v>
      </c>
      <c r="V88">
        <v>0</v>
      </c>
      <c r="W88">
        <v>0</v>
      </c>
      <c r="X88">
        <v>102.635813897266</v>
      </c>
      <c r="Y88">
        <v>164.09091933344499</v>
      </c>
      <c r="Z88" t="s">
        <v>52</v>
      </c>
      <c r="AA88" s="2"/>
      <c r="AB88" s="2"/>
      <c r="AC88" s="2"/>
      <c r="AD88" s="2"/>
      <c r="AE88" s="2"/>
    </row>
    <row r="89" spans="1:31">
      <c r="A89" t="s">
        <v>13</v>
      </c>
      <c r="B89">
        <v>2020</v>
      </c>
      <c r="C89" t="s">
        <v>179</v>
      </c>
      <c r="D89">
        <v>175.98873458899399</v>
      </c>
      <c r="E89">
        <v>0</v>
      </c>
      <c r="F89">
        <v>0</v>
      </c>
      <c r="G89">
        <v>149.37599999999901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47.407783273571603</v>
      </c>
      <c r="N89">
        <v>0</v>
      </c>
      <c r="O89">
        <v>0</v>
      </c>
      <c r="P89">
        <v>0</v>
      </c>
      <c r="Q89">
        <v>608.57251786256597</v>
      </c>
      <c r="R89">
        <v>0</v>
      </c>
      <c r="S89">
        <v>0</v>
      </c>
      <c r="T89">
        <v>623.59253812199995</v>
      </c>
      <c r="U89">
        <v>0</v>
      </c>
      <c r="V89">
        <v>0</v>
      </c>
      <c r="W89">
        <v>0</v>
      </c>
      <c r="X89">
        <v>-15.020020259433799</v>
      </c>
      <c r="Y89">
        <v>164.09091933344499</v>
      </c>
      <c r="Z89" t="s">
        <v>52</v>
      </c>
      <c r="AA89" s="2"/>
      <c r="AB89" s="2"/>
      <c r="AC89" s="2"/>
      <c r="AD89" s="2"/>
      <c r="AE89" s="2"/>
    </row>
    <row r="90" spans="1:31">
      <c r="A90" t="s">
        <v>13</v>
      </c>
      <c r="B90">
        <v>2020</v>
      </c>
      <c r="C90" t="s">
        <v>180</v>
      </c>
      <c r="D90">
        <v>175.98873458899399</v>
      </c>
      <c r="E90">
        <v>0</v>
      </c>
      <c r="F90">
        <v>0</v>
      </c>
      <c r="G90">
        <v>166.21650345108799</v>
      </c>
      <c r="H90">
        <v>178.2</v>
      </c>
      <c r="I90">
        <v>0</v>
      </c>
      <c r="J90">
        <v>0</v>
      </c>
      <c r="K90">
        <v>57.599999999999902</v>
      </c>
      <c r="L90">
        <v>30.775051654314399</v>
      </c>
      <c r="M90">
        <v>40.587670082502299</v>
      </c>
      <c r="N90">
        <v>0</v>
      </c>
      <c r="O90">
        <v>0</v>
      </c>
      <c r="P90">
        <v>0</v>
      </c>
      <c r="Q90">
        <v>649.36795977689997</v>
      </c>
      <c r="R90">
        <v>0</v>
      </c>
      <c r="S90">
        <v>0</v>
      </c>
      <c r="T90">
        <v>927.66851396699997</v>
      </c>
      <c r="U90">
        <v>0</v>
      </c>
      <c r="V90">
        <v>0</v>
      </c>
      <c r="W90">
        <v>0</v>
      </c>
      <c r="X90">
        <v>-278.3005541901</v>
      </c>
      <c r="Y90">
        <v>164.09091933344499</v>
      </c>
      <c r="Z90" t="s">
        <v>52</v>
      </c>
      <c r="AA90" s="2"/>
      <c r="AB90" s="2"/>
      <c r="AC90" s="2"/>
      <c r="AD90" s="2"/>
      <c r="AE90" s="2"/>
    </row>
    <row r="91" spans="1:31">
      <c r="A91" t="s">
        <v>13</v>
      </c>
      <c r="B91">
        <v>2020</v>
      </c>
      <c r="C91" t="s">
        <v>181</v>
      </c>
      <c r="D91">
        <v>175.98873458899399</v>
      </c>
      <c r="E91">
        <v>0</v>
      </c>
      <c r="F91">
        <v>0</v>
      </c>
      <c r="G91">
        <v>215.325750396914</v>
      </c>
      <c r="H91">
        <v>178.2</v>
      </c>
      <c r="I91">
        <v>0</v>
      </c>
      <c r="J91">
        <v>0</v>
      </c>
      <c r="K91">
        <v>57.599999999999902</v>
      </c>
      <c r="L91">
        <v>616.17756731972804</v>
      </c>
      <c r="M91">
        <v>23.810544684781199</v>
      </c>
      <c r="N91">
        <v>0</v>
      </c>
      <c r="O91">
        <v>0</v>
      </c>
      <c r="P91">
        <v>0</v>
      </c>
      <c r="Q91">
        <v>1267.1025969904099</v>
      </c>
      <c r="R91">
        <v>0</v>
      </c>
      <c r="S91">
        <v>0</v>
      </c>
      <c r="T91">
        <v>1108.4261147300001</v>
      </c>
      <c r="U91">
        <v>0</v>
      </c>
      <c r="V91">
        <v>0</v>
      </c>
      <c r="W91">
        <v>0</v>
      </c>
      <c r="X91">
        <v>158.676482260418</v>
      </c>
      <c r="Y91">
        <v>164.09091933344499</v>
      </c>
      <c r="Z91" t="s">
        <v>52</v>
      </c>
      <c r="AA91" s="2"/>
      <c r="AB91" s="2"/>
      <c r="AC91" s="2"/>
      <c r="AD91" s="2"/>
      <c r="AE91" s="2"/>
    </row>
    <row r="92" spans="1:31">
      <c r="A92" t="s">
        <v>13</v>
      </c>
      <c r="B92">
        <v>2020</v>
      </c>
      <c r="C92" t="s">
        <v>182</v>
      </c>
      <c r="D92">
        <v>175.98873458899399</v>
      </c>
      <c r="E92">
        <v>0</v>
      </c>
      <c r="F92">
        <v>0</v>
      </c>
      <c r="G92">
        <v>99.551999999999893</v>
      </c>
      <c r="H92">
        <v>178.2</v>
      </c>
      <c r="I92">
        <v>0</v>
      </c>
      <c r="J92">
        <v>0</v>
      </c>
      <c r="K92">
        <v>57.599999999999902</v>
      </c>
      <c r="L92">
        <v>798.79182340085003</v>
      </c>
      <c r="M92">
        <v>26.234780489803999</v>
      </c>
      <c r="N92">
        <v>0</v>
      </c>
      <c r="O92">
        <v>0</v>
      </c>
      <c r="P92">
        <v>0</v>
      </c>
      <c r="Q92">
        <v>1336.36733847964</v>
      </c>
      <c r="R92">
        <v>0</v>
      </c>
      <c r="S92">
        <v>0</v>
      </c>
      <c r="T92">
        <v>1202.2427918200001</v>
      </c>
      <c r="U92">
        <v>0</v>
      </c>
      <c r="V92">
        <v>0</v>
      </c>
      <c r="W92">
        <v>0</v>
      </c>
      <c r="X92">
        <v>134.12454665964799</v>
      </c>
      <c r="Y92">
        <v>164.09091933344499</v>
      </c>
      <c r="Z92" t="s">
        <v>52</v>
      </c>
      <c r="AA92" s="2"/>
      <c r="AB92" s="2"/>
      <c r="AC92" s="2"/>
      <c r="AD92" s="2"/>
      <c r="AE92" s="2"/>
    </row>
    <row r="93" spans="1:31">
      <c r="A93" t="s">
        <v>13</v>
      </c>
      <c r="B93">
        <v>2020</v>
      </c>
      <c r="C93" t="s">
        <v>183</v>
      </c>
      <c r="D93">
        <v>175.98873458899399</v>
      </c>
      <c r="E93">
        <v>0</v>
      </c>
      <c r="F93">
        <v>0</v>
      </c>
      <c r="G93">
        <v>248.928</v>
      </c>
      <c r="H93">
        <v>178.2</v>
      </c>
      <c r="I93">
        <v>0</v>
      </c>
      <c r="J93">
        <v>0</v>
      </c>
      <c r="K93">
        <v>57.599999999999902</v>
      </c>
      <c r="L93">
        <v>830.45062526546599</v>
      </c>
      <c r="M93">
        <v>34.375649302724803</v>
      </c>
      <c r="N93">
        <v>0</v>
      </c>
      <c r="O93">
        <v>0</v>
      </c>
      <c r="P93">
        <v>0</v>
      </c>
      <c r="Q93">
        <v>1525.54300915718</v>
      </c>
      <c r="R93">
        <v>0</v>
      </c>
      <c r="S93">
        <v>0</v>
      </c>
      <c r="T93">
        <v>1231.21857937</v>
      </c>
      <c r="U93">
        <v>0</v>
      </c>
      <c r="V93">
        <v>0</v>
      </c>
      <c r="W93">
        <v>0</v>
      </c>
      <c r="X93">
        <v>294.32442978718598</v>
      </c>
      <c r="Y93">
        <v>164.09091933344499</v>
      </c>
      <c r="Z93" t="s">
        <v>52</v>
      </c>
      <c r="AA93" s="2"/>
      <c r="AB93" s="2"/>
      <c r="AC93" s="2"/>
      <c r="AD93" s="2"/>
      <c r="AE93" s="2"/>
    </row>
    <row r="94" spans="1:31">
      <c r="A94" t="s">
        <v>13</v>
      </c>
      <c r="B94">
        <v>2020</v>
      </c>
      <c r="C94" t="s">
        <v>184</v>
      </c>
      <c r="D94">
        <v>175.98873458899399</v>
      </c>
      <c r="E94">
        <v>0</v>
      </c>
      <c r="F94">
        <v>0</v>
      </c>
      <c r="G94">
        <v>248.928</v>
      </c>
      <c r="H94">
        <v>178.2</v>
      </c>
      <c r="I94">
        <v>0</v>
      </c>
      <c r="J94">
        <v>0</v>
      </c>
      <c r="K94">
        <v>57.599999999999902</v>
      </c>
      <c r="L94">
        <v>796.62176191026401</v>
      </c>
      <c r="M94">
        <v>39.3666833753201</v>
      </c>
      <c r="N94">
        <v>0</v>
      </c>
      <c r="O94">
        <v>0</v>
      </c>
      <c r="P94">
        <v>0</v>
      </c>
      <c r="Q94">
        <v>1496.7051798745699</v>
      </c>
      <c r="R94">
        <v>0</v>
      </c>
      <c r="S94">
        <v>0</v>
      </c>
      <c r="T94">
        <v>1241</v>
      </c>
      <c r="U94">
        <v>0</v>
      </c>
      <c r="V94">
        <v>0</v>
      </c>
      <c r="W94">
        <v>0</v>
      </c>
      <c r="X94">
        <v>255.70517987457899</v>
      </c>
      <c r="Y94">
        <v>164.09091933344499</v>
      </c>
      <c r="Z94" t="s">
        <v>52</v>
      </c>
      <c r="AA94" s="2"/>
      <c r="AB94" s="2"/>
      <c r="AC94" s="2"/>
      <c r="AD94" s="2"/>
      <c r="AE94" s="2"/>
    </row>
    <row r="95" spans="1:31">
      <c r="A95" t="s">
        <v>13</v>
      </c>
      <c r="B95">
        <v>2020</v>
      </c>
      <c r="C95" t="s">
        <v>185</v>
      </c>
      <c r="D95">
        <v>175.98873458899399</v>
      </c>
      <c r="E95">
        <v>0</v>
      </c>
      <c r="F95">
        <v>0</v>
      </c>
      <c r="G95">
        <v>248.928</v>
      </c>
      <c r="H95">
        <v>178.2</v>
      </c>
      <c r="I95">
        <v>0</v>
      </c>
      <c r="J95">
        <v>0</v>
      </c>
      <c r="K95">
        <v>57.599999999999902</v>
      </c>
      <c r="L95">
        <v>719.96508151467901</v>
      </c>
      <c r="M95">
        <v>42.330836556471397</v>
      </c>
      <c r="N95">
        <v>0</v>
      </c>
      <c r="O95">
        <v>0</v>
      </c>
      <c r="P95">
        <v>0</v>
      </c>
      <c r="Q95">
        <v>1423.01265266014</v>
      </c>
      <c r="R95">
        <v>0</v>
      </c>
      <c r="S95">
        <v>0</v>
      </c>
      <c r="T95">
        <v>1196.0504652</v>
      </c>
      <c r="U95">
        <v>0</v>
      </c>
      <c r="V95">
        <v>0</v>
      </c>
      <c r="W95">
        <v>0</v>
      </c>
      <c r="X95">
        <v>226.962187460145</v>
      </c>
      <c r="Y95">
        <v>164.09091933344499</v>
      </c>
      <c r="Z95" t="s">
        <v>52</v>
      </c>
      <c r="AA95" s="2"/>
      <c r="AB95" s="2"/>
      <c r="AC95" s="2"/>
      <c r="AD95" s="2"/>
      <c r="AE95" s="2"/>
    </row>
    <row r="96" spans="1:31">
      <c r="A96" t="s">
        <v>13</v>
      </c>
      <c r="B96">
        <v>2020</v>
      </c>
      <c r="C96" t="s">
        <v>186</v>
      </c>
      <c r="D96">
        <v>175.98873458899399</v>
      </c>
      <c r="E96">
        <v>0</v>
      </c>
      <c r="F96">
        <v>0</v>
      </c>
      <c r="G96">
        <v>272.52968554661402</v>
      </c>
      <c r="H96">
        <v>178.2</v>
      </c>
      <c r="I96">
        <v>0</v>
      </c>
      <c r="J96">
        <v>0</v>
      </c>
      <c r="K96">
        <v>57.599999999999902</v>
      </c>
      <c r="L96">
        <v>71.7045037612248</v>
      </c>
      <c r="M96">
        <v>75.635520335166305</v>
      </c>
      <c r="N96">
        <v>0</v>
      </c>
      <c r="O96">
        <v>0</v>
      </c>
      <c r="P96">
        <v>0</v>
      </c>
      <c r="Q96">
        <v>831.65844423199997</v>
      </c>
      <c r="R96">
        <v>0</v>
      </c>
      <c r="S96">
        <v>0</v>
      </c>
      <c r="T96">
        <v>1188.08349176</v>
      </c>
      <c r="U96">
        <v>0</v>
      </c>
      <c r="V96">
        <v>0</v>
      </c>
      <c r="W96">
        <v>0</v>
      </c>
      <c r="X96">
        <v>-356.42504752799999</v>
      </c>
      <c r="Y96">
        <v>166.91962553905</v>
      </c>
      <c r="Z96" t="s">
        <v>52</v>
      </c>
      <c r="AA96" s="2"/>
      <c r="AB96" s="2"/>
      <c r="AC96" s="2"/>
      <c r="AD96" s="2"/>
      <c r="AE96" s="2"/>
    </row>
    <row r="97" spans="1:31">
      <c r="A97" t="s">
        <v>13</v>
      </c>
      <c r="B97">
        <v>2020</v>
      </c>
      <c r="C97" t="s">
        <v>187</v>
      </c>
      <c r="D97">
        <v>175.98873458899399</v>
      </c>
      <c r="E97">
        <v>0</v>
      </c>
      <c r="F97">
        <v>0</v>
      </c>
      <c r="G97">
        <v>298.80642863284999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65.928849406155294</v>
      </c>
      <c r="N97">
        <v>0</v>
      </c>
      <c r="O97">
        <v>0</v>
      </c>
      <c r="P97">
        <v>0</v>
      </c>
      <c r="Q97">
        <v>776.52401262799901</v>
      </c>
      <c r="R97">
        <v>0</v>
      </c>
      <c r="S97">
        <v>0</v>
      </c>
      <c r="T97">
        <v>1109.3200180399999</v>
      </c>
      <c r="U97">
        <v>0</v>
      </c>
      <c r="V97">
        <v>0</v>
      </c>
      <c r="W97">
        <v>0</v>
      </c>
      <c r="X97">
        <v>-332.79600541199898</v>
      </c>
      <c r="Y97">
        <v>166.91962553905</v>
      </c>
      <c r="Z97" t="s">
        <v>52</v>
      </c>
      <c r="AA97" s="2"/>
      <c r="AB97" s="2"/>
      <c r="AC97" s="2"/>
      <c r="AD97" s="2"/>
      <c r="AE97" s="2"/>
    </row>
    <row r="98" spans="1:31">
      <c r="A98" t="s">
        <v>13</v>
      </c>
      <c r="B98">
        <v>2020</v>
      </c>
      <c r="C98" t="s">
        <v>188</v>
      </c>
      <c r="D98">
        <v>175.98873458899399</v>
      </c>
      <c r="E98">
        <v>0</v>
      </c>
      <c r="F98">
        <v>0</v>
      </c>
      <c r="G98">
        <v>248.928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48.922415216322698</v>
      </c>
      <c r="N98">
        <v>0</v>
      </c>
      <c r="O98">
        <v>0</v>
      </c>
      <c r="P98">
        <v>0</v>
      </c>
      <c r="Q98">
        <v>709.63914980531695</v>
      </c>
      <c r="R98">
        <v>0</v>
      </c>
      <c r="S98">
        <v>0</v>
      </c>
      <c r="T98">
        <v>817.99660805600001</v>
      </c>
      <c r="U98">
        <v>0</v>
      </c>
      <c r="V98">
        <v>0</v>
      </c>
      <c r="W98">
        <v>0</v>
      </c>
      <c r="X98">
        <v>-108.357458250682</v>
      </c>
      <c r="Y98">
        <v>164.09091933344499</v>
      </c>
      <c r="Z98" t="s">
        <v>52</v>
      </c>
      <c r="AA98" s="2"/>
      <c r="AB98" s="2"/>
      <c r="AC98" s="2"/>
      <c r="AD98" s="2"/>
      <c r="AE98" s="2"/>
    </row>
    <row r="99" spans="1:31">
      <c r="A99" t="s">
        <v>13</v>
      </c>
      <c r="B99">
        <v>2020</v>
      </c>
      <c r="C99" t="s">
        <v>189</v>
      </c>
      <c r="D99">
        <v>175.98873458899399</v>
      </c>
      <c r="E99">
        <v>0</v>
      </c>
      <c r="F99">
        <v>0</v>
      </c>
      <c r="G99">
        <v>0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64.264565976939295</v>
      </c>
      <c r="N99">
        <v>0</v>
      </c>
      <c r="O99">
        <v>0</v>
      </c>
      <c r="P99">
        <v>0</v>
      </c>
      <c r="Q99">
        <v>476.053300565933</v>
      </c>
      <c r="R99">
        <v>0</v>
      </c>
      <c r="S99">
        <v>0</v>
      </c>
      <c r="T99">
        <v>593.07841839699995</v>
      </c>
      <c r="U99">
        <v>0</v>
      </c>
      <c r="V99">
        <v>0</v>
      </c>
      <c r="W99">
        <v>0</v>
      </c>
      <c r="X99">
        <v>-117.025117831066</v>
      </c>
      <c r="Y99">
        <v>131.214922295561</v>
      </c>
      <c r="Z99" t="s">
        <v>51</v>
      </c>
      <c r="AA99" s="2"/>
      <c r="AB99" s="2"/>
      <c r="AC99" s="2"/>
      <c r="AD99" s="2"/>
      <c r="AE99" s="2"/>
    </row>
    <row r="100" spans="1:31">
      <c r="A100" t="s">
        <v>13</v>
      </c>
      <c r="B100">
        <v>2020</v>
      </c>
      <c r="C100" t="s">
        <v>190</v>
      </c>
      <c r="D100">
        <v>175.98873458899399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67.523935263190097</v>
      </c>
      <c r="N100">
        <v>0</v>
      </c>
      <c r="O100">
        <v>0</v>
      </c>
      <c r="P100">
        <v>0</v>
      </c>
      <c r="Q100">
        <v>479.312669852184</v>
      </c>
      <c r="R100">
        <v>0</v>
      </c>
      <c r="S100">
        <v>0</v>
      </c>
      <c r="T100">
        <v>513.56563865199996</v>
      </c>
      <c r="U100">
        <v>0</v>
      </c>
      <c r="V100">
        <v>0</v>
      </c>
      <c r="W100">
        <v>0</v>
      </c>
      <c r="X100">
        <v>-34.252968799815399</v>
      </c>
      <c r="Y100">
        <v>131.214922295561</v>
      </c>
      <c r="Z100" t="s">
        <v>51</v>
      </c>
      <c r="AA100" s="2"/>
      <c r="AB100" s="2"/>
      <c r="AC100" s="2"/>
      <c r="AD100" s="2"/>
      <c r="AE100" s="2"/>
    </row>
    <row r="101" spans="1:31">
      <c r="A101" t="s">
        <v>13</v>
      </c>
      <c r="B101">
        <v>2020</v>
      </c>
      <c r="C101" t="s">
        <v>191</v>
      </c>
      <c r="D101">
        <v>175.98873458899399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43.450865410998901</v>
      </c>
      <c r="N101">
        <v>0</v>
      </c>
      <c r="O101">
        <v>0</v>
      </c>
      <c r="P101">
        <v>0</v>
      </c>
      <c r="Q101">
        <v>455.239599999993</v>
      </c>
      <c r="R101">
        <v>0</v>
      </c>
      <c r="S101">
        <v>0</v>
      </c>
      <c r="T101">
        <v>535.10028296400003</v>
      </c>
      <c r="U101">
        <v>0</v>
      </c>
      <c r="V101">
        <v>0</v>
      </c>
      <c r="W101">
        <v>0</v>
      </c>
      <c r="X101">
        <v>-79.860682964006699</v>
      </c>
      <c r="Y101">
        <v>131.214922295561</v>
      </c>
      <c r="Z101" t="s">
        <v>51</v>
      </c>
      <c r="AA101" s="2"/>
      <c r="AB101" s="2"/>
      <c r="AC101" s="2"/>
      <c r="AD101" s="2"/>
      <c r="AE101" s="2"/>
    </row>
    <row r="102" spans="1:31">
      <c r="A102" t="s">
        <v>13</v>
      </c>
      <c r="B102">
        <v>2020</v>
      </c>
      <c r="C102" t="s">
        <v>192</v>
      </c>
      <c r="D102">
        <v>175.98873458899399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0</v>
      </c>
      <c r="K102">
        <v>57.599999999999902</v>
      </c>
      <c r="L102">
        <v>58.530822487592097</v>
      </c>
      <c r="M102">
        <v>63.390110417812501</v>
      </c>
      <c r="N102">
        <v>0</v>
      </c>
      <c r="O102">
        <v>0</v>
      </c>
      <c r="P102">
        <v>0</v>
      </c>
      <c r="Q102">
        <v>533.70966749439901</v>
      </c>
      <c r="R102">
        <v>0</v>
      </c>
      <c r="S102">
        <v>0</v>
      </c>
      <c r="T102">
        <v>698.68795904599995</v>
      </c>
      <c r="U102">
        <v>0</v>
      </c>
      <c r="V102">
        <v>0</v>
      </c>
      <c r="W102">
        <v>0</v>
      </c>
      <c r="X102">
        <v>-164.97829155159999</v>
      </c>
      <c r="Y102">
        <v>131.214922295561</v>
      </c>
      <c r="Z102" t="s">
        <v>51</v>
      </c>
      <c r="AA102" s="2"/>
      <c r="AB102" s="2"/>
      <c r="AC102" s="2"/>
      <c r="AD102" s="2"/>
      <c r="AE102" s="2"/>
    </row>
    <row r="103" spans="1:31">
      <c r="A103" t="s">
        <v>13</v>
      </c>
      <c r="B103">
        <v>2020</v>
      </c>
      <c r="C103" t="s">
        <v>193</v>
      </c>
      <c r="D103">
        <v>175.98873458899399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0</v>
      </c>
      <c r="K103">
        <v>57.599999999999902</v>
      </c>
      <c r="L103">
        <v>558.56574421346897</v>
      </c>
      <c r="M103">
        <v>115.797792035767</v>
      </c>
      <c r="N103">
        <v>0</v>
      </c>
      <c r="O103">
        <v>0</v>
      </c>
      <c r="P103">
        <v>0</v>
      </c>
      <c r="Q103">
        <v>1086.1522708382299</v>
      </c>
      <c r="R103">
        <v>0</v>
      </c>
      <c r="S103">
        <v>0</v>
      </c>
      <c r="T103">
        <v>920.87155885499999</v>
      </c>
      <c r="U103">
        <v>0</v>
      </c>
      <c r="V103">
        <v>0</v>
      </c>
      <c r="W103">
        <v>0</v>
      </c>
      <c r="X103">
        <v>165.28071198323099</v>
      </c>
      <c r="Y103">
        <v>131.214922295561</v>
      </c>
      <c r="Z103" t="s">
        <v>51</v>
      </c>
      <c r="AA103" s="2"/>
      <c r="AB103" s="2"/>
      <c r="AC103" s="2"/>
      <c r="AD103" s="2"/>
      <c r="AE103" s="2"/>
    </row>
    <row r="104" spans="1:31">
      <c r="A104" t="s">
        <v>13</v>
      </c>
      <c r="B104">
        <v>2020</v>
      </c>
      <c r="C104" t="s">
        <v>194</v>
      </c>
      <c r="D104">
        <v>175.98873458899399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0</v>
      </c>
      <c r="K104">
        <v>57.599999999999902</v>
      </c>
      <c r="L104">
        <v>709.61951704239902</v>
      </c>
      <c r="M104">
        <v>97.757095442239006</v>
      </c>
      <c r="N104">
        <v>0</v>
      </c>
      <c r="O104">
        <v>0</v>
      </c>
      <c r="P104">
        <v>0</v>
      </c>
      <c r="Q104">
        <v>1219.1653470736301</v>
      </c>
      <c r="R104">
        <v>0</v>
      </c>
      <c r="S104">
        <v>0</v>
      </c>
      <c r="T104">
        <v>1008.50922961</v>
      </c>
      <c r="U104">
        <v>0</v>
      </c>
      <c r="V104">
        <v>0</v>
      </c>
      <c r="W104">
        <v>0</v>
      </c>
      <c r="X104">
        <v>210.656117463633</v>
      </c>
      <c r="Y104">
        <v>131.214922295561</v>
      </c>
      <c r="Z104" t="s">
        <v>51</v>
      </c>
      <c r="AA104" s="2"/>
      <c r="AB104" s="2"/>
      <c r="AC104" s="2"/>
      <c r="AD104" s="2"/>
      <c r="AE104" s="2"/>
    </row>
    <row r="105" spans="1:31">
      <c r="A105" t="s">
        <v>13</v>
      </c>
      <c r="B105">
        <v>2020</v>
      </c>
      <c r="C105" t="s">
        <v>195</v>
      </c>
      <c r="D105">
        <v>175.98873458899399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0</v>
      </c>
      <c r="K105">
        <v>57.599999999999902</v>
      </c>
      <c r="L105">
        <v>772.25686328329004</v>
      </c>
      <c r="M105">
        <v>119.548074654812</v>
      </c>
      <c r="N105">
        <v>0</v>
      </c>
      <c r="O105">
        <v>0</v>
      </c>
      <c r="P105">
        <v>0</v>
      </c>
      <c r="Q105">
        <v>1303.5936725270899</v>
      </c>
      <c r="R105">
        <v>0</v>
      </c>
      <c r="S105">
        <v>0</v>
      </c>
      <c r="T105">
        <v>1017.8435381</v>
      </c>
      <c r="U105">
        <v>0</v>
      </c>
      <c r="V105">
        <v>0</v>
      </c>
      <c r="W105">
        <v>0</v>
      </c>
      <c r="X105">
        <v>285.75013442709599</v>
      </c>
      <c r="Y105">
        <v>131.214922295561</v>
      </c>
      <c r="Z105" t="s">
        <v>51</v>
      </c>
      <c r="AA105" s="2"/>
      <c r="AB105" s="2"/>
      <c r="AC105" s="2"/>
      <c r="AD105" s="2"/>
      <c r="AE105" s="2"/>
    </row>
    <row r="106" spans="1:31">
      <c r="A106" t="s">
        <v>13</v>
      </c>
      <c r="B106">
        <v>2020</v>
      </c>
      <c r="C106" t="s">
        <v>196</v>
      </c>
      <c r="D106">
        <v>175.98873458899399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0</v>
      </c>
      <c r="K106">
        <v>57.599999999999902</v>
      </c>
      <c r="L106">
        <v>773.84620764492502</v>
      </c>
      <c r="M106">
        <v>107.377889668916</v>
      </c>
      <c r="N106">
        <v>0</v>
      </c>
      <c r="O106">
        <v>0</v>
      </c>
      <c r="P106">
        <v>0</v>
      </c>
      <c r="Q106">
        <v>1293.0128319028299</v>
      </c>
      <c r="R106">
        <v>0</v>
      </c>
      <c r="S106">
        <v>0</v>
      </c>
      <c r="T106">
        <v>973.66978940299998</v>
      </c>
      <c r="U106">
        <v>0</v>
      </c>
      <c r="V106">
        <v>0</v>
      </c>
      <c r="W106">
        <v>0</v>
      </c>
      <c r="X106">
        <v>319.34304249983597</v>
      </c>
      <c r="Y106">
        <v>131.214922295561</v>
      </c>
      <c r="Z106" t="s">
        <v>51</v>
      </c>
      <c r="AA106" s="2"/>
      <c r="AB106" s="2"/>
      <c r="AC106" s="2"/>
      <c r="AD106" s="2"/>
      <c r="AE106" s="2"/>
    </row>
    <row r="107" spans="1:31">
      <c r="A107" t="s">
        <v>13</v>
      </c>
      <c r="B107">
        <v>2020</v>
      </c>
      <c r="C107" t="s">
        <v>197</v>
      </c>
      <c r="D107">
        <v>175.98873458899399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0</v>
      </c>
      <c r="K107">
        <v>57.599999999999902</v>
      </c>
      <c r="L107">
        <v>675.20252849732401</v>
      </c>
      <c r="M107">
        <v>110.946451746573</v>
      </c>
      <c r="N107">
        <v>0</v>
      </c>
      <c r="O107">
        <v>0</v>
      </c>
      <c r="P107">
        <v>0</v>
      </c>
      <c r="Q107">
        <v>1197.9377148328899</v>
      </c>
      <c r="R107">
        <v>0</v>
      </c>
      <c r="S107">
        <v>0</v>
      </c>
      <c r="T107">
        <v>965.68949568000005</v>
      </c>
      <c r="U107">
        <v>0</v>
      </c>
      <c r="V107">
        <v>0</v>
      </c>
      <c r="W107">
        <v>0</v>
      </c>
      <c r="X107">
        <v>232.24821915289101</v>
      </c>
      <c r="Y107">
        <v>131.214922295561</v>
      </c>
      <c r="Z107" t="s">
        <v>51</v>
      </c>
      <c r="AA107" s="2"/>
      <c r="AB107" s="2"/>
      <c r="AC107" s="2"/>
      <c r="AD107" s="2"/>
      <c r="AE107" s="2"/>
    </row>
    <row r="108" spans="1:31">
      <c r="A108" t="s">
        <v>13</v>
      </c>
      <c r="B108">
        <v>2020</v>
      </c>
      <c r="C108" t="s">
        <v>198</v>
      </c>
      <c r="D108">
        <v>175.98873458899399</v>
      </c>
      <c r="E108">
        <v>0</v>
      </c>
      <c r="F108">
        <v>0</v>
      </c>
      <c r="G108">
        <v>165.38519143539901</v>
      </c>
      <c r="H108">
        <v>178.2</v>
      </c>
      <c r="I108">
        <v>0</v>
      </c>
      <c r="J108">
        <v>0</v>
      </c>
      <c r="K108">
        <v>57.599999999999902</v>
      </c>
      <c r="L108">
        <v>20.653514318375802</v>
      </c>
      <c r="M108">
        <v>124.23404462723001</v>
      </c>
      <c r="N108">
        <v>0</v>
      </c>
      <c r="O108">
        <v>0</v>
      </c>
      <c r="P108">
        <v>0</v>
      </c>
      <c r="Q108">
        <v>722.06148496999901</v>
      </c>
      <c r="R108">
        <v>0</v>
      </c>
      <c r="S108">
        <v>0</v>
      </c>
      <c r="T108">
        <v>1031.5164070999999</v>
      </c>
      <c r="U108">
        <v>0</v>
      </c>
      <c r="V108">
        <v>0</v>
      </c>
      <c r="W108">
        <v>0</v>
      </c>
      <c r="X108">
        <v>-309.45492212999898</v>
      </c>
      <c r="Y108">
        <v>164.09091933344499</v>
      </c>
      <c r="Z108" t="s">
        <v>51</v>
      </c>
      <c r="AA108" s="2"/>
      <c r="AB108" s="2"/>
      <c r="AC108" s="2"/>
      <c r="AD108" s="2"/>
      <c r="AE108" s="2"/>
    </row>
    <row r="109" spans="1:31">
      <c r="A109" t="s">
        <v>13</v>
      </c>
      <c r="B109">
        <v>2020</v>
      </c>
      <c r="C109" t="s">
        <v>199</v>
      </c>
      <c r="D109">
        <v>175.98873458899399</v>
      </c>
      <c r="E109">
        <v>0</v>
      </c>
      <c r="F109">
        <v>0</v>
      </c>
      <c r="G109">
        <v>110.503968645643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123.716186160462</v>
      </c>
      <c r="N109">
        <v>0</v>
      </c>
      <c r="O109">
        <v>0</v>
      </c>
      <c r="P109">
        <v>0</v>
      </c>
      <c r="Q109">
        <v>646.00888939510003</v>
      </c>
      <c r="R109">
        <v>0</v>
      </c>
      <c r="S109">
        <v>0</v>
      </c>
      <c r="T109">
        <v>922.86984199300002</v>
      </c>
      <c r="U109">
        <v>0</v>
      </c>
      <c r="V109">
        <v>0</v>
      </c>
      <c r="W109">
        <v>0</v>
      </c>
      <c r="X109">
        <v>-276.8609525979</v>
      </c>
      <c r="Y109">
        <v>164.09091933344499</v>
      </c>
      <c r="Z109" t="s">
        <v>51</v>
      </c>
      <c r="AA109" s="2"/>
      <c r="AB109" s="2"/>
      <c r="AC109" s="2"/>
      <c r="AD109" s="2"/>
      <c r="AE109" s="2"/>
    </row>
    <row r="110" spans="1:31">
      <c r="A110" t="s">
        <v>13</v>
      </c>
      <c r="B110">
        <v>2020</v>
      </c>
      <c r="C110" t="s">
        <v>200</v>
      </c>
      <c r="D110">
        <v>175.98873458899399</v>
      </c>
      <c r="E110">
        <v>0</v>
      </c>
      <c r="F110">
        <v>0</v>
      </c>
      <c r="G110">
        <v>9.6928741658656108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117.15740043384</v>
      </c>
      <c r="N110">
        <v>0</v>
      </c>
      <c r="O110">
        <v>0</v>
      </c>
      <c r="P110">
        <v>0</v>
      </c>
      <c r="Q110">
        <v>538.63900918869899</v>
      </c>
      <c r="R110">
        <v>0</v>
      </c>
      <c r="S110">
        <v>0</v>
      </c>
      <c r="T110">
        <v>769.48429884100005</v>
      </c>
      <c r="U110">
        <v>0</v>
      </c>
      <c r="V110">
        <v>0</v>
      </c>
      <c r="W110">
        <v>0</v>
      </c>
      <c r="X110">
        <v>-230.84528965230001</v>
      </c>
      <c r="Y110">
        <v>164.09091933344499</v>
      </c>
      <c r="Z110" t="s">
        <v>51</v>
      </c>
      <c r="AA110" s="2"/>
      <c r="AB110" s="2"/>
      <c r="AC110" s="2"/>
      <c r="AD110" s="2"/>
      <c r="AE110" s="2"/>
    </row>
    <row r="111" spans="1:31">
      <c r="A111" t="s">
        <v>13</v>
      </c>
      <c r="B111">
        <v>2020</v>
      </c>
      <c r="C111" t="s">
        <v>201</v>
      </c>
      <c r="D111">
        <v>175.98873458899399</v>
      </c>
      <c r="E111">
        <v>0</v>
      </c>
      <c r="F111">
        <v>0</v>
      </c>
      <c r="G111">
        <v>372.479999999999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3.7538282514865098</v>
      </c>
      <c r="N111">
        <v>0</v>
      </c>
      <c r="O111">
        <v>0</v>
      </c>
      <c r="P111">
        <v>0</v>
      </c>
      <c r="Q111">
        <v>788.02256284047996</v>
      </c>
      <c r="R111">
        <v>0</v>
      </c>
      <c r="S111">
        <v>0</v>
      </c>
      <c r="T111">
        <v>545.64416941399998</v>
      </c>
      <c r="U111">
        <v>0</v>
      </c>
      <c r="V111">
        <v>0</v>
      </c>
      <c r="W111">
        <v>0</v>
      </c>
      <c r="X111">
        <v>242.37839342647999</v>
      </c>
      <c r="Y111">
        <v>166.91962553905</v>
      </c>
      <c r="Z111" t="s">
        <v>52</v>
      </c>
      <c r="AA111" s="2"/>
      <c r="AB111" s="2"/>
      <c r="AC111" s="2"/>
      <c r="AD111" s="2"/>
      <c r="AE111" s="2"/>
    </row>
    <row r="112" spans="1:31">
      <c r="A112" t="s">
        <v>13</v>
      </c>
      <c r="B112">
        <v>2020</v>
      </c>
      <c r="C112" t="s">
        <v>202</v>
      </c>
      <c r="D112">
        <v>175.98873458899399</v>
      </c>
      <c r="E112">
        <v>0</v>
      </c>
      <c r="F112">
        <v>0</v>
      </c>
      <c r="G112">
        <v>248.928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0.39185449885518903</v>
      </c>
      <c r="N112">
        <v>0</v>
      </c>
      <c r="O112">
        <v>0</v>
      </c>
      <c r="P112">
        <v>0</v>
      </c>
      <c r="Q112">
        <v>661.10858908784905</v>
      </c>
      <c r="R112">
        <v>0</v>
      </c>
      <c r="S112">
        <v>0</v>
      </c>
      <c r="T112">
        <v>484.09009976700003</v>
      </c>
      <c r="U112">
        <v>0</v>
      </c>
      <c r="V112">
        <v>0</v>
      </c>
      <c r="W112">
        <v>0</v>
      </c>
      <c r="X112">
        <v>177.018489320849</v>
      </c>
      <c r="Y112">
        <v>166.91962553905</v>
      </c>
      <c r="Z112" t="s">
        <v>52</v>
      </c>
      <c r="AA112" s="2"/>
      <c r="AB112" s="2"/>
      <c r="AC112" s="2"/>
      <c r="AD112" s="2"/>
      <c r="AE112" s="2"/>
    </row>
    <row r="113" spans="1:31">
      <c r="A113" t="s">
        <v>13</v>
      </c>
      <c r="B113">
        <v>2020</v>
      </c>
      <c r="C113" t="s">
        <v>203</v>
      </c>
      <c r="D113">
        <v>175.98873458899399</v>
      </c>
      <c r="E113">
        <v>0</v>
      </c>
      <c r="F113">
        <v>0</v>
      </c>
      <c r="G113">
        <v>248.928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0.46665396764474198</v>
      </c>
      <c r="N113">
        <v>0</v>
      </c>
      <c r="O113">
        <v>0</v>
      </c>
      <c r="P113">
        <v>0</v>
      </c>
      <c r="Q113">
        <v>661.18338855663796</v>
      </c>
      <c r="R113">
        <v>0</v>
      </c>
      <c r="S113">
        <v>0</v>
      </c>
      <c r="T113">
        <v>571.662051776</v>
      </c>
      <c r="U113">
        <v>0</v>
      </c>
      <c r="V113">
        <v>0</v>
      </c>
      <c r="W113">
        <v>0</v>
      </c>
      <c r="X113">
        <v>89.521336780639004</v>
      </c>
      <c r="Y113">
        <v>166.91962553905</v>
      </c>
      <c r="Z113" t="s">
        <v>52</v>
      </c>
      <c r="AA113" s="2"/>
      <c r="AB113" s="2"/>
      <c r="AC113" s="2"/>
      <c r="AD113" s="2"/>
      <c r="AE113" s="2"/>
    </row>
    <row r="114" spans="1:31">
      <c r="A114" t="s">
        <v>13</v>
      </c>
      <c r="B114">
        <v>2020</v>
      </c>
      <c r="C114" t="s">
        <v>204</v>
      </c>
      <c r="D114">
        <v>175.98873458899399</v>
      </c>
      <c r="E114">
        <v>0</v>
      </c>
      <c r="F114">
        <v>0</v>
      </c>
      <c r="G114">
        <v>248.928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0.319496280400491</v>
      </c>
      <c r="N114">
        <v>0</v>
      </c>
      <c r="O114">
        <v>0</v>
      </c>
      <c r="P114">
        <v>0</v>
      </c>
      <c r="Q114">
        <v>661.05227058466903</v>
      </c>
      <c r="R114">
        <v>0</v>
      </c>
      <c r="S114">
        <v>0</v>
      </c>
      <c r="T114">
        <v>860.30351110100003</v>
      </c>
      <c r="U114">
        <v>0</v>
      </c>
      <c r="V114">
        <v>0</v>
      </c>
      <c r="W114">
        <v>0</v>
      </c>
      <c r="X114">
        <v>-199.25124051633</v>
      </c>
      <c r="Y114">
        <v>166.91962553905</v>
      </c>
      <c r="Z114" t="s">
        <v>52</v>
      </c>
      <c r="AA114" s="2"/>
      <c r="AB114" s="2"/>
      <c r="AC114" s="2"/>
      <c r="AD114" s="2"/>
      <c r="AE114" s="2"/>
    </row>
    <row r="115" spans="1:31">
      <c r="A115" t="s">
        <v>13</v>
      </c>
      <c r="B115">
        <v>2020</v>
      </c>
      <c r="C115" t="s">
        <v>205</v>
      </c>
      <c r="D115">
        <v>175.98873458899399</v>
      </c>
      <c r="E115">
        <v>0</v>
      </c>
      <c r="F115">
        <v>0</v>
      </c>
      <c r="G115">
        <v>248.928</v>
      </c>
      <c r="H115">
        <v>178.2</v>
      </c>
      <c r="I115">
        <v>0</v>
      </c>
      <c r="J115">
        <v>0</v>
      </c>
      <c r="K115">
        <v>57.599999999999902</v>
      </c>
      <c r="L115">
        <v>508.787247284297</v>
      </c>
      <c r="M115">
        <v>0.54856468374762501</v>
      </c>
      <c r="N115">
        <v>0</v>
      </c>
      <c r="O115">
        <v>0</v>
      </c>
      <c r="P115">
        <v>0</v>
      </c>
      <c r="Q115">
        <v>1170.0525465570299</v>
      </c>
      <c r="R115">
        <v>0</v>
      </c>
      <c r="S115">
        <v>0</v>
      </c>
      <c r="T115">
        <v>1057.3895316999999</v>
      </c>
      <c r="U115">
        <v>0</v>
      </c>
      <c r="V115">
        <v>0</v>
      </c>
      <c r="W115">
        <v>0</v>
      </c>
      <c r="X115">
        <v>112.663014857039</v>
      </c>
      <c r="Y115">
        <v>166.91962553905</v>
      </c>
      <c r="Z115" t="s">
        <v>52</v>
      </c>
      <c r="AA115" s="2"/>
      <c r="AB115" s="2"/>
      <c r="AC115" s="2"/>
      <c r="AD115" s="2"/>
      <c r="AE115" s="2"/>
    </row>
    <row r="116" spans="1:31">
      <c r="A116" t="s">
        <v>13</v>
      </c>
      <c r="B116">
        <v>2020</v>
      </c>
      <c r="C116" t="s">
        <v>206</v>
      </c>
      <c r="D116">
        <v>175.98873458899399</v>
      </c>
      <c r="E116">
        <v>0</v>
      </c>
      <c r="F116">
        <v>0</v>
      </c>
      <c r="G116">
        <v>326.69563092274501</v>
      </c>
      <c r="H116">
        <v>178.2</v>
      </c>
      <c r="I116">
        <v>0</v>
      </c>
      <c r="J116">
        <v>0</v>
      </c>
      <c r="K116">
        <v>57.599999999999902</v>
      </c>
      <c r="L116">
        <v>643.11051842518395</v>
      </c>
      <c r="M116">
        <v>2.5971774246625801</v>
      </c>
      <c r="N116">
        <v>0</v>
      </c>
      <c r="O116">
        <v>0</v>
      </c>
      <c r="P116">
        <v>0</v>
      </c>
      <c r="Q116">
        <v>1384.19206136158</v>
      </c>
      <c r="R116">
        <v>0</v>
      </c>
      <c r="S116">
        <v>0</v>
      </c>
      <c r="T116">
        <v>1151.0352918999999</v>
      </c>
      <c r="U116">
        <v>0</v>
      </c>
      <c r="V116">
        <v>0</v>
      </c>
      <c r="W116">
        <v>0</v>
      </c>
      <c r="X116">
        <v>233.156769461587</v>
      </c>
      <c r="Y116">
        <v>166.91962553905</v>
      </c>
      <c r="Z116" t="s">
        <v>52</v>
      </c>
      <c r="AA116" s="2"/>
      <c r="AB116" s="2"/>
      <c r="AC116" s="2"/>
      <c r="AD116" s="2"/>
      <c r="AE116" s="2"/>
    </row>
    <row r="117" spans="1:31">
      <c r="A117" t="s">
        <v>13</v>
      </c>
      <c r="B117">
        <v>2020</v>
      </c>
      <c r="C117" t="s">
        <v>207</v>
      </c>
      <c r="D117">
        <v>175.98873458899399</v>
      </c>
      <c r="E117">
        <v>0</v>
      </c>
      <c r="F117">
        <v>0</v>
      </c>
      <c r="G117">
        <v>323.71199999999999</v>
      </c>
      <c r="H117">
        <v>178.2</v>
      </c>
      <c r="I117">
        <v>0</v>
      </c>
      <c r="J117">
        <v>0</v>
      </c>
      <c r="K117">
        <v>57.599999999999902</v>
      </c>
      <c r="L117">
        <v>496.90456669420598</v>
      </c>
      <c r="M117">
        <v>8.8725504644899704</v>
      </c>
      <c r="N117">
        <v>0</v>
      </c>
      <c r="O117">
        <v>0</v>
      </c>
      <c r="P117">
        <v>0</v>
      </c>
      <c r="Q117">
        <v>1241.27785174769</v>
      </c>
      <c r="R117">
        <v>0</v>
      </c>
      <c r="S117">
        <v>0</v>
      </c>
      <c r="T117">
        <v>1190.89696015</v>
      </c>
      <c r="U117">
        <v>0</v>
      </c>
      <c r="V117">
        <v>0</v>
      </c>
      <c r="W117">
        <v>0</v>
      </c>
      <c r="X117">
        <v>50.380891597691097</v>
      </c>
      <c r="Y117">
        <v>166.91962553905</v>
      </c>
      <c r="Z117" t="s">
        <v>52</v>
      </c>
      <c r="AA117" s="2"/>
      <c r="AB117" s="2"/>
      <c r="AC117" s="2"/>
      <c r="AD117" s="2"/>
      <c r="AE117" s="2"/>
    </row>
    <row r="118" spans="1:31">
      <c r="A118" t="s">
        <v>13</v>
      </c>
      <c r="B118">
        <v>2020</v>
      </c>
      <c r="C118" t="s">
        <v>208</v>
      </c>
      <c r="D118">
        <v>175.98873458899399</v>
      </c>
      <c r="E118">
        <v>0</v>
      </c>
      <c r="F118">
        <v>0</v>
      </c>
      <c r="G118">
        <v>248.928</v>
      </c>
      <c r="H118">
        <v>178.2</v>
      </c>
      <c r="I118">
        <v>0</v>
      </c>
      <c r="J118">
        <v>0</v>
      </c>
      <c r="K118">
        <v>57.599999999999902</v>
      </c>
      <c r="L118">
        <v>473.68692334393199</v>
      </c>
      <c r="M118">
        <v>8.2273099595262007</v>
      </c>
      <c r="N118">
        <v>0</v>
      </c>
      <c r="O118">
        <v>0</v>
      </c>
      <c r="P118">
        <v>0</v>
      </c>
      <c r="Q118">
        <v>1142.6309678924499</v>
      </c>
      <c r="R118">
        <v>0</v>
      </c>
      <c r="S118">
        <v>0</v>
      </c>
      <c r="T118">
        <v>1193.5131920700001</v>
      </c>
      <c r="U118">
        <v>0</v>
      </c>
      <c r="V118">
        <v>0</v>
      </c>
      <c r="W118">
        <v>0</v>
      </c>
      <c r="X118">
        <v>-50.882224177547101</v>
      </c>
      <c r="Y118">
        <v>166.91962553905</v>
      </c>
      <c r="Z118" t="s">
        <v>52</v>
      </c>
      <c r="AA118" s="2"/>
      <c r="AB118" s="2"/>
      <c r="AC118" s="2"/>
      <c r="AD118" s="2"/>
      <c r="AE118" s="2"/>
    </row>
    <row r="119" spans="1:31">
      <c r="A119" t="s">
        <v>13</v>
      </c>
      <c r="B119">
        <v>2020</v>
      </c>
      <c r="C119" t="s">
        <v>209</v>
      </c>
      <c r="D119">
        <v>175.98873458899399</v>
      </c>
      <c r="E119">
        <v>0</v>
      </c>
      <c r="F119">
        <v>0</v>
      </c>
      <c r="G119">
        <v>248.928</v>
      </c>
      <c r="H119">
        <v>178.2</v>
      </c>
      <c r="I119">
        <v>0</v>
      </c>
      <c r="J119">
        <v>0</v>
      </c>
      <c r="K119">
        <v>57.599999999999902</v>
      </c>
      <c r="L119">
        <v>577.00695391598299</v>
      </c>
      <c r="M119">
        <v>10.192369519217101</v>
      </c>
      <c r="N119">
        <v>0</v>
      </c>
      <c r="O119">
        <v>0</v>
      </c>
      <c r="P119">
        <v>0</v>
      </c>
      <c r="Q119">
        <v>1247.9160580241901</v>
      </c>
      <c r="R119">
        <v>0</v>
      </c>
      <c r="S119">
        <v>0</v>
      </c>
      <c r="T119">
        <v>1157.3853756000001</v>
      </c>
      <c r="U119">
        <v>0</v>
      </c>
      <c r="V119">
        <v>0</v>
      </c>
      <c r="W119">
        <v>0</v>
      </c>
      <c r="X119">
        <v>90.530682424195206</v>
      </c>
      <c r="Y119">
        <v>166.91962553905</v>
      </c>
      <c r="Z119" t="s">
        <v>52</v>
      </c>
      <c r="AA119" s="2"/>
      <c r="AB119" s="2"/>
      <c r="AC119" s="2"/>
      <c r="AD119" s="2"/>
      <c r="AE119" s="2"/>
    </row>
    <row r="120" spans="1:31">
      <c r="A120" t="s">
        <v>13</v>
      </c>
      <c r="B120">
        <v>2020</v>
      </c>
      <c r="C120" t="s">
        <v>210</v>
      </c>
      <c r="D120">
        <v>175.98873458899399</v>
      </c>
      <c r="E120">
        <v>0</v>
      </c>
      <c r="F120">
        <v>0</v>
      </c>
      <c r="G120">
        <v>411.69749216774397</v>
      </c>
      <c r="H120">
        <v>178.2</v>
      </c>
      <c r="I120">
        <v>0</v>
      </c>
      <c r="J120">
        <v>0</v>
      </c>
      <c r="K120">
        <v>57.599999999999902</v>
      </c>
      <c r="L120">
        <v>5.6029958206450301</v>
      </c>
      <c r="M120">
        <v>26.1009133696157</v>
      </c>
      <c r="N120">
        <v>0</v>
      </c>
      <c r="O120">
        <v>0</v>
      </c>
      <c r="P120">
        <v>0</v>
      </c>
      <c r="Q120">
        <v>855.19013594699902</v>
      </c>
      <c r="R120">
        <v>0</v>
      </c>
      <c r="S120">
        <v>0</v>
      </c>
      <c r="T120">
        <v>1221.7001942100001</v>
      </c>
      <c r="U120">
        <v>0</v>
      </c>
      <c r="V120">
        <v>0</v>
      </c>
      <c r="W120">
        <v>0</v>
      </c>
      <c r="X120">
        <v>-366.51005826300002</v>
      </c>
      <c r="Y120">
        <v>166.91962553905</v>
      </c>
      <c r="Z120" t="s">
        <v>52</v>
      </c>
      <c r="AA120" s="2"/>
      <c r="AB120" s="2"/>
      <c r="AC120" s="2"/>
      <c r="AD120" s="2"/>
      <c r="AE120" s="2"/>
    </row>
    <row r="121" spans="1:31">
      <c r="A121" t="s">
        <v>13</v>
      </c>
      <c r="B121">
        <v>2020</v>
      </c>
      <c r="C121" t="s">
        <v>211</v>
      </c>
      <c r="D121">
        <v>175.98873458899399</v>
      </c>
      <c r="E121">
        <v>0</v>
      </c>
      <c r="F121">
        <v>0</v>
      </c>
      <c r="G121">
        <v>280.55649832911803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41.367005851886901</v>
      </c>
      <c r="N121">
        <v>0</v>
      </c>
      <c r="O121">
        <v>0</v>
      </c>
      <c r="P121">
        <v>0</v>
      </c>
      <c r="Q121">
        <v>733.71223876999898</v>
      </c>
      <c r="R121">
        <v>0</v>
      </c>
      <c r="S121">
        <v>0</v>
      </c>
      <c r="T121">
        <v>1048.1603411000001</v>
      </c>
      <c r="U121">
        <v>0</v>
      </c>
      <c r="V121">
        <v>0</v>
      </c>
      <c r="W121">
        <v>0</v>
      </c>
      <c r="X121">
        <v>-314.44810232999998</v>
      </c>
      <c r="Y121">
        <v>166.91962553905</v>
      </c>
      <c r="Z121" t="s">
        <v>52</v>
      </c>
      <c r="AA121" s="2"/>
      <c r="AB121" s="2"/>
      <c r="AC121" s="2"/>
      <c r="AD121" s="2"/>
      <c r="AE121" s="2"/>
    </row>
    <row r="122" spans="1:31">
      <c r="A122" t="s">
        <v>13</v>
      </c>
      <c r="B122">
        <v>2020</v>
      </c>
      <c r="C122" t="s">
        <v>212</v>
      </c>
      <c r="D122">
        <v>175.98873458899399</v>
      </c>
      <c r="E122">
        <v>0</v>
      </c>
      <c r="F122">
        <v>0</v>
      </c>
      <c r="G122">
        <v>248.928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39.7133743084012</v>
      </c>
      <c r="N122">
        <v>0</v>
      </c>
      <c r="O122">
        <v>0</v>
      </c>
      <c r="P122">
        <v>0</v>
      </c>
      <c r="Q122">
        <v>700.43010889739503</v>
      </c>
      <c r="R122">
        <v>0</v>
      </c>
      <c r="S122">
        <v>0</v>
      </c>
      <c r="T122">
        <v>764.98806147899995</v>
      </c>
      <c r="U122">
        <v>0</v>
      </c>
      <c r="V122">
        <v>0</v>
      </c>
      <c r="W122">
        <v>0</v>
      </c>
      <c r="X122">
        <v>-64.557952581604496</v>
      </c>
      <c r="Y122">
        <v>166.91962553905</v>
      </c>
      <c r="Z122" t="s">
        <v>52</v>
      </c>
      <c r="AA122" s="2"/>
      <c r="AB122" s="2"/>
      <c r="AC122" s="2"/>
      <c r="AD122" s="2"/>
      <c r="AE122" s="2"/>
    </row>
    <row r="123" spans="1:31">
      <c r="A123" t="s">
        <v>13</v>
      </c>
      <c r="B123">
        <v>2020</v>
      </c>
      <c r="C123" t="s">
        <v>213</v>
      </c>
      <c r="D123">
        <v>175.98873458899399</v>
      </c>
      <c r="E123">
        <v>0</v>
      </c>
      <c r="F123">
        <v>0</v>
      </c>
      <c r="G123">
        <v>199.2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126.31707841409801</v>
      </c>
      <c r="N123">
        <v>0</v>
      </c>
      <c r="O123">
        <v>0</v>
      </c>
      <c r="P123">
        <v>0</v>
      </c>
      <c r="Q123">
        <v>737.305813003092</v>
      </c>
      <c r="R123">
        <v>0</v>
      </c>
      <c r="S123">
        <v>0</v>
      </c>
      <c r="T123">
        <v>616.37479046399994</v>
      </c>
      <c r="U123">
        <v>0</v>
      </c>
      <c r="V123">
        <v>0</v>
      </c>
      <c r="W123">
        <v>0</v>
      </c>
      <c r="X123">
        <v>120.931022539092</v>
      </c>
      <c r="Y123">
        <v>164.09091933344499</v>
      </c>
      <c r="Z123" t="s">
        <v>51</v>
      </c>
      <c r="AA123" s="2"/>
      <c r="AB123" s="2"/>
      <c r="AC123" s="2"/>
      <c r="AD123" s="2"/>
      <c r="AE123" s="2"/>
    </row>
    <row r="124" spans="1:31">
      <c r="A124" t="s">
        <v>13</v>
      </c>
      <c r="B124">
        <v>2020</v>
      </c>
      <c r="C124" t="s">
        <v>214</v>
      </c>
      <c r="D124">
        <v>175.98873458899399</v>
      </c>
      <c r="E124">
        <v>0</v>
      </c>
      <c r="F124">
        <v>0</v>
      </c>
      <c r="G124">
        <v>49.823999999999998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139.18969720339501</v>
      </c>
      <c r="N124">
        <v>0</v>
      </c>
      <c r="O124">
        <v>0</v>
      </c>
      <c r="P124">
        <v>0</v>
      </c>
      <c r="Q124">
        <v>600.80243179238903</v>
      </c>
      <c r="R124">
        <v>0</v>
      </c>
      <c r="S124">
        <v>0</v>
      </c>
      <c r="T124">
        <v>517.99615727000003</v>
      </c>
      <c r="U124">
        <v>0</v>
      </c>
      <c r="V124">
        <v>0</v>
      </c>
      <c r="W124">
        <v>0</v>
      </c>
      <c r="X124">
        <v>82.806274522389899</v>
      </c>
      <c r="Y124">
        <v>164.09091933344499</v>
      </c>
      <c r="Z124" t="s">
        <v>51</v>
      </c>
      <c r="AA124" s="2"/>
      <c r="AB124" s="2"/>
      <c r="AC124" s="2"/>
      <c r="AD124" s="2"/>
      <c r="AE124" s="2"/>
    </row>
    <row r="125" spans="1:31">
      <c r="A125" t="s">
        <v>13</v>
      </c>
      <c r="B125">
        <v>2020</v>
      </c>
      <c r="C125" t="s">
        <v>215</v>
      </c>
      <c r="D125">
        <v>175.98873458899399</v>
      </c>
      <c r="E125">
        <v>0</v>
      </c>
      <c r="F125">
        <v>0</v>
      </c>
      <c r="G125">
        <v>99.551999999999893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110.982969265322</v>
      </c>
      <c r="N125">
        <v>0</v>
      </c>
      <c r="O125">
        <v>0</v>
      </c>
      <c r="P125">
        <v>0</v>
      </c>
      <c r="Q125">
        <v>622.32370385431602</v>
      </c>
      <c r="R125">
        <v>0</v>
      </c>
      <c r="S125">
        <v>0</v>
      </c>
      <c r="T125">
        <v>530.22281269099994</v>
      </c>
      <c r="U125">
        <v>0</v>
      </c>
      <c r="V125">
        <v>0</v>
      </c>
      <c r="W125">
        <v>0</v>
      </c>
      <c r="X125">
        <v>92.100891163317101</v>
      </c>
      <c r="Y125">
        <v>164.09091933344499</v>
      </c>
      <c r="Z125" t="s">
        <v>51</v>
      </c>
      <c r="AA125" s="2"/>
      <c r="AB125" s="2"/>
      <c r="AC125" s="2"/>
      <c r="AD125" s="2"/>
      <c r="AE125" s="2"/>
    </row>
    <row r="126" spans="1:31">
      <c r="A126" t="s">
        <v>13</v>
      </c>
      <c r="B126">
        <v>2020</v>
      </c>
      <c r="C126" t="s">
        <v>216</v>
      </c>
      <c r="D126">
        <v>175.98873458899399</v>
      </c>
      <c r="E126">
        <v>0</v>
      </c>
      <c r="F126">
        <v>0</v>
      </c>
      <c r="G126">
        <v>248.928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137.55163098809001</v>
      </c>
      <c r="N126">
        <v>0</v>
      </c>
      <c r="O126">
        <v>0</v>
      </c>
      <c r="P126">
        <v>0</v>
      </c>
      <c r="Q126">
        <v>798.26836557708498</v>
      </c>
      <c r="R126">
        <v>0</v>
      </c>
      <c r="S126">
        <v>0</v>
      </c>
      <c r="T126">
        <v>645.36389830200005</v>
      </c>
      <c r="U126">
        <v>0</v>
      </c>
      <c r="V126">
        <v>0</v>
      </c>
      <c r="W126">
        <v>0</v>
      </c>
      <c r="X126">
        <v>152.90446727508501</v>
      </c>
      <c r="Y126">
        <v>164.09091933344499</v>
      </c>
      <c r="Z126" t="s">
        <v>51</v>
      </c>
      <c r="AA126" s="2"/>
      <c r="AB126" s="2"/>
      <c r="AC126" s="2"/>
      <c r="AD126" s="2"/>
      <c r="AE126" s="2"/>
    </row>
    <row r="127" spans="1:31">
      <c r="A127" t="s">
        <v>13</v>
      </c>
      <c r="B127">
        <v>2020</v>
      </c>
      <c r="C127" t="s">
        <v>217</v>
      </c>
      <c r="D127">
        <v>175.98873458899399</v>
      </c>
      <c r="E127">
        <v>0</v>
      </c>
      <c r="F127">
        <v>0</v>
      </c>
      <c r="G127">
        <v>199.2</v>
      </c>
      <c r="H127">
        <v>178.2</v>
      </c>
      <c r="I127">
        <v>0</v>
      </c>
      <c r="J127">
        <v>0</v>
      </c>
      <c r="K127">
        <v>57.599999999999902</v>
      </c>
      <c r="L127">
        <v>185.373632075042</v>
      </c>
      <c r="M127">
        <v>130.28339644914399</v>
      </c>
      <c r="N127">
        <v>0</v>
      </c>
      <c r="O127">
        <v>0</v>
      </c>
      <c r="P127">
        <v>0</v>
      </c>
      <c r="Q127">
        <v>926.64576311318103</v>
      </c>
      <c r="R127">
        <v>0</v>
      </c>
      <c r="S127">
        <v>0</v>
      </c>
      <c r="T127">
        <v>867.36342143299998</v>
      </c>
      <c r="U127">
        <v>0</v>
      </c>
      <c r="V127">
        <v>0</v>
      </c>
      <c r="W127">
        <v>0</v>
      </c>
      <c r="X127">
        <v>59.282341680181901</v>
      </c>
      <c r="Y127">
        <v>164.09091933344499</v>
      </c>
      <c r="Z127" t="s">
        <v>51</v>
      </c>
      <c r="AA127" s="2"/>
      <c r="AB127" s="2"/>
      <c r="AC127" s="2"/>
      <c r="AD127" s="2"/>
      <c r="AE127" s="2"/>
    </row>
    <row r="128" spans="1:31">
      <c r="A128" t="s">
        <v>13</v>
      </c>
      <c r="B128">
        <v>2020</v>
      </c>
      <c r="C128" t="s">
        <v>218</v>
      </c>
      <c r="D128">
        <v>175.98873458899399</v>
      </c>
      <c r="E128">
        <v>0</v>
      </c>
      <c r="F128">
        <v>0</v>
      </c>
      <c r="G128">
        <v>64.954809830738199</v>
      </c>
      <c r="H128">
        <v>178.2</v>
      </c>
      <c r="I128">
        <v>0</v>
      </c>
      <c r="J128">
        <v>0</v>
      </c>
      <c r="K128">
        <v>57.599999999999902</v>
      </c>
      <c r="L128">
        <v>352.166115743148</v>
      </c>
      <c r="M128">
        <v>136.764199179087</v>
      </c>
      <c r="N128">
        <v>0</v>
      </c>
      <c r="O128">
        <v>0</v>
      </c>
      <c r="P128">
        <v>0</v>
      </c>
      <c r="Q128">
        <v>965.67385934196795</v>
      </c>
      <c r="R128">
        <v>0</v>
      </c>
      <c r="S128">
        <v>0</v>
      </c>
      <c r="T128">
        <v>961.653450013</v>
      </c>
      <c r="U128">
        <v>0</v>
      </c>
      <c r="V128">
        <v>0</v>
      </c>
      <c r="W128">
        <v>0</v>
      </c>
      <c r="X128">
        <v>4.0204093289687099</v>
      </c>
      <c r="Y128">
        <v>164.09091933344499</v>
      </c>
      <c r="Z128" t="s">
        <v>51</v>
      </c>
      <c r="AA128" s="2"/>
      <c r="AB128" s="2"/>
      <c r="AC128" s="2"/>
      <c r="AD128" s="2"/>
      <c r="AE128" s="2"/>
    </row>
    <row r="129" spans="1:31">
      <c r="A129" t="s">
        <v>13</v>
      </c>
      <c r="B129">
        <v>2020</v>
      </c>
      <c r="C129" t="s">
        <v>219</v>
      </c>
      <c r="D129">
        <v>175.98873458899399</v>
      </c>
      <c r="E129">
        <v>0</v>
      </c>
      <c r="F129">
        <v>0</v>
      </c>
      <c r="G129">
        <v>99.551999999999893</v>
      </c>
      <c r="H129">
        <v>178.2</v>
      </c>
      <c r="I129">
        <v>0</v>
      </c>
      <c r="J129">
        <v>0</v>
      </c>
      <c r="K129">
        <v>57.599999999999902</v>
      </c>
      <c r="L129">
        <v>437.14734690656002</v>
      </c>
      <c r="M129">
        <v>149.044104088056</v>
      </c>
      <c r="N129">
        <v>0</v>
      </c>
      <c r="O129">
        <v>0</v>
      </c>
      <c r="P129">
        <v>0</v>
      </c>
      <c r="Q129">
        <v>1097.53218558361</v>
      </c>
      <c r="R129">
        <v>0</v>
      </c>
      <c r="S129">
        <v>0</v>
      </c>
      <c r="T129">
        <v>985.09441936600001</v>
      </c>
      <c r="U129">
        <v>0</v>
      </c>
      <c r="V129">
        <v>0</v>
      </c>
      <c r="W129">
        <v>0</v>
      </c>
      <c r="X129">
        <v>112.43776621761</v>
      </c>
      <c r="Y129">
        <v>164.09091933344499</v>
      </c>
      <c r="Z129" t="s">
        <v>51</v>
      </c>
      <c r="AA129" s="2"/>
      <c r="AB129" s="2"/>
      <c r="AC129" s="2"/>
      <c r="AD129" s="2"/>
      <c r="AE129" s="2"/>
    </row>
    <row r="130" spans="1:31">
      <c r="A130" t="s">
        <v>13</v>
      </c>
      <c r="B130">
        <v>2020</v>
      </c>
      <c r="C130" t="s">
        <v>220</v>
      </c>
      <c r="D130">
        <v>175.98873458899399</v>
      </c>
      <c r="E130">
        <v>0</v>
      </c>
      <c r="F130">
        <v>0</v>
      </c>
      <c r="G130">
        <v>248.928</v>
      </c>
      <c r="H130">
        <v>178.2</v>
      </c>
      <c r="I130">
        <v>0</v>
      </c>
      <c r="J130">
        <v>0</v>
      </c>
      <c r="K130">
        <v>57.599999999999902</v>
      </c>
      <c r="L130">
        <v>426.10693125760798</v>
      </c>
      <c r="M130">
        <v>151.64449871391099</v>
      </c>
      <c r="N130">
        <v>0</v>
      </c>
      <c r="O130">
        <v>0</v>
      </c>
      <c r="P130">
        <v>0</v>
      </c>
      <c r="Q130">
        <v>1238.4681645605101</v>
      </c>
      <c r="R130">
        <v>0</v>
      </c>
      <c r="S130">
        <v>0</v>
      </c>
      <c r="T130">
        <v>985.186377462</v>
      </c>
      <c r="U130">
        <v>0</v>
      </c>
      <c r="V130">
        <v>0</v>
      </c>
      <c r="W130">
        <v>0</v>
      </c>
      <c r="X130">
        <v>253.281787098514</v>
      </c>
      <c r="Y130">
        <v>164.09091933344499</v>
      </c>
      <c r="Z130" t="s">
        <v>51</v>
      </c>
      <c r="AA130" s="2"/>
      <c r="AB130" s="2"/>
      <c r="AC130" s="2"/>
      <c r="AD130" s="2"/>
      <c r="AE130" s="2"/>
    </row>
    <row r="131" spans="1:31">
      <c r="A131" t="s">
        <v>13</v>
      </c>
      <c r="B131">
        <v>2020</v>
      </c>
      <c r="C131" t="s">
        <v>221</v>
      </c>
      <c r="D131">
        <v>175.98873458899399</v>
      </c>
      <c r="E131">
        <v>0</v>
      </c>
      <c r="F131">
        <v>0</v>
      </c>
      <c r="G131">
        <v>49.727999999999902</v>
      </c>
      <c r="H131">
        <v>178.2</v>
      </c>
      <c r="I131">
        <v>0</v>
      </c>
      <c r="J131">
        <v>0</v>
      </c>
      <c r="K131">
        <v>57.599999999999902</v>
      </c>
      <c r="L131">
        <v>423.95756824627301</v>
      </c>
      <c r="M131">
        <v>2.69373878752929</v>
      </c>
      <c r="N131">
        <v>0</v>
      </c>
      <c r="O131">
        <v>0</v>
      </c>
      <c r="P131">
        <v>0</v>
      </c>
      <c r="Q131">
        <v>888.16804162279595</v>
      </c>
      <c r="R131">
        <v>0</v>
      </c>
      <c r="S131">
        <v>0</v>
      </c>
      <c r="T131">
        <v>1020.15741564</v>
      </c>
      <c r="U131">
        <v>0</v>
      </c>
      <c r="V131">
        <v>0</v>
      </c>
      <c r="W131">
        <v>0</v>
      </c>
      <c r="X131">
        <v>-131.989374017203</v>
      </c>
      <c r="Y131">
        <v>164.09091933344499</v>
      </c>
      <c r="Z131" t="s">
        <v>51</v>
      </c>
      <c r="AA131" s="2"/>
      <c r="AB131" s="2"/>
      <c r="AC131" s="2"/>
      <c r="AD131" s="2"/>
      <c r="AE131" s="2"/>
    </row>
    <row r="132" spans="1:31">
      <c r="A132" t="s">
        <v>13</v>
      </c>
      <c r="B132">
        <v>2020</v>
      </c>
      <c r="C132" t="s">
        <v>222</v>
      </c>
      <c r="D132">
        <v>175.98873458899399</v>
      </c>
      <c r="E132">
        <v>0</v>
      </c>
      <c r="F132">
        <v>0</v>
      </c>
      <c r="G132">
        <v>334.86854811428299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29.434221953721998</v>
      </c>
      <c r="N132">
        <v>0</v>
      </c>
      <c r="O132">
        <v>0</v>
      </c>
      <c r="P132">
        <v>0</v>
      </c>
      <c r="Q132">
        <v>776.09150465699997</v>
      </c>
      <c r="R132">
        <v>0</v>
      </c>
      <c r="S132">
        <v>0</v>
      </c>
      <c r="T132">
        <v>1108.70214951</v>
      </c>
      <c r="U132">
        <v>0</v>
      </c>
      <c r="V132">
        <v>0</v>
      </c>
      <c r="W132">
        <v>0</v>
      </c>
      <c r="X132">
        <v>-332.610644853</v>
      </c>
      <c r="Y132">
        <v>166.91962553905</v>
      </c>
      <c r="Z132" t="s">
        <v>51</v>
      </c>
      <c r="AA132" s="2"/>
      <c r="AB132" s="2"/>
      <c r="AC132" s="2"/>
      <c r="AD132" s="2"/>
      <c r="AE132" s="2"/>
    </row>
    <row r="133" spans="1:31">
      <c r="A133" t="s">
        <v>13</v>
      </c>
      <c r="B133">
        <v>2020</v>
      </c>
      <c r="C133" t="s">
        <v>223</v>
      </c>
      <c r="D133">
        <v>175.98873458899399</v>
      </c>
      <c r="E133">
        <v>0</v>
      </c>
      <c r="F133">
        <v>0</v>
      </c>
      <c r="G133">
        <v>170.95701809387501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92.288971618830402</v>
      </c>
      <c r="N133">
        <v>0</v>
      </c>
      <c r="O133">
        <v>0</v>
      </c>
      <c r="P133">
        <v>0</v>
      </c>
      <c r="Q133">
        <v>675.03472430169904</v>
      </c>
      <c r="R133">
        <v>0</v>
      </c>
      <c r="S133">
        <v>0</v>
      </c>
      <c r="T133">
        <v>964.33532043100001</v>
      </c>
      <c r="U133">
        <v>0</v>
      </c>
      <c r="V133">
        <v>0</v>
      </c>
      <c r="W133">
        <v>0</v>
      </c>
      <c r="X133">
        <v>-289.3005961293</v>
      </c>
      <c r="Y133">
        <v>164.09091933344499</v>
      </c>
      <c r="Z133" t="s">
        <v>51</v>
      </c>
      <c r="AA133" s="2"/>
      <c r="AB133" s="2"/>
      <c r="AC133" s="2"/>
      <c r="AD133" s="2"/>
      <c r="AE133" s="2"/>
    </row>
    <row r="134" spans="1:31">
      <c r="A134" t="s">
        <v>13</v>
      </c>
      <c r="B134">
        <v>2020</v>
      </c>
      <c r="C134" t="s">
        <v>224</v>
      </c>
      <c r="D134">
        <v>175.98873458899399</v>
      </c>
      <c r="E134">
        <v>0</v>
      </c>
      <c r="F134">
        <v>0</v>
      </c>
      <c r="G134">
        <v>99.551999999999893</v>
      </c>
      <c r="H134">
        <v>178.2</v>
      </c>
      <c r="I134">
        <v>0</v>
      </c>
      <c r="J134">
        <v>0</v>
      </c>
      <c r="K134">
        <v>57.599999999999902</v>
      </c>
      <c r="L134">
        <v>0</v>
      </c>
      <c r="M134">
        <v>80.350369700348807</v>
      </c>
      <c r="N134">
        <v>0</v>
      </c>
      <c r="O134">
        <v>0</v>
      </c>
      <c r="P134" s="1">
        <v>0</v>
      </c>
      <c r="Q134">
        <v>591.691104289343</v>
      </c>
      <c r="R134">
        <v>0</v>
      </c>
      <c r="S134">
        <v>0</v>
      </c>
      <c r="T134">
        <v>715.55544911499999</v>
      </c>
      <c r="U134">
        <v>0</v>
      </c>
      <c r="V134">
        <v>0</v>
      </c>
      <c r="W134">
        <v>0</v>
      </c>
      <c r="X134">
        <v>-123.864344825656</v>
      </c>
      <c r="Y134">
        <v>164.09091933344499</v>
      </c>
      <c r="Z134" t="s">
        <v>51</v>
      </c>
      <c r="AA134" s="2"/>
      <c r="AB134" s="2"/>
      <c r="AC134" s="2"/>
      <c r="AD134" s="2"/>
      <c r="AE134" s="2"/>
    </row>
    <row r="135" spans="1:31">
      <c r="A135" t="s">
        <v>13</v>
      </c>
      <c r="B135">
        <v>2020</v>
      </c>
      <c r="C135" t="s">
        <v>225</v>
      </c>
      <c r="D135">
        <v>175.98873458899399</v>
      </c>
      <c r="E135">
        <v>0</v>
      </c>
      <c r="F135">
        <v>0</v>
      </c>
      <c r="G135">
        <v>248.928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11.3492299329539</v>
      </c>
      <c r="N135">
        <v>0</v>
      </c>
      <c r="O135">
        <v>0</v>
      </c>
      <c r="P135">
        <v>0</v>
      </c>
      <c r="Q135">
        <v>672.06596452194799</v>
      </c>
      <c r="R135">
        <v>0</v>
      </c>
      <c r="S135">
        <v>0</v>
      </c>
      <c r="T135">
        <v>549.496218645</v>
      </c>
      <c r="U135">
        <v>0</v>
      </c>
      <c r="V135">
        <v>0</v>
      </c>
      <c r="W135">
        <v>0</v>
      </c>
      <c r="X135">
        <v>122.56974587694801</v>
      </c>
      <c r="Y135">
        <v>164.09091933344499</v>
      </c>
      <c r="Z135" t="s">
        <v>52</v>
      </c>
      <c r="AA135" s="2"/>
      <c r="AB135" s="2"/>
      <c r="AC135" s="2"/>
      <c r="AD135" s="2"/>
      <c r="AE135" s="2"/>
    </row>
    <row r="136" spans="1:31">
      <c r="A136" t="s">
        <v>13</v>
      </c>
      <c r="B136">
        <v>2020</v>
      </c>
      <c r="C136" t="s">
        <v>226</v>
      </c>
      <c r="D136">
        <v>175.98873458899399</v>
      </c>
      <c r="E136">
        <v>0</v>
      </c>
      <c r="F136">
        <v>0</v>
      </c>
      <c r="G136">
        <v>246.731088830266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31.843799226399899</v>
      </c>
      <c r="N136">
        <v>0</v>
      </c>
      <c r="O136">
        <v>0</v>
      </c>
      <c r="P136">
        <v>0</v>
      </c>
      <c r="Q136">
        <v>690.36362264566003</v>
      </c>
      <c r="R136">
        <v>0</v>
      </c>
      <c r="S136">
        <v>0</v>
      </c>
      <c r="T136">
        <v>488.48121923500003</v>
      </c>
      <c r="U136">
        <v>0</v>
      </c>
      <c r="V136">
        <v>0</v>
      </c>
      <c r="W136">
        <v>0</v>
      </c>
      <c r="X136">
        <v>201.88240341066</v>
      </c>
      <c r="Y136">
        <v>164.09091933344499</v>
      </c>
      <c r="Z136" t="s">
        <v>52</v>
      </c>
      <c r="AA136" s="2"/>
      <c r="AB136" s="2"/>
      <c r="AC136" s="2"/>
      <c r="AD136" s="2"/>
      <c r="AE136" s="2"/>
    </row>
    <row r="137" spans="1:31">
      <c r="A137" t="s">
        <v>13</v>
      </c>
      <c r="B137">
        <v>2020</v>
      </c>
      <c r="C137" t="s">
        <v>227</v>
      </c>
      <c r="D137">
        <v>175.98873458899399</v>
      </c>
      <c r="E137">
        <v>0</v>
      </c>
      <c r="F137">
        <v>0</v>
      </c>
      <c r="G137">
        <v>248.928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46.271087514218102</v>
      </c>
      <c r="N137">
        <v>0</v>
      </c>
      <c r="O137">
        <v>0</v>
      </c>
      <c r="P137">
        <v>0</v>
      </c>
      <c r="Q137">
        <v>706.98782210321201</v>
      </c>
      <c r="R137">
        <v>0</v>
      </c>
      <c r="S137">
        <v>0</v>
      </c>
      <c r="T137">
        <v>599.42842185400002</v>
      </c>
      <c r="U137">
        <v>0</v>
      </c>
      <c r="V137">
        <v>0</v>
      </c>
      <c r="W137">
        <v>0</v>
      </c>
      <c r="X137">
        <v>107.559400249212</v>
      </c>
      <c r="Y137">
        <v>164.09091933344499</v>
      </c>
      <c r="Z137" t="s">
        <v>52</v>
      </c>
      <c r="AA137" s="2"/>
      <c r="AB137" s="2"/>
      <c r="AC137" s="2"/>
      <c r="AD137" s="2"/>
      <c r="AE137" s="2"/>
    </row>
    <row r="138" spans="1:31">
      <c r="A138" t="s">
        <v>13</v>
      </c>
      <c r="B138">
        <v>2020</v>
      </c>
      <c r="C138" t="s">
        <v>228</v>
      </c>
      <c r="D138">
        <v>175.98873458899399</v>
      </c>
      <c r="E138">
        <v>0</v>
      </c>
      <c r="F138">
        <v>0</v>
      </c>
      <c r="G138">
        <v>248.928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70.349135108473703</v>
      </c>
      <c r="N138">
        <v>0</v>
      </c>
      <c r="O138">
        <v>0</v>
      </c>
      <c r="P138">
        <v>0</v>
      </c>
      <c r="Q138">
        <v>731.06586969746695</v>
      </c>
      <c r="R138">
        <v>0</v>
      </c>
      <c r="S138">
        <v>0</v>
      </c>
      <c r="T138">
        <v>942.72179757699996</v>
      </c>
      <c r="U138">
        <v>0</v>
      </c>
      <c r="V138">
        <v>0</v>
      </c>
      <c r="W138">
        <v>0</v>
      </c>
      <c r="X138">
        <v>-211.65592787953199</v>
      </c>
      <c r="Y138">
        <v>164.09091933344499</v>
      </c>
      <c r="Z138" t="s">
        <v>52</v>
      </c>
      <c r="AA138" s="2"/>
      <c r="AB138" s="2"/>
      <c r="AC138" s="2"/>
      <c r="AD138" s="2"/>
      <c r="AE138" s="2"/>
    </row>
    <row r="139" spans="1:31">
      <c r="A139" t="s">
        <v>13</v>
      </c>
      <c r="B139">
        <v>2020</v>
      </c>
      <c r="C139" t="s">
        <v>229</v>
      </c>
      <c r="D139">
        <v>175.98873458899399</v>
      </c>
      <c r="E139">
        <v>0</v>
      </c>
      <c r="F139">
        <v>0</v>
      </c>
      <c r="G139">
        <v>248.928</v>
      </c>
      <c r="H139">
        <v>178.2</v>
      </c>
      <c r="I139">
        <v>0</v>
      </c>
      <c r="J139">
        <v>0</v>
      </c>
      <c r="K139">
        <v>57.599999999999902</v>
      </c>
      <c r="L139">
        <v>337.556334630305</v>
      </c>
      <c r="M139">
        <v>94.744806146517206</v>
      </c>
      <c r="N139">
        <v>0</v>
      </c>
      <c r="O139">
        <v>0</v>
      </c>
      <c r="P139" s="1">
        <v>0</v>
      </c>
      <c r="Q139">
        <v>1093.0178753658099</v>
      </c>
      <c r="R139">
        <v>0</v>
      </c>
      <c r="S139">
        <v>0</v>
      </c>
      <c r="T139">
        <v>1053.6690002</v>
      </c>
      <c r="U139">
        <v>0</v>
      </c>
      <c r="V139">
        <v>0</v>
      </c>
      <c r="W139">
        <v>0</v>
      </c>
      <c r="X139">
        <v>39.348875165816999</v>
      </c>
      <c r="Y139">
        <v>164.09091933344499</v>
      </c>
      <c r="Z139" t="s">
        <v>52</v>
      </c>
      <c r="AA139" s="2"/>
      <c r="AB139" s="2"/>
      <c r="AC139" s="2"/>
      <c r="AD139" s="2"/>
      <c r="AE139" s="2"/>
    </row>
    <row r="140" spans="1:31">
      <c r="A140" t="s">
        <v>13</v>
      </c>
      <c r="B140">
        <v>2020</v>
      </c>
      <c r="C140" t="s">
        <v>230</v>
      </c>
      <c r="D140">
        <v>175.98873458899399</v>
      </c>
      <c r="E140">
        <v>0</v>
      </c>
      <c r="F140">
        <v>0</v>
      </c>
      <c r="G140">
        <v>248.928</v>
      </c>
      <c r="H140">
        <v>178.2</v>
      </c>
      <c r="I140">
        <v>0</v>
      </c>
      <c r="J140">
        <v>0</v>
      </c>
      <c r="K140">
        <v>57.599999999999902</v>
      </c>
      <c r="L140">
        <v>442.40138779658099</v>
      </c>
      <c r="M140">
        <v>110.99590733617499</v>
      </c>
      <c r="N140">
        <v>0</v>
      </c>
      <c r="O140">
        <v>0</v>
      </c>
      <c r="P140">
        <v>0</v>
      </c>
      <c r="Q140">
        <v>1214.1140297217501</v>
      </c>
      <c r="R140">
        <v>0</v>
      </c>
      <c r="S140">
        <v>0</v>
      </c>
      <c r="T140">
        <v>1123.9657491400001</v>
      </c>
      <c r="U140">
        <v>0</v>
      </c>
      <c r="V140">
        <v>0</v>
      </c>
      <c r="W140">
        <v>0</v>
      </c>
      <c r="X140">
        <v>90.148280581751393</v>
      </c>
      <c r="Y140">
        <v>164.09091933344499</v>
      </c>
      <c r="Z140" t="s">
        <v>52</v>
      </c>
      <c r="AA140" s="2"/>
      <c r="AB140" s="2"/>
      <c r="AC140" s="2"/>
      <c r="AD140" s="2"/>
      <c r="AE140" s="2"/>
    </row>
    <row r="141" spans="1:31">
      <c r="A141" t="s">
        <v>13</v>
      </c>
      <c r="B141">
        <v>2020</v>
      </c>
      <c r="C141" t="s">
        <v>231</v>
      </c>
      <c r="D141">
        <v>175.98873458899399</v>
      </c>
      <c r="E141">
        <v>0</v>
      </c>
      <c r="F141">
        <v>0</v>
      </c>
      <c r="G141">
        <v>248.928</v>
      </c>
      <c r="H141">
        <v>178.2</v>
      </c>
      <c r="I141">
        <v>0</v>
      </c>
      <c r="J141">
        <v>0</v>
      </c>
      <c r="K141">
        <v>57.599999999999902</v>
      </c>
      <c r="L141">
        <v>460.49316374607798</v>
      </c>
      <c r="M141">
        <v>132.68730320390901</v>
      </c>
      <c r="N141">
        <v>0</v>
      </c>
      <c r="O141">
        <v>0</v>
      </c>
      <c r="P141">
        <v>0</v>
      </c>
      <c r="Q141">
        <v>1253.89720153898</v>
      </c>
      <c r="R141">
        <v>0</v>
      </c>
      <c r="S141">
        <v>0</v>
      </c>
      <c r="T141">
        <v>1132.83994618</v>
      </c>
      <c r="U141">
        <v>0</v>
      </c>
      <c r="V141">
        <v>0</v>
      </c>
      <c r="W141">
        <v>0</v>
      </c>
      <c r="X141">
        <v>121.057255358982</v>
      </c>
      <c r="Y141">
        <v>164.09091933344499</v>
      </c>
      <c r="Z141" t="s">
        <v>52</v>
      </c>
      <c r="AA141" s="2"/>
      <c r="AB141" s="2"/>
      <c r="AC141" s="2"/>
      <c r="AD141" s="2"/>
      <c r="AE141" s="2"/>
    </row>
    <row r="142" spans="1:31">
      <c r="A142" t="s">
        <v>13</v>
      </c>
      <c r="B142">
        <v>2020</v>
      </c>
      <c r="C142" t="s">
        <v>232</v>
      </c>
      <c r="D142">
        <v>175.98873458899399</v>
      </c>
      <c r="E142">
        <v>0</v>
      </c>
      <c r="F142">
        <v>0</v>
      </c>
      <c r="G142">
        <v>248.928</v>
      </c>
      <c r="H142">
        <v>178.2</v>
      </c>
      <c r="I142">
        <v>0</v>
      </c>
      <c r="J142">
        <v>0</v>
      </c>
      <c r="K142">
        <v>57.599999999999902</v>
      </c>
      <c r="L142">
        <v>512.18734993340195</v>
      </c>
      <c r="M142">
        <v>141.0434136856</v>
      </c>
      <c r="N142">
        <v>0</v>
      </c>
      <c r="O142">
        <v>0</v>
      </c>
      <c r="P142">
        <v>0</v>
      </c>
      <c r="Q142">
        <v>1313.9474982079901</v>
      </c>
      <c r="R142">
        <v>0</v>
      </c>
      <c r="S142">
        <v>0</v>
      </c>
      <c r="T142">
        <v>1116.6166442399999</v>
      </c>
      <c r="U142">
        <v>0</v>
      </c>
      <c r="V142">
        <v>0</v>
      </c>
      <c r="W142">
        <v>0</v>
      </c>
      <c r="X142">
        <v>197.330853967997</v>
      </c>
      <c r="Y142">
        <v>164.09091933344499</v>
      </c>
      <c r="Z142" t="s">
        <v>52</v>
      </c>
      <c r="AA142" s="2"/>
      <c r="AB142" s="2"/>
      <c r="AC142" s="2"/>
      <c r="AD142" s="2"/>
      <c r="AE142" s="2"/>
    </row>
    <row r="143" spans="1:31">
      <c r="A143" t="s">
        <v>13</v>
      </c>
      <c r="B143">
        <v>2020</v>
      </c>
      <c r="C143" t="s">
        <v>233</v>
      </c>
      <c r="D143">
        <v>175.98873458899399</v>
      </c>
      <c r="E143">
        <v>0</v>
      </c>
      <c r="F143">
        <v>0</v>
      </c>
      <c r="G143">
        <v>248.928</v>
      </c>
      <c r="H143">
        <v>178.2</v>
      </c>
      <c r="I143">
        <v>0</v>
      </c>
      <c r="J143">
        <v>0</v>
      </c>
      <c r="K143">
        <v>57.599999999999902</v>
      </c>
      <c r="L143">
        <v>405.43085952370802</v>
      </c>
      <c r="M143">
        <v>123.28239552163799</v>
      </c>
      <c r="N143">
        <v>0</v>
      </c>
      <c r="O143">
        <v>0</v>
      </c>
      <c r="P143">
        <v>0</v>
      </c>
      <c r="Q143">
        <v>1189.42998963434</v>
      </c>
      <c r="R143">
        <v>0</v>
      </c>
      <c r="S143">
        <v>0</v>
      </c>
      <c r="T143">
        <v>1124.20246501</v>
      </c>
      <c r="U143">
        <v>0</v>
      </c>
      <c r="V143">
        <v>0</v>
      </c>
      <c r="W143">
        <v>0</v>
      </c>
      <c r="X143">
        <v>65.227524624340901</v>
      </c>
      <c r="Y143">
        <v>164.09091933344499</v>
      </c>
      <c r="Z143" t="s">
        <v>52</v>
      </c>
      <c r="AA143" s="2"/>
      <c r="AB143" s="2"/>
      <c r="AC143" s="2"/>
      <c r="AD143" s="2"/>
      <c r="AE143" s="2"/>
    </row>
    <row r="144" spans="1:31">
      <c r="A144" t="s">
        <v>13</v>
      </c>
      <c r="B144">
        <v>2020</v>
      </c>
      <c r="C144" t="s">
        <v>234</v>
      </c>
      <c r="D144">
        <v>175.98873458899399</v>
      </c>
      <c r="E144">
        <v>0</v>
      </c>
      <c r="F144">
        <v>0</v>
      </c>
      <c r="G144">
        <v>335.96058216205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113.947311901954</v>
      </c>
      <c r="N144">
        <v>0</v>
      </c>
      <c r="O144">
        <v>0</v>
      </c>
      <c r="P144">
        <v>0</v>
      </c>
      <c r="Q144">
        <v>861.69662865299995</v>
      </c>
      <c r="R144">
        <v>0</v>
      </c>
      <c r="S144">
        <v>0</v>
      </c>
      <c r="T144">
        <v>1230.9951837900001</v>
      </c>
      <c r="U144">
        <v>0</v>
      </c>
      <c r="V144">
        <v>0</v>
      </c>
      <c r="W144">
        <v>0</v>
      </c>
      <c r="X144">
        <v>-369.29855513699999</v>
      </c>
      <c r="Y144">
        <v>166.91962553905</v>
      </c>
      <c r="Z144" t="s">
        <v>52</v>
      </c>
      <c r="AA144" s="2"/>
      <c r="AB144" s="2"/>
      <c r="AC144" s="2"/>
      <c r="AD144" s="2"/>
      <c r="AE144" s="2"/>
    </row>
    <row r="145" spans="1:31">
      <c r="A145" t="s">
        <v>13</v>
      </c>
      <c r="B145">
        <v>2020</v>
      </c>
      <c r="C145" t="s">
        <v>235</v>
      </c>
      <c r="D145">
        <v>175.98873458899399</v>
      </c>
      <c r="E145">
        <v>0</v>
      </c>
      <c r="F145">
        <v>0</v>
      </c>
      <c r="G145">
        <v>248.928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90.956060013232403</v>
      </c>
      <c r="N145">
        <v>0</v>
      </c>
      <c r="O145">
        <v>0</v>
      </c>
      <c r="P145">
        <v>0</v>
      </c>
      <c r="Q145">
        <v>751.67279460222596</v>
      </c>
      <c r="R145">
        <v>0</v>
      </c>
      <c r="S145">
        <v>0</v>
      </c>
      <c r="T145">
        <v>1069.6819058599999</v>
      </c>
      <c r="U145">
        <v>0</v>
      </c>
      <c r="V145">
        <v>0</v>
      </c>
      <c r="W145">
        <v>0</v>
      </c>
      <c r="X145">
        <v>-318.00911125777299</v>
      </c>
      <c r="Y145">
        <v>164.09091933344499</v>
      </c>
      <c r="Z145" t="s">
        <v>52</v>
      </c>
      <c r="AA145" s="2"/>
      <c r="AB145" s="2"/>
      <c r="AC145" s="2"/>
      <c r="AD145" s="2"/>
      <c r="AE145" s="2"/>
    </row>
    <row r="146" spans="1:31">
      <c r="A146" t="s">
        <v>13</v>
      </c>
      <c r="B146">
        <v>2020</v>
      </c>
      <c r="C146" t="s">
        <v>236</v>
      </c>
      <c r="D146">
        <v>175.98873458899399</v>
      </c>
      <c r="E146">
        <v>0</v>
      </c>
      <c r="F146">
        <v>0</v>
      </c>
      <c r="G146">
        <v>248.928</v>
      </c>
      <c r="H146">
        <v>178.2</v>
      </c>
      <c r="I146">
        <v>0</v>
      </c>
      <c r="J146">
        <v>0</v>
      </c>
      <c r="K146">
        <v>57.599999999999902</v>
      </c>
      <c r="L146">
        <v>0</v>
      </c>
      <c r="M146">
        <v>91.911361052600697</v>
      </c>
      <c r="N146">
        <v>0</v>
      </c>
      <c r="O146">
        <v>0</v>
      </c>
      <c r="P146">
        <v>0</v>
      </c>
      <c r="Q146">
        <v>752.62809564159397</v>
      </c>
      <c r="R146">
        <v>0</v>
      </c>
      <c r="S146">
        <v>0</v>
      </c>
      <c r="T146">
        <v>798.78884060300004</v>
      </c>
      <c r="U146">
        <v>0</v>
      </c>
      <c r="V146">
        <v>0</v>
      </c>
      <c r="W146">
        <v>0</v>
      </c>
      <c r="X146">
        <v>-46.1607449614052</v>
      </c>
      <c r="Y146">
        <v>164.09091933344499</v>
      </c>
      <c r="Z146" t="s">
        <v>52</v>
      </c>
      <c r="AA146" s="2"/>
      <c r="AB146" s="2"/>
      <c r="AC146" s="2"/>
      <c r="AD146" s="2"/>
      <c r="AE146" s="2"/>
    </row>
    <row r="147" spans="1:31">
      <c r="A147" t="s">
        <v>13</v>
      </c>
      <c r="B147">
        <v>2025</v>
      </c>
      <c r="C147" t="s">
        <v>285</v>
      </c>
      <c r="D147">
        <v>119.750645646718</v>
      </c>
      <c r="E147">
        <v>0</v>
      </c>
      <c r="F147">
        <v>0</v>
      </c>
      <c r="G147">
        <v>0</v>
      </c>
      <c r="H147">
        <v>40.651834840700303</v>
      </c>
      <c r="I147">
        <v>0</v>
      </c>
      <c r="J147">
        <v>0</v>
      </c>
      <c r="K147">
        <v>57.599999999999902</v>
      </c>
      <c r="L147">
        <v>0</v>
      </c>
      <c r="M147">
        <v>66.340596347881302</v>
      </c>
      <c r="N147">
        <v>0</v>
      </c>
      <c r="O147">
        <v>0</v>
      </c>
      <c r="P147" s="1">
        <v>0</v>
      </c>
      <c r="Q147">
        <v>284.34307683529897</v>
      </c>
      <c r="R147">
        <v>0</v>
      </c>
      <c r="S147">
        <v>0</v>
      </c>
      <c r="T147">
        <v>406.20439547900003</v>
      </c>
      <c r="U147">
        <v>0</v>
      </c>
      <c r="V147">
        <v>0</v>
      </c>
      <c r="W147">
        <v>0</v>
      </c>
      <c r="X147">
        <v>-121.8613186437</v>
      </c>
      <c r="Y147">
        <v>58.352639020850198</v>
      </c>
      <c r="Z147" t="s">
        <v>51</v>
      </c>
      <c r="AA147" s="2"/>
      <c r="AB147" s="2"/>
      <c r="AC147" s="2"/>
      <c r="AD147" s="2"/>
      <c r="AE147" s="2"/>
    </row>
    <row r="148" spans="1:31">
      <c r="A148" t="s">
        <v>13</v>
      </c>
      <c r="B148">
        <v>2025</v>
      </c>
      <c r="C148" t="s">
        <v>286</v>
      </c>
      <c r="D148">
        <v>119.750645646718</v>
      </c>
      <c r="E148">
        <v>0</v>
      </c>
      <c r="F148">
        <v>0</v>
      </c>
      <c r="G148">
        <v>0</v>
      </c>
      <c r="H148">
        <v>64.514036534473107</v>
      </c>
      <c r="I148">
        <v>0</v>
      </c>
      <c r="J148">
        <v>0</v>
      </c>
      <c r="K148">
        <v>57.599999999999902</v>
      </c>
      <c r="L148">
        <v>0</v>
      </c>
      <c r="M148">
        <v>15.129824146808501</v>
      </c>
      <c r="N148">
        <v>0</v>
      </c>
      <c r="O148">
        <v>0</v>
      </c>
      <c r="P148" s="1">
        <v>0</v>
      </c>
      <c r="Q148">
        <v>256.994506328</v>
      </c>
      <c r="R148">
        <v>0</v>
      </c>
      <c r="S148">
        <v>0</v>
      </c>
      <c r="T148">
        <v>367.13500904</v>
      </c>
      <c r="U148">
        <v>0</v>
      </c>
      <c r="V148">
        <v>0</v>
      </c>
      <c r="W148">
        <v>0</v>
      </c>
      <c r="X148">
        <v>-110.140502712</v>
      </c>
      <c r="Y148">
        <v>58.352639020850198</v>
      </c>
      <c r="Z148" t="s">
        <v>51</v>
      </c>
      <c r="AA148" s="2"/>
      <c r="AB148" s="2"/>
      <c r="AC148" s="2"/>
      <c r="AD148" s="2"/>
      <c r="AE148" s="2"/>
    </row>
    <row r="149" spans="1:31">
      <c r="A149" t="s">
        <v>13</v>
      </c>
      <c r="B149">
        <v>2025</v>
      </c>
      <c r="C149" t="s">
        <v>287</v>
      </c>
      <c r="D149">
        <v>119.750645646718</v>
      </c>
      <c r="E149">
        <v>0</v>
      </c>
      <c r="F149">
        <v>0</v>
      </c>
      <c r="G149">
        <v>0</v>
      </c>
      <c r="H149">
        <v>136.46602202960699</v>
      </c>
      <c r="I149">
        <v>0</v>
      </c>
      <c r="J149">
        <v>0</v>
      </c>
      <c r="K149">
        <v>57.599999999999902</v>
      </c>
      <c r="L149">
        <v>0</v>
      </c>
      <c r="M149">
        <v>0.45721924227398802</v>
      </c>
      <c r="N149">
        <v>0</v>
      </c>
      <c r="O149">
        <v>0</v>
      </c>
      <c r="P149" s="1">
        <v>0</v>
      </c>
      <c r="Q149">
        <v>314.2738869186</v>
      </c>
      <c r="R149">
        <v>0</v>
      </c>
      <c r="S149">
        <v>0</v>
      </c>
      <c r="T149">
        <v>448.96269559799998</v>
      </c>
      <c r="U149">
        <v>0</v>
      </c>
      <c r="V149">
        <v>0</v>
      </c>
      <c r="W149">
        <v>0</v>
      </c>
      <c r="X149">
        <v>-134.68880867939899</v>
      </c>
      <c r="Y149">
        <v>58.352639020850198</v>
      </c>
      <c r="Z149" t="s">
        <v>51</v>
      </c>
      <c r="AA149" s="2"/>
      <c r="AB149" s="2"/>
      <c r="AC149" s="2"/>
      <c r="AD149" s="2"/>
      <c r="AE149" s="2"/>
    </row>
    <row r="150" spans="1:31">
      <c r="A150" t="s">
        <v>13</v>
      </c>
      <c r="B150">
        <v>2025</v>
      </c>
      <c r="C150" t="s">
        <v>288</v>
      </c>
      <c r="D150">
        <v>119.750645646718</v>
      </c>
      <c r="E150">
        <v>0</v>
      </c>
      <c r="F150">
        <v>0</v>
      </c>
      <c r="G150">
        <v>39.178123436167397</v>
      </c>
      <c r="H150">
        <v>178.2</v>
      </c>
      <c r="I150">
        <v>0</v>
      </c>
      <c r="J150">
        <v>0</v>
      </c>
      <c r="K150">
        <v>57.599999999999902</v>
      </c>
      <c r="L150">
        <v>0</v>
      </c>
      <c r="M150">
        <v>0.43448231071419502</v>
      </c>
      <c r="N150">
        <v>0</v>
      </c>
      <c r="O150">
        <v>0</v>
      </c>
      <c r="P150">
        <v>0</v>
      </c>
      <c r="Q150">
        <v>395.16325139359901</v>
      </c>
      <c r="R150">
        <v>0</v>
      </c>
      <c r="S150">
        <v>150</v>
      </c>
      <c r="T150">
        <v>778.80464484799995</v>
      </c>
      <c r="U150">
        <v>0</v>
      </c>
      <c r="V150">
        <v>0</v>
      </c>
      <c r="W150">
        <v>0</v>
      </c>
      <c r="X150">
        <v>-233.64139345439901</v>
      </c>
      <c r="Y150">
        <v>208.53398718329001</v>
      </c>
      <c r="Z150" t="s">
        <v>51</v>
      </c>
      <c r="AA150" s="2"/>
      <c r="AB150" s="2"/>
      <c r="AC150" s="2"/>
      <c r="AD150" s="2"/>
      <c r="AE150" s="2"/>
    </row>
    <row r="151" spans="1:31">
      <c r="A151" t="s">
        <v>13</v>
      </c>
      <c r="B151">
        <v>2025</v>
      </c>
      <c r="C151" t="s">
        <v>289</v>
      </c>
      <c r="D151">
        <v>119.750645646718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57.599999999999902</v>
      </c>
      <c r="L151">
        <v>848.87154766498395</v>
      </c>
      <c r="M151">
        <v>7.4626951284196804E-3</v>
      </c>
      <c r="N151">
        <v>0</v>
      </c>
      <c r="O151">
        <v>0</v>
      </c>
      <c r="P151">
        <v>0</v>
      </c>
      <c r="Q151">
        <v>1026.2296560068301</v>
      </c>
      <c r="R151">
        <v>0</v>
      </c>
      <c r="S151">
        <v>0</v>
      </c>
      <c r="T151">
        <v>868.31969784600005</v>
      </c>
      <c r="U151">
        <v>0</v>
      </c>
      <c r="V151">
        <v>0</v>
      </c>
      <c r="W151">
        <v>0</v>
      </c>
      <c r="X151">
        <v>157.90995816083</v>
      </c>
      <c r="Y151">
        <v>58.352639020850198</v>
      </c>
      <c r="Z151" t="s">
        <v>51</v>
      </c>
      <c r="AA151" s="2"/>
      <c r="AB151" s="2"/>
      <c r="AC151" s="2"/>
      <c r="AD151" s="2"/>
      <c r="AE151" s="2"/>
    </row>
    <row r="152" spans="1:31">
      <c r="A152" t="s">
        <v>13</v>
      </c>
      <c r="B152">
        <v>2025</v>
      </c>
      <c r="C152" t="s">
        <v>290</v>
      </c>
      <c r="D152">
        <v>119.750645646718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57.599999999999902</v>
      </c>
      <c r="L152">
        <v>919.80687973373904</v>
      </c>
      <c r="M152" s="1">
        <v>13.9338895143689</v>
      </c>
      <c r="N152">
        <v>0</v>
      </c>
      <c r="O152" s="1">
        <v>0</v>
      </c>
      <c r="P152">
        <v>0</v>
      </c>
      <c r="Q152">
        <v>1111.09141489482</v>
      </c>
      <c r="R152">
        <v>0</v>
      </c>
      <c r="S152">
        <v>0</v>
      </c>
      <c r="T152">
        <v>920.421279325</v>
      </c>
      <c r="U152">
        <v>0</v>
      </c>
      <c r="V152">
        <v>0</v>
      </c>
      <c r="W152">
        <v>150</v>
      </c>
      <c r="X152">
        <v>40.6701355698264</v>
      </c>
      <c r="Y152">
        <v>58.352639020850198</v>
      </c>
      <c r="Z152" t="s">
        <v>51</v>
      </c>
      <c r="AA152" s="2"/>
      <c r="AB152" s="2"/>
      <c r="AC152" s="2"/>
      <c r="AD152" s="2"/>
      <c r="AE152" s="2"/>
    </row>
    <row r="153" spans="1:31">
      <c r="A153" t="s">
        <v>13</v>
      </c>
      <c r="B153">
        <v>2025</v>
      </c>
      <c r="C153" t="s">
        <v>291</v>
      </c>
      <c r="D153">
        <v>119.750645646718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57.599999999999902</v>
      </c>
      <c r="L153">
        <v>1065.0645199079099</v>
      </c>
      <c r="M153" s="1">
        <v>33.330514034672703</v>
      </c>
      <c r="N153">
        <v>0</v>
      </c>
      <c r="O153">
        <v>0</v>
      </c>
      <c r="P153">
        <v>0</v>
      </c>
      <c r="Q153">
        <v>1275.7456795892999</v>
      </c>
      <c r="R153">
        <v>0</v>
      </c>
      <c r="S153">
        <v>0</v>
      </c>
      <c r="T153">
        <v>922.85806758199999</v>
      </c>
      <c r="U153">
        <v>0</v>
      </c>
      <c r="V153">
        <v>0</v>
      </c>
      <c r="W153">
        <v>0</v>
      </c>
      <c r="X153">
        <v>352.88761200730698</v>
      </c>
      <c r="Y153">
        <v>58.352639020850198</v>
      </c>
      <c r="Z153" t="s">
        <v>51</v>
      </c>
      <c r="AA153" s="2"/>
      <c r="AB153" s="2"/>
      <c r="AC153" s="2"/>
      <c r="AD153" s="2"/>
      <c r="AE153" s="2"/>
    </row>
    <row r="154" spans="1:31">
      <c r="A154" t="s">
        <v>13</v>
      </c>
      <c r="B154">
        <v>2025</v>
      </c>
      <c r="C154" t="s">
        <v>292</v>
      </c>
      <c r="D154">
        <v>119.750645646718</v>
      </c>
      <c r="E154">
        <v>0</v>
      </c>
      <c r="F154">
        <v>0</v>
      </c>
      <c r="G154">
        <v>0</v>
      </c>
      <c r="H154">
        <v>53.790148202850702</v>
      </c>
      <c r="I154">
        <v>0</v>
      </c>
      <c r="J154">
        <v>0</v>
      </c>
      <c r="K154">
        <v>57.599999999999902</v>
      </c>
      <c r="L154">
        <v>1246.8620460745001</v>
      </c>
      <c r="M154">
        <v>37.959879748350701</v>
      </c>
      <c r="N154">
        <v>0</v>
      </c>
      <c r="O154">
        <v>0</v>
      </c>
      <c r="P154">
        <v>0</v>
      </c>
      <c r="Q154">
        <v>1515.96271967242</v>
      </c>
      <c r="R154">
        <v>0</v>
      </c>
      <c r="S154">
        <v>0</v>
      </c>
      <c r="T154">
        <v>919.08846173899997</v>
      </c>
      <c r="U154">
        <v>0</v>
      </c>
      <c r="V154">
        <v>0</v>
      </c>
      <c r="W154">
        <v>150</v>
      </c>
      <c r="X154">
        <v>446.874257933428</v>
      </c>
      <c r="Y154">
        <v>58.352639020850198</v>
      </c>
      <c r="Z154" t="s">
        <v>51</v>
      </c>
      <c r="AA154" s="2"/>
      <c r="AB154" s="2"/>
      <c r="AC154" s="2"/>
      <c r="AD154" s="2"/>
      <c r="AE154" s="2"/>
    </row>
    <row r="155" spans="1:31">
      <c r="A155" t="s">
        <v>13</v>
      </c>
      <c r="B155">
        <v>2025</v>
      </c>
      <c r="C155" t="s">
        <v>293</v>
      </c>
      <c r="D155">
        <v>119.750645646718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57.599999999999902</v>
      </c>
      <c r="L155">
        <v>1134.4833933299899</v>
      </c>
      <c r="M155">
        <v>33.684859995150497</v>
      </c>
      <c r="N155">
        <v>0</v>
      </c>
      <c r="O155" s="1">
        <v>-1.4210854715202001E-14</v>
      </c>
      <c r="P155">
        <v>0</v>
      </c>
      <c r="Q155">
        <v>1345.5188989718599</v>
      </c>
      <c r="R155">
        <v>0</v>
      </c>
      <c r="S155">
        <v>0</v>
      </c>
      <c r="T155">
        <v>897.38621434599997</v>
      </c>
      <c r="U155">
        <v>0</v>
      </c>
      <c r="V155">
        <v>0</v>
      </c>
      <c r="W155">
        <v>123.08538143305999</v>
      </c>
      <c r="X155">
        <v>325.047303192806</v>
      </c>
      <c r="Y155">
        <v>58.352639020850198</v>
      </c>
      <c r="Z155" t="s">
        <v>51</v>
      </c>
      <c r="AA155" s="2"/>
      <c r="AB155" s="2"/>
      <c r="AC155" s="2"/>
      <c r="AD155" s="2"/>
      <c r="AE155" s="2"/>
    </row>
    <row r="156" spans="1:31">
      <c r="A156" t="s">
        <v>13</v>
      </c>
      <c r="B156">
        <v>2025</v>
      </c>
      <c r="C156" t="s">
        <v>294</v>
      </c>
      <c r="D156">
        <v>119.750645646718</v>
      </c>
      <c r="E156">
        <v>0</v>
      </c>
      <c r="F156">
        <v>0</v>
      </c>
      <c r="G156">
        <v>120.535458164167</v>
      </c>
      <c r="H156">
        <v>178.2</v>
      </c>
      <c r="I156">
        <v>0</v>
      </c>
      <c r="J156">
        <v>0</v>
      </c>
      <c r="K156">
        <v>57.599999999999902</v>
      </c>
      <c r="L156">
        <v>1.91598738406127</v>
      </c>
      <c r="M156">
        <v>45.714678596153</v>
      </c>
      <c r="N156">
        <v>0</v>
      </c>
      <c r="O156">
        <v>0</v>
      </c>
      <c r="P156">
        <v>0</v>
      </c>
      <c r="Q156">
        <v>523.71676979109998</v>
      </c>
      <c r="R156">
        <v>0</v>
      </c>
      <c r="S156">
        <v>150</v>
      </c>
      <c r="T156">
        <v>962.45252827299998</v>
      </c>
      <c r="U156">
        <v>0</v>
      </c>
      <c r="V156">
        <v>0</v>
      </c>
      <c r="W156">
        <v>0</v>
      </c>
      <c r="X156">
        <v>-288.73575848190001</v>
      </c>
      <c r="Y156">
        <v>208.53398718329001</v>
      </c>
      <c r="Z156" t="s">
        <v>51</v>
      </c>
      <c r="AA156" s="2"/>
      <c r="AB156" s="2"/>
      <c r="AC156" s="2"/>
      <c r="AD156" s="2"/>
      <c r="AE156" s="2"/>
    </row>
    <row r="157" spans="1:31">
      <c r="A157" t="s">
        <v>13</v>
      </c>
      <c r="B157">
        <v>2025</v>
      </c>
      <c r="C157" t="s">
        <v>295</v>
      </c>
      <c r="D157">
        <v>119.750645646718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0</v>
      </c>
      <c r="K157">
        <v>57.599999999999902</v>
      </c>
      <c r="L157">
        <v>0</v>
      </c>
      <c r="M157">
        <v>80.836194916404196</v>
      </c>
      <c r="N157">
        <v>0</v>
      </c>
      <c r="O157">
        <v>0</v>
      </c>
      <c r="P157" s="1">
        <v>0</v>
      </c>
      <c r="Q157">
        <v>436.38684056312201</v>
      </c>
      <c r="R157">
        <v>0</v>
      </c>
      <c r="S157">
        <v>143.36270672777701</v>
      </c>
      <c r="T157">
        <v>828.21363898699997</v>
      </c>
      <c r="U157">
        <v>0</v>
      </c>
      <c r="V157">
        <v>0</v>
      </c>
      <c r="W157">
        <v>0</v>
      </c>
      <c r="X157">
        <v>-248.46409169609899</v>
      </c>
      <c r="Y157">
        <v>75.782648079026202</v>
      </c>
      <c r="Z157" t="s">
        <v>51</v>
      </c>
      <c r="AA157" s="2"/>
      <c r="AB157" s="2"/>
      <c r="AC157" s="2"/>
      <c r="AD157" s="2"/>
      <c r="AE157" s="2"/>
    </row>
    <row r="158" spans="1:31">
      <c r="A158" t="s">
        <v>13</v>
      </c>
      <c r="B158">
        <v>2025</v>
      </c>
      <c r="C158" t="s">
        <v>296</v>
      </c>
      <c r="D158">
        <v>119.750645646718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0</v>
      </c>
      <c r="K158">
        <v>57.599999999999902</v>
      </c>
      <c r="L158">
        <v>0</v>
      </c>
      <c r="M158">
        <v>75.703568169902894</v>
      </c>
      <c r="N158">
        <v>0</v>
      </c>
      <c r="O158">
        <v>0</v>
      </c>
      <c r="P158">
        <v>0</v>
      </c>
      <c r="Q158">
        <v>431.25421381662102</v>
      </c>
      <c r="R158">
        <v>0</v>
      </c>
      <c r="S158">
        <v>2.4130369756788599</v>
      </c>
      <c r="T158">
        <v>619.52464398899997</v>
      </c>
      <c r="U158">
        <v>0</v>
      </c>
      <c r="V158">
        <v>0</v>
      </c>
      <c r="W158">
        <v>0</v>
      </c>
      <c r="X158">
        <v>-185.85739319669901</v>
      </c>
      <c r="Y158">
        <v>75.782648079026202</v>
      </c>
      <c r="Z158" t="s">
        <v>51</v>
      </c>
      <c r="AA158" s="2"/>
      <c r="AB158" s="2"/>
      <c r="AC158" s="2"/>
      <c r="AD158" s="2"/>
      <c r="AE158" s="2"/>
    </row>
    <row r="159" spans="1:31">
      <c r="A159" t="s">
        <v>13</v>
      </c>
      <c r="B159">
        <v>2025</v>
      </c>
      <c r="C159" t="s">
        <v>369</v>
      </c>
      <c r="D159">
        <v>119.750645646718</v>
      </c>
      <c r="E159">
        <v>0</v>
      </c>
      <c r="F159">
        <v>0</v>
      </c>
      <c r="G159">
        <v>0</v>
      </c>
      <c r="H159">
        <v>19.604064855881202</v>
      </c>
      <c r="I159">
        <v>0</v>
      </c>
      <c r="J159">
        <v>0</v>
      </c>
      <c r="K159">
        <v>57.599999999999902</v>
      </c>
      <c r="L159">
        <v>0</v>
      </c>
      <c r="M159">
        <v>151.08673731580001</v>
      </c>
      <c r="N159">
        <v>0</v>
      </c>
      <c r="O159">
        <v>0</v>
      </c>
      <c r="P159">
        <v>0</v>
      </c>
      <c r="Q159">
        <v>348.04144781839898</v>
      </c>
      <c r="R159">
        <v>0</v>
      </c>
      <c r="S159">
        <v>0</v>
      </c>
      <c r="T159">
        <v>497.20206831199999</v>
      </c>
      <c r="U159">
        <v>0</v>
      </c>
      <c r="V159">
        <v>0</v>
      </c>
      <c r="W159">
        <v>0</v>
      </c>
      <c r="X159">
        <v>-149.16062049359999</v>
      </c>
      <c r="Y159">
        <v>713.44324846632696</v>
      </c>
      <c r="Z159" t="s">
        <v>52</v>
      </c>
      <c r="AA159" s="2"/>
      <c r="AB159" s="2"/>
      <c r="AC159" s="2"/>
      <c r="AD159" s="2"/>
      <c r="AE159" s="2"/>
    </row>
    <row r="160" spans="1:31">
      <c r="A160" t="s">
        <v>13</v>
      </c>
      <c r="B160">
        <v>2025</v>
      </c>
      <c r="C160" t="s">
        <v>370</v>
      </c>
      <c r="D160">
        <v>119.750645646718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57.599999999999902</v>
      </c>
      <c r="L160">
        <v>0</v>
      </c>
      <c r="M160">
        <v>146.094540341146</v>
      </c>
      <c r="N160">
        <v>0</v>
      </c>
      <c r="O160">
        <v>0</v>
      </c>
      <c r="P160">
        <v>0</v>
      </c>
      <c r="Q160">
        <v>323.44518598786402</v>
      </c>
      <c r="R160">
        <v>0</v>
      </c>
      <c r="S160">
        <v>0</v>
      </c>
      <c r="T160">
        <v>442.38955220100001</v>
      </c>
      <c r="U160">
        <v>0</v>
      </c>
      <c r="V160">
        <v>0</v>
      </c>
      <c r="W160">
        <v>0</v>
      </c>
      <c r="X160">
        <v>-118.944366213135</v>
      </c>
      <c r="Y160">
        <v>713.44324846632196</v>
      </c>
      <c r="Z160" t="s">
        <v>52</v>
      </c>
      <c r="AA160" s="2"/>
      <c r="AB160" s="2"/>
      <c r="AC160" s="2"/>
      <c r="AD160" s="2"/>
      <c r="AE160" s="2"/>
    </row>
    <row r="161" spans="1:31">
      <c r="A161" t="s">
        <v>13</v>
      </c>
      <c r="B161">
        <v>2025</v>
      </c>
      <c r="C161" t="s">
        <v>371</v>
      </c>
      <c r="D161">
        <v>119.750645646718</v>
      </c>
      <c r="E161">
        <v>0</v>
      </c>
      <c r="F161">
        <v>0</v>
      </c>
      <c r="G161">
        <v>0</v>
      </c>
      <c r="H161">
        <v>79.730708131803496</v>
      </c>
      <c r="I161">
        <v>0</v>
      </c>
      <c r="J161">
        <v>0</v>
      </c>
      <c r="K161">
        <v>57.599999999999902</v>
      </c>
      <c r="L161">
        <v>0</v>
      </c>
      <c r="M161">
        <v>127.55653838237799</v>
      </c>
      <c r="N161">
        <v>0</v>
      </c>
      <c r="O161">
        <v>0</v>
      </c>
      <c r="P161" s="1">
        <v>0</v>
      </c>
      <c r="Q161">
        <v>384.63789216089998</v>
      </c>
      <c r="R161">
        <v>0</v>
      </c>
      <c r="S161">
        <v>0</v>
      </c>
      <c r="T161">
        <v>549.482703087</v>
      </c>
      <c r="U161">
        <v>0</v>
      </c>
      <c r="V161">
        <v>0</v>
      </c>
      <c r="W161">
        <v>0</v>
      </c>
      <c r="X161">
        <v>-164.8448109261</v>
      </c>
      <c r="Y161">
        <v>713.44324846632696</v>
      </c>
      <c r="Z161" t="s">
        <v>52</v>
      </c>
      <c r="AA161" s="2"/>
      <c r="AB161" s="2"/>
      <c r="AC161" s="2"/>
      <c r="AD161" s="2"/>
      <c r="AE161" s="2"/>
    </row>
    <row r="162" spans="1:31">
      <c r="A162" t="s">
        <v>13</v>
      </c>
      <c r="B162">
        <v>2025</v>
      </c>
      <c r="C162" t="s">
        <v>372</v>
      </c>
      <c r="D162">
        <v>119.750645646718</v>
      </c>
      <c r="E162">
        <v>0</v>
      </c>
      <c r="F162">
        <v>0</v>
      </c>
      <c r="G162">
        <v>121.840431268926</v>
      </c>
      <c r="H162">
        <v>178.2</v>
      </c>
      <c r="I162">
        <v>0</v>
      </c>
      <c r="J162">
        <v>0</v>
      </c>
      <c r="K162">
        <v>57.599999999999902</v>
      </c>
      <c r="L162">
        <v>0</v>
      </c>
      <c r="M162">
        <v>145.468489575055</v>
      </c>
      <c r="N162">
        <v>0</v>
      </c>
      <c r="O162">
        <v>0</v>
      </c>
      <c r="P162">
        <v>0</v>
      </c>
      <c r="Q162">
        <v>622.85956649069897</v>
      </c>
      <c r="R162">
        <v>0</v>
      </c>
      <c r="S162">
        <v>0</v>
      </c>
      <c r="T162">
        <v>889.79938070100002</v>
      </c>
      <c r="U162">
        <v>0</v>
      </c>
      <c r="V162">
        <v>0</v>
      </c>
      <c r="W162">
        <v>0</v>
      </c>
      <c r="X162">
        <v>-266.93981421029901</v>
      </c>
      <c r="Y162">
        <v>863.62459662876802</v>
      </c>
      <c r="Z162" t="s">
        <v>52</v>
      </c>
      <c r="AA162" s="2"/>
      <c r="AB162" s="2"/>
      <c r="AC162" s="2"/>
      <c r="AD162" s="2"/>
      <c r="AE162" s="2"/>
    </row>
    <row r="163" spans="1:31">
      <c r="A163" t="s">
        <v>13</v>
      </c>
      <c r="B163">
        <v>2025</v>
      </c>
      <c r="C163" t="s">
        <v>373</v>
      </c>
      <c r="D163">
        <v>119.750645646718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57.599999999999902</v>
      </c>
      <c r="L163">
        <v>840.86837468444696</v>
      </c>
      <c r="M163">
        <v>133.74472108546701</v>
      </c>
      <c r="N163">
        <v>0</v>
      </c>
      <c r="O163">
        <v>0</v>
      </c>
      <c r="P163" s="1">
        <v>0</v>
      </c>
      <c r="Q163">
        <v>1151.96374141663</v>
      </c>
      <c r="R163">
        <v>0</v>
      </c>
      <c r="S163">
        <v>0</v>
      </c>
      <c r="T163">
        <v>968.71296797399998</v>
      </c>
      <c r="U163">
        <v>0</v>
      </c>
      <c r="V163">
        <v>0</v>
      </c>
      <c r="W163">
        <v>0</v>
      </c>
      <c r="X163">
        <v>183.250773442633</v>
      </c>
      <c r="Y163">
        <v>713.44324846632196</v>
      </c>
      <c r="Z163" t="s">
        <v>52</v>
      </c>
      <c r="AA163" s="2"/>
      <c r="AB163" s="2"/>
      <c r="AC163" s="2"/>
      <c r="AD163" s="2"/>
      <c r="AE163" s="2"/>
    </row>
    <row r="164" spans="1:31">
      <c r="A164" t="s">
        <v>13</v>
      </c>
      <c r="B164">
        <v>2025</v>
      </c>
      <c r="C164" t="s">
        <v>374</v>
      </c>
      <c r="D164">
        <v>119.750645646718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57.599999999999902</v>
      </c>
      <c r="L164">
        <v>1100.5441985264999</v>
      </c>
      <c r="M164">
        <v>114.458602919174</v>
      </c>
      <c r="N164">
        <v>0</v>
      </c>
      <c r="O164" s="1">
        <v>-1.4210854715202001E-14</v>
      </c>
      <c r="P164" s="1">
        <v>0</v>
      </c>
      <c r="Q164">
        <v>1392.3534470923901</v>
      </c>
      <c r="R164">
        <v>0</v>
      </c>
      <c r="S164">
        <v>0</v>
      </c>
      <c r="T164">
        <v>1047.2022917899999</v>
      </c>
      <c r="U164">
        <v>0</v>
      </c>
      <c r="V164">
        <v>0</v>
      </c>
      <c r="W164">
        <v>0</v>
      </c>
      <c r="X164">
        <v>345.151155302397</v>
      </c>
      <c r="Y164">
        <v>713.44324846632196</v>
      </c>
      <c r="Z164" t="s">
        <v>52</v>
      </c>
      <c r="AA164" s="2"/>
      <c r="AB164" s="2"/>
      <c r="AC164" s="2"/>
      <c r="AD164" s="2"/>
      <c r="AE164" s="2"/>
    </row>
    <row r="165" spans="1:31">
      <c r="A165" t="s">
        <v>13</v>
      </c>
      <c r="B165">
        <v>2025</v>
      </c>
      <c r="C165" t="s">
        <v>375</v>
      </c>
      <c r="D165">
        <v>119.750645646718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57.599999999999902</v>
      </c>
      <c r="L165">
        <v>1204.00111709162</v>
      </c>
      <c r="M165">
        <v>91.884372431414405</v>
      </c>
      <c r="N165">
        <v>0</v>
      </c>
      <c r="O165">
        <v>0</v>
      </c>
      <c r="P165">
        <v>0</v>
      </c>
      <c r="Q165">
        <v>1473.23613516975</v>
      </c>
      <c r="R165">
        <v>0</v>
      </c>
      <c r="S165">
        <v>0</v>
      </c>
      <c r="T165">
        <v>1054.70237419</v>
      </c>
      <c r="U165">
        <v>0</v>
      </c>
      <c r="V165">
        <v>0</v>
      </c>
      <c r="W165">
        <v>0</v>
      </c>
      <c r="X165">
        <v>418.53376097975797</v>
      </c>
      <c r="Y165">
        <v>713.44324846632196</v>
      </c>
      <c r="Z165" t="s">
        <v>52</v>
      </c>
      <c r="AA165" s="2"/>
      <c r="AB165" s="2"/>
      <c r="AC165" s="2"/>
      <c r="AD165" s="2"/>
      <c r="AE165" s="2"/>
    </row>
    <row r="166" spans="1:31">
      <c r="A166" t="s">
        <v>13</v>
      </c>
      <c r="B166">
        <v>2025</v>
      </c>
      <c r="C166" t="s">
        <v>376</v>
      </c>
      <c r="D166">
        <v>119.750645646718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57.599999999999902</v>
      </c>
      <c r="L166">
        <v>1102.81650599412</v>
      </c>
      <c r="M166">
        <v>94.925566845612195</v>
      </c>
      <c r="N166">
        <v>0</v>
      </c>
      <c r="O166" s="1">
        <v>-1.4210854715202001E-14</v>
      </c>
      <c r="P166">
        <v>0</v>
      </c>
      <c r="Q166">
        <v>1375.0927184864499</v>
      </c>
      <c r="R166">
        <v>0</v>
      </c>
      <c r="S166">
        <v>0</v>
      </c>
      <c r="T166">
        <v>1066.9923985200001</v>
      </c>
      <c r="U166">
        <v>0</v>
      </c>
      <c r="V166">
        <v>0</v>
      </c>
      <c r="W166">
        <v>0</v>
      </c>
      <c r="X166">
        <v>308.100319966455</v>
      </c>
      <c r="Y166">
        <v>713.44324846632196</v>
      </c>
      <c r="Z166" t="s">
        <v>52</v>
      </c>
      <c r="AA166" s="2"/>
      <c r="AB166" s="2"/>
      <c r="AC166" s="2"/>
      <c r="AD166" s="2"/>
      <c r="AE166" s="2"/>
    </row>
    <row r="167" spans="1:31">
      <c r="A167" t="s">
        <v>13</v>
      </c>
      <c r="B167">
        <v>2025</v>
      </c>
      <c r="C167" t="s">
        <v>377</v>
      </c>
      <c r="D167">
        <v>119.750645646718</v>
      </c>
      <c r="E167">
        <v>0</v>
      </c>
      <c r="F167">
        <v>0</v>
      </c>
      <c r="G167">
        <v>0</v>
      </c>
      <c r="H167">
        <v>0</v>
      </c>
      <c r="I167">
        <v>62.557478764133599</v>
      </c>
      <c r="J167">
        <v>0</v>
      </c>
      <c r="K167">
        <v>57.599999999999902</v>
      </c>
      <c r="L167">
        <v>1073.4710211884501</v>
      </c>
      <c r="M167">
        <v>74.244628568487201</v>
      </c>
      <c r="N167">
        <v>0</v>
      </c>
      <c r="O167" s="1">
        <v>0</v>
      </c>
      <c r="P167" s="1">
        <v>0</v>
      </c>
      <c r="Q167">
        <v>1387.6237741677901</v>
      </c>
      <c r="R167">
        <v>0</v>
      </c>
      <c r="S167">
        <v>0</v>
      </c>
      <c r="T167">
        <v>1060.1219868999999</v>
      </c>
      <c r="U167">
        <v>0</v>
      </c>
      <c r="V167">
        <v>0</v>
      </c>
      <c r="W167">
        <v>0</v>
      </c>
      <c r="X167">
        <v>327.50178726779001</v>
      </c>
      <c r="Y167">
        <v>713.44324846632196</v>
      </c>
      <c r="Z167" t="s">
        <v>52</v>
      </c>
      <c r="AA167" s="2"/>
      <c r="AB167" s="2"/>
      <c r="AC167" s="2"/>
      <c r="AD167" s="2"/>
      <c r="AE167" s="2"/>
    </row>
    <row r="168" spans="1:31">
      <c r="A168" t="s">
        <v>13</v>
      </c>
      <c r="B168">
        <v>2025</v>
      </c>
      <c r="C168" t="s">
        <v>378</v>
      </c>
      <c r="D168">
        <v>119.750645646718</v>
      </c>
      <c r="E168">
        <v>0</v>
      </c>
      <c r="F168">
        <v>0</v>
      </c>
      <c r="G168">
        <v>260.66610551439499</v>
      </c>
      <c r="H168">
        <v>178.2</v>
      </c>
      <c r="I168">
        <v>0</v>
      </c>
      <c r="J168">
        <v>0</v>
      </c>
      <c r="K168">
        <v>57.599999999999902</v>
      </c>
      <c r="L168">
        <v>2.34665541428858</v>
      </c>
      <c r="M168">
        <v>103.022056750568</v>
      </c>
      <c r="N168">
        <v>0</v>
      </c>
      <c r="O168" s="1">
        <v>-2.7755575615628901E-17</v>
      </c>
      <c r="P168" s="1">
        <v>0</v>
      </c>
      <c r="Q168">
        <v>721.58546332597098</v>
      </c>
      <c r="R168">
        <v>0</v>
      </c>
      <c r="S168">
        <v>89.439138600028599</v>
      </c>
      <c r="T168">
        <v>1158.6065741800001</v>
      </c>
      <c r="U168">
        <v>0</v>
      </c>
      <c r="V168">
        <v>0</v>
      </c>
      <c r="W168">
        <v>0</v>
      </c>
      <c r="X168">
        <v>-347.58197225399999</v>
      </c>
      <c r="Y168">
        <v>866.82746626512301</v>
      </c>
      <c r="Z168" t="s">
        <v>52</v>
      </c>
      <c r="AA168" s="2"/>
      <c r="AB168" s="2"/>
      <c r="AC168" s="2"/>
      <c r="AD168" s="2"/>
      <c r="AE168" s="2"/>
    </row>
    <row r="169" spans="1:31">
      <c r="A169" t="s">
        <v>13</v>
      </c>
      <c r="B169">
        <v>2025</v>
      </c>
      <c r="C169" t="s">
        <v>379</v>
      </c>
      <c r="D169">
        <v>119.750645646718</v>
      </c>
      <c r="E169">
        <v>0</v>
      </c>
      <c r="F169">
        <v>0</v>
      </c>
      <c r="G169">
        <v>248.928</v>
      </c>
      <c r="H169">
        <v>0</v>
      </c>
      <c r="I169">
        <v>178.2</v>
      </c>
      <c r="J169">
        <v>0</v>
      </c>
      <c r="K169">
        <v>57.599999999999902</v>
      </c>
      <c r="L169">
        <v>0</v>
      </c>
      <c r="M169">
        <v>86.908246900310303</v>
      </c>
      <c r="N169">
        <v>0</v>
      </c>
      <c r="O169">
        <v>0</v>
      </c>
      <c r="P169" s="1">
        <v>0</v>
      </c>
      <c r="Q169">
        <v>691.38689254702797</v>
      </c>
      <c r="R169">
        <v>0</v>
      </c>
      <c r="S169">
        <v>30.560861399971301</v>
      </c>
      <c r="T169">
        <v>1031.35393421</v>
      </c>
      <c r="U169">
        <v>0</v>
      </c>
      <c r="V169">
        <v>0</v>
      </c>
      <c r="W169">
        <v>0</v>
      </c>
      <c r="X169">
        <v>-309.40618026300001</v>
      </c>
      <c r="Y169">
        <v>866.82746626512301</v>
      </c>
      <c r="Z169" t="s">
        <v>52</v>
      </c>
      <c r="AA169" s="2"/>
      <c r="AB169" s="2"/>
      <c r="AC169" s="2"/>
      <c r="AD169" s="2"/>
      <c r="AE169" s="2"/>
    </row>
    <row r="170" spans="1:31">
      <c r="A170" t="s">
        <v>13</v>
      </c>
      <c r="B170">
        <v>2025</v>
      </c>
      <c r="C170" t="s">
        <v>380</v>
      </c>
      <c r="D170">
        <v>119.750645646718</v>
      </c>
      <c r="E170">
        <v>0</v>
      </c>
      <c r="F170">
        <v>0</v>
      </c>
      <c r="G170">
        <v>74.055261081387101</v>
      </c>
      <c r="H170">
        <v>178.2</v>
      </c>
      <c r="I170">
        <v>0</v>
      </c>
      <c r="J170">
        <v>0</v>
      </c>
      <c r="K170">
        <v>57.599999999999902</v>
      </c>
      <c r="L170">
        <v>0</v>
      </c>
      <c r="M170">
        <v>96.934169335994497</v>
      </c>
      <c r="N170">
        <v>0</v>
      </c>
      <c r="O170">
        <v>0</v>
      </c>
      <c r="P170">
        <v>0</v>
      </c>
      <c r="Q170">
        <v>526.54007606409903</v>
      </c>
      <c r="R170">
        <v>0</v>
      </c>
      <c r="S170">
        <v>0</v>
      </c>
      <c r="T170">
        <v>752.20010866300004</v>
      </c>
      <c r="U170">
        <v>0</v>
      </c>
      <c r="V170">
        <v>0</v>
      </c>
      <c r="W170">
        <v>0</v>
      </c>
      <c r="X170">
        <v>-225.66003259889999</v>
      </c>
      <c r="Y170">
        <v>863.62459662876802</v>
      </c>
      <c r="Z170" t="s">
        <v>52</v>
      </c>
      <c r="AA170" s="2"/>
      <c r="AB170" s="2"/>
      <c r="AC170" s="2"/>
      <c r="AD170" s="2"/>
      <c r="AE170" s="2"/>
    </row>
    <row r="171" spans="1:31">
      <c r="A171" t="s">
        <v>13</v>
      </c>
      <c r="B171">
        <v>2025</v>
      </c>
      <c r="C171" t="s">
        <v>297</v>
      </c>
      <c r="D171">
        <v>119.750645646718</v>
      </c>
      <c r="E171">
        <v>0</v>
      </c>
      <c r="F171">
        <v>0</v>
      </c>
      <c r="G171">
        <v>0</v>
      </c>
      <c r="H171">
        <v>0</v>
      </c>
      <c r="I171">
        <v>7.8674005047379003</v>
      </c>
      <c r="J171">
        <v>0</v>
      </c>
      <c r="K171">
        <v>57.599999999999902</v>
      </c>
      <c r="L171">
        <v>0</v>
      </c>
      <c r="M171">
        <v>46.803955976043802</v>
      </c>
      <c r="N171">
        <v>0</v>
      </c>
      <c r="O171">
        <v>0</v>
      </c>
      <c r="P171" s="1">
        <v>0</v>
      </c>
      <c r="Q171">
        <v>232.0220021275</v>
      </c>
      <c r="R171">
        <v>0</v>
      </c>
      <c r="S171">
        <v>97.5</v>
      </c>
      <c r="T171">
        <v>470.74571732499999</v>
      </c>
      <c r="U171">
        <v>0</v>
      </c>
      <c r="V171">
        <v>0</v>
      </c>
      <c r="W171">
        <v>0</v>
      </c>
      <c r="X171">
        <v>-141.22371519749899</v>
      </c>
      <c r="Y171">
        <v>713.44324846636005</v>
      </c>
      <c r="Z171" t="s">
        <v>52</v>
      </c>
      <c r="AA171" s="2"/>
      <c r="AB171" s="2"/>
      <c r="AC171" s="2"/>
      <c r="AD171" s="2"/>
      <c r="AE171" s="2"/>
    </row>
    <row r="172" spans="1:31">
      <c r="A172" t="s">
        <v>13</v>
      </c>
      <c r="B172">
        <v>2025</v>
      </c>
      <c r="C172" t="s">
        <v>298</v>
      </c>
      <c r="D172">
        <v>119.750645646718</v>
      </c>
      <c r="E172">
        <v>0</v>
      </c>
      <c r="F172">
        <v>0</v>
      </c>
      <c r="G172">
        <v>0</v>
      </c>
      <c r="H172">
        <v>64.549329218344397</v>
      </c>
      <c r="I172">
        <v>0</v>
      </c>
      <c r="J172">
        <v>0</v>
      </c>
      <c r="K172">
        <v>57.599999999999902</v>
      </c>
      <c r="L172">
        <v>0</v>
      </c>
      <c r="M172">
        <v>49.049374214137302</v>
      </c>
      <c r="N172">
        <v>0</v>
      </c>
      <c r="O172">
        <v>0</v>
      </c>
      <c r="P172" s="1">
        <v>0</v>
      </c>
      <c r="Q172">
        <v>290.94934907919998</v>
      </c>
      <c r="R172">
        <v>0</v>
      </c>
      <c r="S172">
        <v>0</v>
      </c>
      <c r="T172">
        <v>415.64192725599997</v>
      </c>
      <c r="U172">
        <v>0</v>
      </c>
      <c r="V172">
        <v>0</v>
      </c>
      <c r="W172">
        <v>0</v>
      </c>
      <c r="X172">
        <v>-124.692578176799</v>
      </c>
      <c r="Y172">
        <v>713.44324846632696</v>
      </c>
      <c r="Z172" t="s">
        <v>52</v>
      </c>
      <c r="AA172" s="2"/>
      <c r="AB172" s="2"/>
      <c r="AC172" s="2"/>
      <c r="AD172" s="2"/>
      <c r="AE172" s="2"/>
    </row>
    <row r="173" spans="1:31">
      <c r="A173" t="s">
        <v>13</v>
      </c>
      <c r="B173">
        <v>2025</v>
      </c>
      <c r="C173" t="s">
        <v>299</v>
      </c>
      <c r="D173">
        <v>119.750645646718</v>
      </c>
      <c r="E173">
        <v>0</v>
      </c>
      <c r="F173">
        <v>0</v>
      </c>
      <c r="G173">
        <v>0</v>
      </c>
      <c r="H173">
        <v>0</v>
      </c>
      <c r="I173">
        <v>153.745636934223</v>
      </c>
      <c r="J173">
        <v>0</v>
      </c>
      <c r="K173">
        <v>57.599999999999902</v>
      </c>
      <c r="L173">
        <v>0</v>
      </c>
      <c r="M173">
        <v>24.982759106658001</v>
      </c>
      <c r="N173">
        <v>0</v>
      </c>
      <c r="O173">
        <v>0</v>
      </c>
      <c r="P173">
        <v>0</v>
      </c>
      <c r="Q173">
        <v>356.07904168759899</v>
      </c>
      <c r="R173">
        <v>0</v>
      </c>
      <c r="S173">
        <v>0</v>
      </c>
      <c r="T173">
        <v>508.68434526800002</v>
      </c>
      <c r="U173">
        <v>0</v>
      </c>
      <c r="V173">
        <v>0</v>
      </c>
      <c r="W173">
        <v>0</v>
      </c>
      <c r="X173">
        <v>-152.6053035804</v>
      </c>
      <c r="Y173">
        <v>713.44324846633504</v>
      </c>
      <c r="Z173" t="s">
        <v>52</v>
      </c>
      <c r="AA173" s="2"/>
      <c r="AB173" s="2"/>
      <c r="AC173" s="2"/>
      <c r="AD173" s="2"/>
      <c r="AE173" s="2"/>
    </row>
    <row r="174" spans="1:31">
      <c r="A174" t="s">
        <v>13</v>
      </c>
      <c r="B174">
        <v>2025</v>
      </c>
      <c r="C174" t="s">
        <v>300</v>
      </c>
      <c r="D174">
        <v>119.750645646718</v>
      </c>
      <c r="E174">
        <v>0</v>
      </c>
      <c r="F174">
        <v>0</v>
      </c>
      <c r="G174">
        <v>0</v>
      </c>
      <c r="H174">
        <v>176.599264548734</v>
      </c>
      <c r="I174">
        <v>0</v>
      </c>
      <c r="J174">
        <v>0</v>
      </c>
      <c r="K174">
        <v>57.599999999999902</v>
      </c>
      <c r="L174">
        <v>40.428814600329098</v>
      </c>
      <c r="M174" s="1">
        <v>39.300637613018502</v>
      </c>
      <c r="N174">
        <v>0</v>
      </c>
      <c r="O174">
        <v>0</v>
      </c>
      <c r="P174">
        <v>0</v>
      </c>
      <c r="Q174">
        <v>433.67936240879999</v>
      </c>
      <c r="R174">
        <v>0</v>
      </c>
      <c r="S174">
        <v>150</v>
      </c>
      <c r="T174">
        <v>833.827660584</v>
      </c>
      <c r="U174">
        <v>0</v>
      </c>
      <c r="V174">
        <v>0</v>
      </c>
      <c r="W174">
        <v>0</v>
      </c>
      <c r="X174">
        <v>-250.14829817519899</v>
      </c>
      <c r="Y174">
        <v>713.44324846632696</v>
      </c>
      <c r="Z174" t="s">
        <v>52</v>
      </c>
      <c r="AA174" s="2"/>
      <c r="AB174" s="2"/>
      <c r="AC174" s="2"/>
      <c r="AD174" s="2"/>
      <c r="AE174" s="2"/>
    </row>
    <row r="175" spans="1:31">
      <c r="A175" t="s">
        <v>13</v>
      </c>
      <c r="B175">
        <v>2025</v>
      </c>
      <c r="C175" t="s">
        <v>301</v>
      </c>
      <c r="D175">
        <v>119.750645646718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1065.8392135475001</v>
      </c>
      <c r="M175" s="1">
        <v>37.372364479275198</v>
      </c>
      <c r="N175">
        <v>57.599999999999902</v>
      </c>
      <c r="O175">
        <v>0</v>
      </c>
      <c r="P175">
        <v>0</v>
      </c>
      <c r="Q175">
        <v>1222.9622236734999</v>
      </c>
      <c r="R175">
        <v>0</v>
      </c>
      <c r="S175">
        <v>0</v>
      </c>
      <c r="T175">
        <v>986.376193091</v>
      </c>
      <c r="U175">
        <v>0</v>
      </c>
      <c r="V175">
        <v>0</v>
      </c>
      <c r="W175">
        <v>150</v>
      </c>
      <c r="X175">
        <v>86.586030582500399</v>
      </c>
      <c r="Y175">
        <v>-302.40950027084801</v>
      </c>
      <c r="Z175" t="s">
        <v>52</v>
      </c>
      <c r="AA175" s="2"/>
      <c r="AB175" s="2"/>
      <c r="AC175" s="2"/>
      <c r="AD175" s="2"/>
      <c r="AE175" s="2"/>
    </row>
    <row r="176" spans="1:31">
      <c r="A176" t="s">
        <v>13</v>
      </c>
      <c r="B176">
        <v>2025</v>
      </c>
      <c r="C176" t="s">
        <v>302</v>
      </c>
      <c r="D176">
        <v>119.750645646718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57.599999999999902</v>
      </c>
      <c r="L176">
        <v>1394.5278274008001</v>
      </c>
      <c r="M176" s="1">
        <v>43.543925391987003</v>
      </c>
      <c r="N176">
        <v>0</v>
      </c>
      <c r="O176">
        <v>0</v>
      </c>
      <c r="P176">
        <v>0</v>
      </c>
      <c r="Q176">
        <v>1615.4223984395001</v>
      </c>
      <c r="R176">
        <v>0</v>
      </c>
      <c r="S176">
        <v>0</v>
      </c>
      <c r="T176">
        <v>1068.56748741</v>
      </c>
      <c r="U176">
        <v>0</v>
      </c>
      <c r="V176">
        <v>0</v>
      </c>
      <c r="W176">
        <v>150</v>
      </c>
      <c r="X176">
        <v>396.854911029508</v>
      </c>
      <c r="Y176">
        <v>-302.40950027084801</v>
      </c>
      <c r="Z176" t="s">
        <v>52</v>
      </c>
      <c r="AA176" s="2"/>
      <c r="AB176" s="2"/>
      <c r="AC176" s="2"/>
      <c r="AD176" s="2"/>
      <c r="AE176" s="2"/>
    </row>
    <row r="177" spans="1:31">
      <c r="A177" t="s">
        <v>13</v>
      </c>
      <c r="B177">
        <v>2025</v>
      </c>
      <c r="C177" t="s">
        <v>303</v>
      </c>
      <c r="D177">
        <v>119.750645646718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57.599999999999902</v>
      </c>
      <c r="L177">
        <v>1421.5391985577201</v>
      </c>
      <c r="M177">
        <v>50.5237172292113</v>
      </c>
      <c r="N177">
        <v>0</v>
      </c>
      <c r="O177">
        <v>0</v>
      </c>
      <c r="P177" s="1">
        <v>0</v>
      </c>
      <c r="Q177">
        <v>1649.4135614336501</v>
      </c>
      <c r="R177">
        <v>0</v>
      </c>
      <c r="S177">
        <v>0</v>
      </c>
      <c r="T177">
        <v>1097.21665616</v>
      </c>
      <c r="U177">
        <v>0</v>
      </c>
      <c r="V177">
        <v>0</v>
      </c>
      <c r="W177">
        <v>150</v>
      </c>
      <c r="X177">
        <v>402.19690527365401</v>
      </c>
      <c r="Y177">
        <v>-302.40950027084801</v>
      </c>
      <c r="Z177" t="s">
        <v>52</v>
      </c>
      <c r="AA177" s="2"/>
      <c r="AB177" s="2"/>
      <c r="AC177" s="2"/>
      <c r="AD177" s="2"/>
      <c r="AE177" s="2"/>
    </row>
    <row r="178" spans="1:31">
      <c r="A178" t="s">
        <v>13</v>
      </c>
      <c r="B178">
        <v>2025</v>
      </c>
      <c r="C178" t="s">
        <v>304</v>
      </c>
      <c r="D178">
        <v>119.750645646718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57.599999999999902</v>
      </c>
      <c r="L178">
        <v>1406.22374637966</v>
      </c>
      <c r="M178">
        <v>56.4941584968253</v>
      </c>
      <c r="N178">
        <v>0</v>
      </c>
      <c r="O178">
        <v>0</v>
      </c>
      <c r="P178">
        <v>0</v>
      </c>
      <c r="Q178">
        <v>1640.0685505232</v>
      </c>
      <c r="R178">
        <v>0</v>
      </c>
      <c r="S178">
        <v>0</v>
      </c>
      <c r="T178">
        <v>1093.54113639</v>
      </c>
      <c r="U178">
        <v>0</v>
      </c>
      <c r="V178">
        <v>0</v>
      </c>
      <c r="W178">
        <v>150</v>
      </c>
      <c r="X178">
        <v>396.52741413320501</v>
      </c>
      <c r="Y178">
        <v>-302.40950027084801</v>
      </c>
      <c r="Z178" t="s">
        <v>52</v>
      </c>
      <c r="AA178" s="2"/>
      <c r="AB178" s="2"/>
      <c r="AC178" s="2"/>
      <c r="AD178" s="2"/>
      <c r="AE178" s="2"/>
    </row>
    <row r="179" spans="1:31">
      <c r="A179" t="s">
        <v>13</v>
      </c>
      <c r="B179">
        <v>2025</v>
      </c>
      <c r="C179" t="s">
        <v>305</v>
      </c>
      <c r="D179">
        <v>119.750645646718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48.455141256835702</v>
      </c>
      <c r="L179">
        <v>1240.1368840878799</v>
      </c>
      <c r="M179">
        <v>42.816275039595901</v>
      </c>
      <c r="N179">
        <v>9.1448587431642299</v>
      </c>
      <c r="O179">
        <v>0</v>
      </c>
      <c r="P179">
        <v>0</v>
      </c>
      <c r="Q179">
        <v>1451.1589460310299</v>
      </c>
      <c r="R179">
        <v>0</v>
      </c>
      <c r="S179">
        <v>0</v>
      </c>
      <c r="T179">
        <v>1063.57262614</v>
      </c>
      <c r="U179">
        <v>0</v>
      </c>
      <c r="V179">
        <v>0</v>
      </c>
      <c r="W179">
        <v>150</v>
      </c>
      <c r="X179">
        <v>237.58631989103</v>
      </c>
      <c r="Y179">
        <v>-302.40950027084801</v>
      </c>
      <c r="Z179" t="s">
        <v>52</v>
      </c>
      <c r="AA179" s="2"/>
      <c r="AB179" s="2"/>
      <c r="AC179" s="2"/>
      <c r="AD179" s="2"/>
      <c r="AE179" s="2"/>
    </row>
    <row r="180" spans="1:31">
      <c r="A180" t="s">
        <v>13</v>
      </c>
      <c r="B180">
        <v>2025</v>
      </c>
      <c r="C180" t="s">
        <v>306</v>
      </c>
      <c r="D180">
        <v>119.750645646718</v>
      </c>
      <c r="E180">
        <v>0</v>
      </c>
      <c r="F180">
        <v>0</v>
      </c>
      <c r="G180">
        <v>66.371607568768198</v>
      </c>
      <c r="H180">
        <v>0</v>
      </c>
      <c r="I180">
        <v>178.2</v>
      </c>
      <c r="J180">
        <v>0</v>
      </c>
      <c r="K180">
        <v>57.599999999999902</v>
      </c>
      <c r="L180">
        <v>130.519013532532</v>
      </c>
      <c r="M180" s="1">
        <v>73.064737783980405</v>
      </c>
      <c r="N180">
        <v>0</v>
      </c>
      <c r="O180">
        <v>0</v>
      </c>
      <c r="P180">
        <v>0</v>
      </c>
      <c r="Q180">
        <v>625.506004531999</v>
      </c>
      <c r="R180">
        <v>0</v>
      </c>
      <c r="S180">
        <v>150</v>
      </c>
      <c r="T180">
        <v>1107.8657207599999</v>
      </c>
      <c r="U180">
        <v>0</v>
      </c>
      <c r="V180">
        <v>0</v>
      </c>
      <c r="W180">
        <v>0</v>
      </c>
      <c r="X180">
        <v>-332.359716227999</v>
      </c>
      <c r="Y180">
        <v>863.62459662876802</v>
      </c>
      <c r="Z180" t="s">
        <v>52</v>
      </c>
      <c r="AA180" s="2"/>
      <c r="AB180" s="2"/>
      <c r="AC180" s="2"/>
      <c r="AD180" s="2"/>
      <c r="AE180" s="2"/>
    </row>
    <row r="181" spans="1:31">
      <c r="A181" t="s">
        <v>13</v>
      </c>
      <c r="B181">
        <v>2025</v>
      </c>
      <c r="C181" t="s">
        <v>307</v>
      </c>
      <c r="D181">
        <v>119.750645646718</v>
      </c>
      <c r="E181">
        <v>0</v>
      </c>
      <c r="F181">
        <v>0</v>
      </c>
      <c r="G181">
        <v>124.56995626673999</v>
      </c>
      <c r="H181">
        <v>178.2</v>
      </c>
      <c r="I181">
        <v>0</v>
      </c>
      <c r="J181">
        <v>0</v>
      </c>
      <c r="K181">
        <v>57.599999999999902</v>
      </c>
      <c r="L181">
        <v>0</v>
      </c>
      <c r="M181">
        <v>84.015956550540807</v>
      </c>
      <c r="N181">
        <v>0</v>
      </c>
      <c r="O181">
        <v>0</v>
      </c>
      <c r="P181">
        <v>0</v>
      </c>
      <c r="Q181">
        <v>564.13655846399899</v>
      </c>
      <c r="R181">
        <v>0</v>
      </c>
      <c r="S181">
        <v>150</v>
      </c>
      <c r="T181">
        <v>1020.19508352</v>
      </c>
      <c r="U181">
        <v>0</v>
      </c>
      <c r="V181">
        <v>0</v>
      </c>
      <c r="W181">
        <v>0</v>
      </c>
      <c r="X181">
        <v>-306.05852505600001</v>
      </c>
      <c r="Y181">
        <v>863.62459662876802</v>
      </c>
      <c r="Z181" t="s">
        <v>52</v>
      </c>
      <c r="AA181" s="2"/>
      <c r="AB181" s="2"/>
      <c r="AC181" s="2"/>
      <c r="AD181" s="2"/>
      <c r="AE181" s="2"/>
    </row>
    <row r="182" spans="1:31">
      <c r="A182" t="s">
        <v>13</v>
      </c>
      <c r="B182">
        <v>2025</v>
      </c>
      <c r="C182" t="s">
        <v>308</v>
      </c>
      <c r="D182">
        <v>119.750645646718</v>
      </c>
      <c r="E182">
        <v>0</v>
      </c>
      <c r="F182">
        <v>0</v>
      </c>
      <c r="G182">
        <v>0</v>
      </c>
      <c r="H182">
        <v>78.107141534842896</v>
      </c>
      <c r="I182">
        <v>0</v>
      </c>
      <c r="J182">
        <v>0</v>
      </c>
      <c r="K182">
        <v>57.599999999999902</v>
      </c>
      <c r="L182">
        <v>0</v>
      </c>
      <c r="M182">
        <v>90.756916642438597</v>
      </c>
      <c r="N182">
        <v>0</v>
      </c>
      <c r="O182">
        <v>0</v>
      </c>
      <c r="P182" s="1">
        <v>0</v>
      </c>
      <c r="Q182">
        <v>346.214703823999</v>
      </c>
      <c r="R182">
        <v>0</v>
      </c>
      <c r="S182">
        <v>150</v>
      </c>
      <c r="T182">
        <v>708.87814832000004</v>
      </c>
      <c r="U182">
        <v>0</v>
      </c>
      <c r="V182">
        <v>0</v>
      </c>
      <c r="W182">
        <v>0</v>
      </c>
      <c r="X182">
        <v>-212.66344449600001</v>
      </c>
      <c r="Y182">
        <v>713.44324846632696</v>
      </c>
      <c r="Z182" t="s">
        <v>52</v>
      </c>
      <c r="AA182" s="2"/>
      <c r="AB182" s="2"/>
      <c r="AC182" s="2"/>
      <c r="AD182" s="2"/>
      <c r="AE182" s="2"/>
    </row>
    <row r="183" spans="1:31">
      <c r="A183" t="s">
        <v>13</v>
      </c>
      <c r="B183">
        <v>2025</v>
      </c>
      <c r="C183" t="s">
        <v>381</v>
      </c>
      <c r="D183">
        <v>119.750645646718</v>
      </c>
      <c r="E183">
        <v>0</v>
      </c>
      <c r="F183">
        <v>0</v>
      </c>
      <c r="G183">
        <v>0</v>
      </c>
      <c r="H183">
        <v>70.420276456942901</v>
      </c>
      <c r="I183">
        <v>0</v>
      </c>
      <c r="J183">
        <v>0</v>
      </c>
      <c r="K183">
        <v>57.599999999999902</v>
      </c>
      <c r="L183">
        <v>0</v>
      </c>
      <c r="M183">
        <v>121.414073792838</v>
      </c>
      <c r="N183">
        <v>0</v>
      </c>
      <c r="O183">
        <v>0</v>
      </c>
      <c r="P183">
        <v>0</v>
      </c>
      <c r="Q183">
        <v>369.184995896499</v>
      </c>
      <c r="R183">
        <v>0</v>
      </c>
      <c r="S183">
        <v>0</v>
      </c>
      <c r="T183">
        <v>527.40713699499997</v>
      </c>
      <c r="U183">
        <v>0</v>
      </c>
      <c r="V183">
        <v>0</v>
      </c>
      <c r="W183">
        <v>0</v>
      </c>
      <c r="X183">
        <v>-158.22214109849901</v>
      </c>
      <c r="Y183">
        <v>57.545131335863402</v>
      </c>
      <c r="Z183" t="s">
        <v>51</v>
      </c>
      <c r="AA183" s="2"/>
      <c r="AB183" s="2"/>
      <c r="AC183" s="2"/>
      <c r="AD183" s="2"/>
      <c r="AE183" s="2"/>
    </row>
    <row r="184" spans="1:31">
      <c r="A184" t="s">
        <v>13</v>
      </c>
      <c r="B184">
        <v>2025</v>
      </c>
      <c r="C184" t="s">
        <v>382</v>
      </c>
      <c r="D184">
        <v>119.750645646718</v>
      </c>
      <c r="E184">
        <v>0</v>
      </c>
      <c r="F184">
        <v>0</v>
      </c>
      <c r="G184">
        <v>0</v>
      </c>
      <c r="H184">
        <v>20.022265358354598</v>
      </c>
      <c r="I184">
        <v>0</v>
      </c>
      <c r="J184">
        <v>0</v>
      </c>
      <c r="K184">
        <v>57.599999999999902</v>
      </c>
      <c r="L184">
        <v>0</v>
      </c>
      <c r="M184">
        <v>131.153637485627</v>
      </c>
      <c r="N184">
        <v>0</v>
      </c>
      <c r="O184">
        <v>0</v>
      </c>
      <c r="P184" s="1">
        <v>0</v>
      </c>
      <c r="Q184">
        <v>328.52654849070001</v>
      </c>
      <c r="R184">
        <v>0</v>
      </c>
      <c r="S184">
        <v>0</v>
      </c>
      <c r="T184">
        <v>469.32364070099999</v>
      </c>
      <c r="U184">
        <v>0</v>
      </c>
      <c r="V184">
        <v>0</v>
      </c>
      <c r="W184">
        <v>0</v>
      </c>
      <c r="X184">
        <v>-140.79709221029901</v>
      </c>
      <c r="Y184">
        <v>57.545131335863402</v>
      </c>
      <c r="Z184" t="s">
        <v>51</v>
      </c>
      <c r="AA184" s="2"/>
      <c r="AB184" s="2"/>
      <c r="AC184" s="2"/>
      <c r="AD184" s="2"/>
      <c r="AE184" s="2"/>
    </row>
    <row r="185" spans="1:31">
      <c r="A185" t="s">
        <v>13</v>
      </c>
      <c r="B185">
        <v>2025</v>
      </c>
      <c r="C185" t="s">
        <v>383</v>
      </c>
      <c r="D185">
        <v>119.750645646718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57.599999999999902</v>
      </c>
      <c r="L185">
        <v>0</v>
      </c>
      <c r="M185">
        <v>108.56049648036399</v>
      </c>
      <c r="N185">
        <v>0</v>
      </c>
      <c r="O185">
        <v>0</v>
      </c>
      <c r="P185" s="1">
        <v>0</v>
      </c>
      <c r="Q185">
        <v>285.911142127083</v>
      </c>
      <c r="R185">
        <v>0</v>
      </c>
      <c r="S185">
        <v>109.38953731301601</v>
      </c>
      <c r="T185">
        <v>564.71525634299996</v>
      </c>
      <c r="U185">
        <v>0</v>
      </c>
      <c r="V185">
        <v>0</v>
      </c>
      <c r="W185">
        <v>0</v>
      </c>
      <c r="X185">
        <v>-169.4145769029</v>
      </c>
      <c r="Y185">
        <v>57.545131335863402</v>
      </c>
      <c r="Z185" t="s">
        <v>51</v>
      </c>
      <c r="AA185" s="2"/>
      <c r="AB185" s="2"/>
      <c r="AC185" s="2"/>
      <c r="AD185" s="2"/>
      <c r="AE185" s="2"/>
    </row>
    <row r="186" spans="1:31">
      <c r="A186" t="s">
        <v>13</v>
      </c>
      <c r="B186">
        <v>2025</v>
      </c>
      <c r="C186" t="s">
        <v>384</v>
      </c>
      <c r="D186">
        <v>119.750645646718</v>
      </c>
      <c r="E186">
        <v>0</v>
      </c>
      <c r="F186">
        <v>0</v>
      </c>
      <c r="G186">
        <v>0</v>
      </c>
      <c r="H186">
        <v>47.965206897207302</v>
      </c>
      <c r="I186">
        <v>0</v>
      </c>
      <c r="J186">
        <v>0</v>
      </c>
      <c r="K186">
        <v>57.599999999999902</v>
      </c>
      <c r="L186">
        <v>97.051250079584904</v>
      </c>
      <c r="M186">
        <v>145.731123603089</v>
      </c>
      <c r="N186">
        <v>0</v>
      </c>
      <c r="O186" s="1">
        <v>0</v>
      </c>
      <c r="P186">
        <v>0</v>
      </c>
      <c r="Q186">
        <v>468.09822622659902</v>
      </c>
      <c r="R186">
        <v>0</v>
      </c>
      <c r="S186">
        <v>150</v>
      </c>
      <c r="T186">
        <v>882.99746603799997</v>
      </c>
      <c r="U186">
        <v>0</v>
      </c>
      <c r="V186">
        <v>0</v>
      </c>
      <c r="W186">
        <v>0</v>
      </c>
      <c r="X186">
        <v>-264.89923981139998</v>
      </c>
      <c r="Y186">
        <v>57.545131335863402</v>
      </c>
      <c r="Z186" t="s">
        <v>51</v>
      </c>
      <c r="AA186" s="2"/>
      <c r="AB186" s="2"/>
      <c r="AC186" s="2"/>
      <c r="AD186" s="2"/>
      <c r="AE186" s="2"/>
    </row>
    <row r="187" spans="1:31">
      <c r="A187" t="s">
        <v>13</v>
      </c>
      <c r="B187">
        <v>2025</v>
      </c>
      <c r="C187" t="s">
        <v>385</v>
      </c>
      <c r="D187">
        <v>119.750645646718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57.599999999999902</v>
      </c>
      <c r="L187">
        <v>824.50197622202199</v>
      </c>
      <c r="M187">
        <v>149.99649778700601</v>
      </c>
      <c r="N187">
        <v>0</v>
      </c>
      <c r="O187" s="1">
        <v>0</v>
      </c>
      <c r="P187">
        <v>0</v>
      </c>
      <c r="Q187">
        <v>1151.84911965574</v>
      </c>
      <c r="R187">
        <v>0</v>
      </c>
      <c r="S187">
        <v>0</v>
      </c>
      <c r="T187">
        <v>1007.41708867</v>
      </c>
      <c r="U187">
        <v>0</v>
      </c>
      <c r="V187">
        <v>0</v>
      </c>
      <c r="W187">
        <v>150</v>
      </c>
      <c r="X187">
        <v>-5.5679690142526699</v>
      </c>
      <c r="Y187">
        <v>44.309751128614799</v>
      </c>
      <c r="Z187" t="s">
        <v>51</v>
      </c>
      <c r="AA187" s="2"/>
      <c r="AB187" s="2"/>
      <c r="AC187" s="2"/>
      <c r="AD187" s="2"/>
      <c r="AE187" s="2"/>
    </row>
    <row r="188" spans="1:31">
      <c r="A188" t="s">
        <v>13</v>
      </c>
      <c r="B188">
        <v>2025</v>
      </c>
      <c r="C188" t="s">
        <v>386</v>
      </c>
      <c r="D188">
        <v>119.750645646718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57.599999999999902</v>
      </c>
      <c r="L188">
        <v>1277.48839783125</v>
      </c>
      <c r="M188">
        <v>150.75464820038101</v>
      </c>
      <c r="N188">
        <v>0</v>
      </c>
      <c r="O188" s="1">
        <v>0</v>
      </c>
      <c r="P188">
        <v>0</v>
      </c>
      <c r="Q188">
        <v>1605.5936916783501</v>
      </c>
      <c r="R188">
        <v>0</v>
      </c>
      <c r="S188">
        <v>0</v>
      </c>
      <c r="T188">
        <v>1074.08166626</v>
      </c>
      <c r="U188">
        <v>0</v>
      </c>
      <c r="V188">
        <v>0</v>
      </c>
      <c r="W188">
        <v>150</v>
      </c>
      <c r="X188">
        <v>381.51202541835403</v>
      </c>
      <c r="Y188">
        <v>44.309751128614799</v>
      </c>
      <c r="Z188" t="s">
        <v>51</v>
      </c>
      <c r="AA188" s="2"/>
      <c r="AB188" s="2"/>
      <c r="AC188" s="2"/>
      <c r="AD188" s="2"/>
      <c r="AE188" s="2"/>
    </row>
    <row r="189" spans="1:31">
      <c r="A189" t="s">
        <v>13</v>
      </c>
      <c r="B189">
        <v>2025</v>
      </c>
      <c r="C189" t="s">
        <v>387</v>
      </c>
      <c r="D189">
        <v>119.750645646718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57.599999999999902</v>
      </c>
      <c r="L189">
        <v>1400.3333865110101</v>
      </c>
      <c r="M189">
        <v>148.26528361223399</v>
      </c>
      <c r="N189">
        <v>0</v>
      </c>
      <c r="O189">
        <v>0</v>
      </c>
      <c r="P189" s="1">
        <v>0</v>
      </c>
      <c r="Q189">
        <v>1725.9493157699601</v>
      </c>
      <c r="R189">
        <v>0</v>
      </c>
      <c r="S189">
        <v>0</v>
      </c>
      <c r="T189">
        <v>1102.37074147</v>
      </c>
      <c r="U189">
        <v>0</v>
      </c>
      <c r="V189">
        <v>0</v>
      </c>
      <c r="W189">
        <v>133.02349464885199</v>
      </c>
      <c r="X189">
        <v>490.55507965111099</v>
      </c>
      <c r="Y189">
        <v>44.309751128614799</v>
      </c>
      <c r="Z189" t="s">
        <v>51</v>
      </c>
      <c r="AA189" s="2"/>
      <c r="AB189" s="2"/>
      <c r="AC189" s="2"/>
      <c r="AD189" s="2"/>
      <c r="AE189" s="2"/>
    </row>
    <row r="190" spans="1:31">
      <c r="A190" t="s">
        <v>13</v>
      </c>
      <c r="B190">
        <v>2025</v>
      </c>
      <c r="C190" t="s">
        <v>388</v>
      </c>
      <c r="D190">
        <v>119.750645646718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57.599999999999902</v>
      </c>
      <c r="L190">
        <v>1396.5775619011699</v>
      </c>
      <c r="M190">
        <v>146.792941273873</v>
      </c>
      <c r="N190">
        <v>0</v>
      </c>
      <c r="O190">
        <v>0</v>
      </c>
      <c r="P190">
        <v>0</v>
      </c>
      <c r="Q190">
        <v>1720.7211488217599</v>
      </c>
      <c r="R190">
        <v>0</v>
      </c>
      <c r="S190">
        <v>0</v>
      </c>
      <c r="T190">
        <v>1104.16352396</v>
      </c>
      <c r="U190">
        <v>0</v>
      </c>
      <c r="V190">
        <v>0</v>
      </c>
      <c r="W190">
        <v>150</v>
      </c>
      <c r="X190">
        <v>466.55762486176599</v>
      </c>
      <c r="Y190">
        <v>44.309751128614799</v>
      </c>
      <c r="Z190" t="s">
        <v>51</v>
      </c>
      <c r="AA190" s="2"/>
      <c r="AB190" s="2"/>
      <c r="AC190" s="2"/>
      <c r="AD190" s="2"/>
      <c r="AE190" s="2"/>
    </row>
    <row r="191" spans="1:31">
      <c r="A191" t="s">
        <v>13</v>
      </c>
      <c r="B191">
        <v>2025</v>
      </c>
      <c r="C191" t="s">
        <v>389</v>
      </c>
      <c r="D191">
        <v>119.750645646718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57.599999999999902</v>
      </c>
      <c r="L191">
        <v>1196.7589314496199</v>
      </c>
      <c r="M191" s="1">
        <v>112.921815599471</v>
      </c>
      <c r="N191">
        <v>0</v>
      </c>
      <c r="O191">
        <v>0</v>
      </c>
      <c r="P191">
        <v>0</v>
      </c>
      <c r="Q191">
        <v>1487.0313926958099</v>
      </c>
      <c r="R191">
        <v>0</v>
      </c>
      <c r="S191">
        <v>0</v>
      </c>
      <c r="T191">
        <v>1075.4365694400001</v>
      </c>
      <c r="U191">
        <v>0</v>
      </c>
      <c r="V191">
        <v>0</v>
      </c>
      <c r="W191">
        <v>150</v>
      </c>
      <c r="X191">
        <v>261.59482325581899</v>
      </c>
      <c r="Y191">
        <v>44.309751128614799</v>
      </c>
      <c r="Z191" t="s">
        <v>51</v>
      </c>
      <c r="AA191" s="2"/>
      <c r="AB191" s="2"/>
      <c r="AC191" s="2"/>
      <c r="AD191" s="2"/>
      <c r="AE191" s="2"/>
    </row>
    <row r="192" spans="1:31">
      <c r="A192" t="s">
        <v>13</v>
      </c>
      <c r="B192">
        <v>2025</v>
      </c>
      <c r="C192" t="s">
        <v>390</v>
      </c>
      <c r="D192">
        <v>119.750645646718</v>
      </c>
      <c r="E192">
        <v>0</v>
      </c>
      <c r="F192">
        <v>0</v>
      </c>
      <c r="G192">
        <v>0</v>
      </c>
      <c r="H192">
        <v>158.987986899379</v>
      </c>
      <c r="I192">
        <v>0</v>
      </c>
      <c r="J192">
        <v>0</v>
      </c>
      <c r="K192">
        <v>57.599999999999902</v>
      </c>
      <c r="L192">
        <v>189.80069657008499</v>
      </c>
      <c r="M192">
        <v>134.526268633217</v>
      </c>
      <c r="N192">
        <v>0</v>
      </c>
      <c r="O192">
        <v>0</v>
      </c>
      <c r="P192">
        <v>0</v>
      </c>
      <c r="Q192">
        <v>660.66559774940004</v>
      </c>
      <c r="R192">
        <v>0</v>
      </c>
      <c r="S192">
        <v>125.03855356659901</v>
      </c>
      <c r="T192">
        <v>1122.43450188</v>
      </c>
      <c r="U192">
        <v>0</v>
      </c>
      <c r="V192">
        <v>0</v>
      </c>
      <c r="W192">
        <v>0</v>
      </c>
      <c r="X192">
        <v>-336.73035056399999</v>
      </c>
      <c r="Y192">
        <v>57.545131335863402</v>
      </c>
      <c r="Z192" t="s">
        <v>51</v>
      </c>
      <c r="AA192" s="2"/>
      <c r="AB192" s="2"/>
      <c r="AC192" s="2"/>
      <c r="AD192" s="2"/>
      <c r="AE192" s="2"/>
    </row>
    <row r="193" spans="1:31">
      <c r="A193" t="s">
        <v>13</v>
      </c>
      <c r="B193">
        <v>2025</v>
      </c>
      <c r="C193" t="s">
        <v>391</v>
      </c>
      <c r="D193">
        <v>119.750645646718</v>
      </c>
      <c r="E193">
        <v>0</v>
      </c>
      <c r="F193">
        <v>0</v>
      </c>
      <c r="G193">
        <v>73.7006920693252</v>
      </c>
      <c r="H193">
        <v>178.2</v>
      </c>
      <c r="I193">
        <v>0</v>
      </c>
      <c r="J193">
        <v>0</v>
      </c>
      <c r="K193">
        <v>57.599999999999902</v>
      </c>
      <c r="L193">
        <v>0</v>
      </c>
      <c r="M193">
        <v>132.89587195295601</v>
      </c>
      <c r="N193">
        <v>0</v>
      </c>
      <c r="O193">
        <v>0</v>
      </c>
      <c r="P193">
        <v>0</v>
      </c>
      <c r="Q193">
        <v>562.14720966899995</v>
      </c>
      <c r="R193">
        <v>0</v>
      </c>
      <c r="S193">
        <v>150</v>
      </c>
      <c r="T193">
        <v>1017.35315667</v>
      </c>
      <c r="U193">
        <v>0</v>
      </c>
      <c r="V193">
        <v>0</v>
      </c>
      <c r="W193">
        <v>0</v>
      </c>
      <c r="X193">
        <v>-305.205947000999</v>
      </c>
      <c r="Y193">
        <v>207.726479498304</v>
      </c>
      <c r="Z193" t="s">
        <v>51</v>
      </c>
      <c r="AA193" s="2"/>
      <c r="AB193" s="2"/>
      <c r="AC193" s="2"/>
      <c r="AD193" s="2"/>
      <c r="AE193" s="2"/>
    </row>
    <row r="194" spans="1:31">
      <c r="A194" t="s">
        <v>13</v>
      </c>
      <c r="B194">
        <v>2025</v>
      </c>
      <c r="C194" t="s">
        <v>392</v>
      </c>
      <c r="D194">
        <v>119.750645646718</v>
      </c>
      <c r="E194">
        <v>0</v>
      </c>
      <c r="F194">
        <v>0</v>
      </c>
      <c r="G194">
        <v>0</v>
      </c>
      <c r="H194">
        <v>86.808259180728996</v>
      </c>
      <c r="I194">
        <v>0</v>
      </c>
      <c r="J194">
        <v>0</v>
      </c>
      <c r="K194">
        <v>57.599999999999902</v>
      </c>
      <c r="L194">
        <v>0</v>
      </c>
      <c r="M194">
        <v>97.732980536852594</v>
      </c>
      <c r="N194">
        <v>0</v>
      </c>
      <c r="O194">
        <v>0</v>
      </c>
      <c r="P194">
        <v>0</v>
      </c>
      <c r="Q194">
        <v>361.89188536429998</v>
      </c>
      <c r="R194">
        <v>0</v>
      </c>
      <c r="S194">
        <v>150</v>
      </c>
      <c r="T194">
        <v>731.274121949</v>
      </c>
      <c r="U194">
        <v>0</v>
      </c>
      <c r="V194">
        <v>0</v>
      </c>
      <c r="W194">
        <v>0</v>
      </c>
      <c r="X194">
        <v>-219.3822365847</v>
      </c>
      <c r="Y194">
        <v>57.545131335863402</v>
      </c>
      <c r="Z194" t="s">
        <v>51</v>
      </c>
      <c r="AA194" s="2"/>
      <c r="AB194" s="2"/>
      <c r="AC194" s="2"/>
      <c r="AD194" s="2"/>
      <c r="AE194" s="2"/>
    </row>
    <row r="195" spans="1:31">
      <c r="A195" t="s">
        <v>13</v>
      </c>
      <c r="B195">
        <v>2025</v>
      </c>
      <c r="C195" t="s">
        <v>309</v>
      </c>
      <c r="D195">
        <v>119.750645646718</v>
      </c>
      <c r="E195">
        <v>0</v>
      </c>
      <c r="F195">
        <v>0</v>
      </c>
      <c r="G195">
        <v>0</v>
      </c>
      <c r="H195">
        <v>173.21117519999899</v>
      </c>
      <c r="I195">
        <v>0</v>
      </c>
      <c r="J195">
        <v>0</v>
      </c>
      <c r="K195">
        <v>57.599999999999902</v>
      </c>
      <c r="L195">
        <v>0</v>
      </c>
      <c r="M195">
        <v>34.552734129482403</v>
      </c>
      <c r="N195">
        <v>0</v>
      </c>
      <c r="O195">
        <v>0</v>
      </c>
      <c r="P195">
        <v>0</v>
      </c>
      <c r="Q195">
        <v>385.11455497619897</v>
      </c>
      <c r="R195">
        <v>0</v>
      </c>
      <c r="S195">
        <v>0</v>
      </c>
      <c r="T195">
        <v>550.16364996599998</v>
      </c>
      <c r="U195">
        <v>0</v>
      </c>
      <c r="V195">
        <v>0</v>
      </c>
      <c r="W195">
        <v>0</v>
      </c>
      <c r="X195">
        <v>-165.04909498979899</v>
      </c>
      <c r="Y195">
        <v>713.44324846632696</v>
      </c>
      <c r="Z195" t="s">
        <v>52</v>
      </c>
    </row>
    <row r="196" spans="1:31">
      <c r="A196" t="s">
        <v>13</v>
      </c>
      <c r="B196">
        <v>2025</v>
      </c>
      <c r="C196" t="s">
        <v>310</v>
      </c>
      <c r="D196">
        <v>119.750645646718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57.599999999999902</v>
      </c>
      <c r="L196">
        <v>0</v>
      </c>
      <c r="M196">
        <v>44.750405113493002</v>
      </c>
      <c r="N196">
        <v>0</v>
      </c>
      <c r="O196">
        <v>0</v>
      </c>
      <c r="P196">
        <v>0</v>
      </c>
      <c r="Q196">
        <v>222.101050760211</v>
      </c>
      <c r="R196">
        <v>0</v>
      </c>
      <c r="S196">
        <v>134.48686922738801</v>
      </c>
      <c r="T196">
        <v>509.41131426800001</v>
      </c>
      <c r="U196">
        <v>0</v>
      </c>
      <c r="V196">
        <v>0</v>
      </c>
      <c r="W196">
        <v>0</v>
      </c>
      <c r="X196">
        <v>-152.82339428040001</v>
      </c>
      <c r="Y196">
        <v>713.44324846633197</v>
      </c>
      <c r="Z196" t="s">
        <v>52</v>
      </c>
    </row>
    <row r="197" spans="1:31">
      <c r="A197" t="s">
        <v>13</v>
      </c>
      <c r="B197">
        <v>2025</v>
      </c>
      <c r="C197" t="s">
        <v>311</v>
      </c>
      <c r="D197">
        <v>119.750645646718</v>
      </c>
      <c r="E197">
        <v>0</v>
      </c>
      <c r="F197">
        <v>0</v>
      </c>
      <c r="G197">
        <v>0</v>
      </c>
      <c r="H197">
        <v>0</v>
      </c>
      <c r="I197">
        <v>112.054818865328</v>
      </c>
      <c r="J197">
        <v>0</v>
      </c>
      <c r="K197">
        <v>57.599999999999902</v>
      </c>
      <c r="L197">
        <v>0</v>
      </c>
      <c r="M197">
        <v>84.261409517575999</v>
      </c>
      <c r="N197">
        <v>0</v>
      </c>
      <c r="O197">
        <v>0</v>
      </c>
      <c r="P197">
        <v>0</v>
      </c>
      <c r="Q197">
        <v>373.66687402962299</v>
      </c>
      <c r="R197">
        <v>0</v>
      </c>
      <c r="S197">
        <v>46.212978682276798</v>
      </c>
      <c r="T197">
        <v>599.82836101700002</v>
      </c>
      <c r="U197">
        <v>0</v>
      </c>
      <c r="V197">
        <v>0</v>
      </c>
      <c r="W197">
        <v>0</v>
      </c>
      <c r="X197">
        <v>-179.94850830510001</v>
      </c>
      <c r="Y197">
        <v>713.44324846633197</v>
      </c>
      <c r="Z197" t="s">
        <v>52</v>
      </c>
    </row>
    <row r="198" spans="1:31">
      <c r="A198" t="s">
        <v>13</v>
      </c>
      <c r="B198">
        <v>2025</v>
      </c>
      <c r="C198" t="s">
        <v>312</v>
      </c>
      <c r="D198">
        <v>119.750645646718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57.599999999999902</v>
      </c>
      <c r="L198">
        <v>295.46971389694397</v>
      </c>
      <c r="M198">
        <v>84.992363156429207</v>
      </c>
      <c r="N198">
        <v>0</v>
      </c>
      <c r="O198" s="1">
        <v>0</v>
      </c>
      <c r="P198">
        <v>0</v>
      </c>
      <c r="Q198">
        <v>557.81272270009197</v>
      </c>
      <c r="R198">
        <v>0</v>
      </c>
      <c r="S198">
        <v>84.587928430607704</v>
      </c>
      <c r="T198">
        <v>917.71521590099997</v>
      </c>
      <c r="U198">
        <v>0</v>
      </c>
      <c r="V198">
        <v>0</v>
      </c>
      <c r="W198">
        <v>0</v>
      </c>
      <c r="X198">
        <v>-275.314564770299</v>
      </c>
      <c r="Y198">
        <v>713.44324846633197</v>
      </c>
      <c r="Z198" t="s">
        <v>52</v>
      </c>
    </row>
    <row r="199" spans="1:31">
      <c r="A199" t="s">
        <v>13</v>
      </c>
      <c r="B199">
        <v>2025</v>
      </c>
      <c r="C199" t="s">
        <v>313</v>
      </c>
      <c r="D199">
        <v>119.750645646718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57.599999999999902</v>
      </c>
      <c r="L199">
        <v>1148.18638089827</v>
      </c>
      <c r="M199">
        <v>61.874131312356397</v>
      </c>
      <c r="N199">
        <v>0</v>
      </c>
      <c r="O199">
        <v>0</v>
      </c>
      <c r="P199">
        <v>0</v>
      </c>
      <c r="Q199">
        <v>1387.41115785735</v>
      </c>
      <c r="R199">
        <v>0</v>
      </c>
      <c r="S199">
        <v>0</v>
      </c>
      <c r="T199">
        <v>1110.4237115999999</v>
      </c>
      <c r="U199">
        <v>0</v>
      </c>
      <c r="V199">
        <v>0</v>
      </c>
      <c r="W199">
        <v>150</v>
      </c>
      <c r="X199">
        <v>126.987446257351</v>
      </c>
      <c r="Y199">
        <v>549.35130131907499</v>
      </c>
      <c r="Z199" t="s">
        <v>52</v>
      </c>
    </row>
    <row r="200" spans="1:31">
      <c r="A200" t="s">
        <v>13</v>
      </c>
      <c r="B200">
        <v>2025</v>
      </c>
      <c r="C200" t="s">
        <v>314</v>
      </c>
      <c r="D200">
        <v>119.750645646718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57.599999999999902</v>
      </c>
      <c r="L200">
        <v>1398.15127318281</v>
      </c>
      <c r="M200">
        <v>43.318959699460201</v>
      </c>
      <c r="N200">
        <v>0</v>
      </c>
      <c r="O200">
        <v>0</v>
      </c>
      <c r="P200" s="1">
        <v>0</v>
      </c>
      <c r="Q200">
        <v>1618.8208785289801</v>
      </c>
      <c r="R200">
        <v>0</v>
      </c>
      <c r="S200">
        <v>0</v>
      </c>
      <c r="T200">
        <v>1187.3644277400001</v>
      </c>
      <c r="U200">
        <v>0</v>
      </c>
      <c r="V200">
        <v>0</v>
      </c>
      <c r="W200">
        <v>150</v>
      </c>
      <c r="X200">
        <v>281.45645078898798</v>
      </c>
      <c r="Y200">
        <v>549.35130131907499</v>
      </c>
      <c r="Z200" t="s">
        <v>52</v>
      </c>
    </row>
    <row r="201" spans="1:31">
      <c r="A201" t="s">
        <v>13</v>
      </c>
      <c r="B201">
        <v>2025</v>
      </c>
      <c r="C201" t="s">
        <v>315</v>
      </c>
      <c r="D201">
        <v>119.750645646718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57.599999999999902</v>
      </c>
      <c r="L201">
        <v>1421.5391985577201</v>
      </c>
      <c r="M201">
        <v>68.742612916113103</v>
      </c>
      <c r="N201">
        <v>0</v>
      </c>
      <c r="O201">
        <v>0</v>
      </c>
      <c r="P201" s="1">
        <v>0</v>
      </c>
      <c r="Q201">
        <v>1667.63245712055</v>
      </c>
      <c r="R201">
        <v>0</v>
      </c>
      <c r="S201">
        <v>0</v>
      </c>
      <c r="T201">
        <v>1216.56545856</v>
      </c>
      <c r="U201">
        <v>0</v>
      </c>
      <c r="V201">
        <v>0</v>
      </c>
      <c r="W201">
        <v>0</v>
      </c>
      <c r="X201">
        <v>451.06699856055599</v>
      </c>
      <c r="Y201">
        <v>549.35130131907499</v>
      </c>
      <c r="Z201" t="s">
        <v>52</v>
      </c>
    </row>
    <row r="202" spans="1:31">
      <c r="A202" t="s">
        <v>13</v>
      </c>
      <c r="B202">
        <v>2025</v>
      </c>
      <c r="C202" t="s">
        <v>316</v>
      </c>
      <c r="D202">
        <v>119.750645646718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57.599999999999902</v>
      </c>
      <c r="L202">
        <v>1419.858550483</v>
      </c>
      <c r="M202">
        <v>63.186849549910001</v>
      </c>
      <c r="N202">
        <v>0</v>
      </c>
      <c r="O202">
        <v>0</v>
      </c>
      <c r="P202">
        <v>0</v>
      </c>
      <c r="Q202">
        <v>1660.3960456796301</v>
      </c>
      <c r="R202">
        <v>0</v>
      </c>
      <c r="S202">
        <v>0</v>
      </c>
      <c r="T202">
        <v>1226.7165654299999</v>
      </c>
      <c r="U202">
        <v>0</v>
      </c>
      <c r="V202">
        <v>0</v>
      </c>
      <c r="W202">
        <v>150</v>
      </c>
      <c r="X202">
        <v>283.67948024963198</v>
      </c>
      <c r="Y202">
        <v>549.35130131907499</v>
      </c>
      <c r="Z202" t="s">
        <v>52</v>
      </c>
    </row>
    <row r="203" spans="1:31">
      <c r="A203" t="s">
        <v>13</v>
      </c>
      <c r="B203">
        <v>2025</v>
      </c>
      <c r="C203" t="s">
        <v>317</v>
      </c>
      <c r="D203">
        <v>119.750645646718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57.599999999999902</v>
      </c>
      <c r="L203">
        <v>1276.2863141989501</v>
      </c>
      <c r="M203">
        <v>48.947489741375399</v>
      </c>
      <c r="N203">
        <v>0</v>
      </c>
      <c r="O203">
        <v>0</v>
      </c>
      <c r="P203">
        <v>0</v>
      </c>
      <c r="Q203">
        <v>1502.5844495870399</v>
      </c>
      <c r="R203">
        <v>0</v>
      </c>
      <c r="S203">
        <v>0</v>
      </c>
      <c r="T203">
        <v>1194.1765882499999</v>
      </c>
      <c r="U203">
        <v>0</v>
      </c>
      <c r="V203">
        <v>0</v>
      </c>
      <c r="W203">
        <v>128.29581342892601</v>
      </c>
      <c r="X203">
        <v>180.11204790812201</v>
      </c>
      <c r="Y203">
        <v>549.35130131907499</v>
      </c>
      <c r="Z203" t="s">
        <v>52</v>
      </c>
    </row>
    <row r="204" spans="1:31">
      <c r="A204" t="s">
        <v>13</v>
      </c>
      <c r="B204">
        <v>2025</v>
      </c>
      <c r="C204" t="s">
        <v>318</v>
      </c>
      <c r="D204">
        <v>119.750645646718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57.599999999999902</v>
      </c>
      <c r="L204">
        <v>906.71158588100104</v>
      </c>
      <c r="M204" s="1">
        <v>67.4306407963293</v>
      </c>
      <c r="N204">
        <v>0</v>
      </c>
      <c r="O204">
        <v>0</v>
      </c>
      <c r="P204" s="1">
        <v>0</v>
      </c>
      <c r="Q204">
        <v>1151.49287232404</v>
      </c>
      <c r="R204">
        <v>0</v>
      </c>
      <c r="S204">
        <v>0</v>
      </c>
      <c r="T204">
        <v>1132.4355802499999</v>
      </c>
      <c r="U204">
        <v>0</v>
      </c>
      <c r="V204">
        <v>0</v>
      </c>
      <c r="W204">
        <v>0</v>
      </c>
      <c r="X204">
        <v>19.057292074049901</v>
      </c>
      <c r="Y204">
        <v>549.35130131907499</v>
      </c>
      <c r="Z204" t="s">
        <v>52</v>
      </c>
    </row>
    <row r="205" spans="1:31">
      <c r="A205" t="s">
        <v>13</v>
      </c>
      <c r="B205">
        <v>2025</v>
      </c>
      <c r="C205" t="s">
        <v>319</v>
      </c>
      <c r="D205">
        <v>119.750645646718</v>
      </c>
      <c r="E205">
        <v>0</v>
      </c>
      <c r="F205">
        <v>0</v>
      </c>
      <c r="G205">
        <v>217.17712924792099</v>
      </c>
      <c r="H205">
        <v>126.66702658851</v>
      </c>
      <c r="I205">
        <v>51.532973411489998</v>
      </c>
      <c r="J205">
        <v>0</v>
      </c>
      <c r="K205">
        <v>57.599999999999902</v>
      </c>
      <c r="L205">
        <v>0</v>
      </c>
      <c r="M205">
        <v>40.338522140360404</v>
      </c>
      <c r="N205">
        <v>0</v>
      </c>
      <c r="O205">
        <v>0</v>
      </c>
      <c r="P205" s="1">
        <v>0</v>
      </c>
      <c r="Q205">
        <v>613.06629703499902</v>
      </c>
      <c r="R205">
        <v>0</v>
      </c>
      <c r="S205">
        <v>150</v>
      </c>
      <c r="T205">
        <v>1090.09471005</v>
      </c>
      <c r="U205">
        <v>0</v>
      </c>
      <c r="V205">
        <v>0</v>
      </c>
      <c r="W205">
        <v>0</v>
      </c>
      <c r="X205">
        <v>-327.02841301500001</v>
      </c>
      <c r="Y205">
        <v>863.62459662876802</v>
      </c>
      <c r="Z205" t="s">
        <v>52</v>
      </c>
    </row>
    <row r="206" spans="1:31">
      <c r="A206" t="s">
        <v>13</v>
      </c>
      <c r="B206">
        <v>2025</v>
      </c>
      <c r="C206" t="s">
        <v>320</v>
      </c>
      <c r="D206">
        <v>119.750645646718</v>
      </c>
      <c r="E206">
        <v>0</v>
      </c>
      <c r="F206">
        <v>0</v>
      </c>
      <c r="G206">
        <v>14.5868487431389</v>
      </c>
      <c r="H206">
        <v>0</v>
      </c>
      <c r="I206">
        <v>178.2</v>
      </c>
      <c r="J206">
        <v>0</v>
      </c>
      <c r="K206">
        <v>57.599999999999902</v>
      </c>
      <c r="L206">
        <v>0</v>
      </c>
      <c r="M206">
        <v>44.985900059042798</v>
      </c>
      <c r="N206">
        <v>0</v>
      </c>
      <c r="O206">
        <v>0</v>
      </c>
      <c r="P206">
        <v>0</v>
      </c>
      <c r="Q206">
        <v>415.12339444889898</v>
      </c>
      <c r="R206">
        <v>0</v>
      </c>
      <c r="S206">
        <v>150</v>
      </c>
      <c r="T206">
        <v>807.31913492700005</v>
      </c>
      <c r="U206">
        <v>0</v>
      </c>
      <c r="V206">
        <v>0</v>
      </c>
      <c r="W206">
        <v>0</v>
      </c>
      <c r="X206">
        <v>-242.19574047809999</v>
      </c>
      <c r="Y206">
        <v>863.62459662876802</v>
      </c>
      <c r="Z206" t="s">
        <v>52</v>
      </c>
    </row>
    <row r="207" spans="1:31">
      <c r="A207" t="s">
        <v>13</v>
      </c>
      <c r="B207">
        <v>2025</v>
      </c>
      <c r="C207" t="s">
        <v>393</v>
      </c>
      <c r="D207">
        <v>119.750645646718</v>
      </c>
      <c r="E207">
        <v>0</v>
      </c>
      <c r="F207">
        <v>0</v>
      </c>
      <c r="G207">
        <v>0</v>
      </c>
      <c r="H207">
        <v>33.0413833649325</v>
      </c>
      <c r="I207">
        <v>0</v>
      </c>
      <c r="J207">
        <v>0</v>
      </c>
      <c r="K207">
        <v>57.599999999999902</v>
      </c>
      <c r="L207">
        <v>0</v>
      </c>
      <c r="M207">
        <v>44.172704833649199</v>
      </c>
      <c r="N207">
        <v>0</v>
      </c>
      <c r="O207">
        <v>0</v>
      </c>
      <c r="P207">
        <v>0</v>
      </c>
      <c r="Q207">
        <v>254.5647338453</v>
      </c>
      <c r="R207">
        <v>0</v>
      </c>
      <c r="S207">
        <v>150</v>
      </c>
      <c r="T207">
        <v>577.94961977900005</v>
      </c>
      <c r="U207">
        <v>0</v>
      </c>
      <c r="V207">
        <v>0</v>
      </c>
      <c r="W207">
        <v>0</v>
      </c>
      <c r="X207">
        <v>-173.38488593369999</v>
      </c>
      <c r="Y207">
        <v>57.545131335863402</v>
      </c>
      <c r="Z207" t="s">
        <v>51</v>
      </c>
    </row>
    <row r="208" spans="1:31">
      <c r="A208" t="s">
        <v>13</v>
      </c>
      <c r="B208">
        <v>2025</v>
      </c>
      <c r="C208" t="s">
        <v>394</v>
      </c>
      <c r="D208">
        <v>119.750645646718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57.599999999999902</v>
      </c>
      <c r="L208">
        <v>0</v>
      </c>
      <c r="M208">
        <v>46.846814721701399</v>
      </c>
      <c r="N208">
        <v>0</v>
      </c>
      <c r="O208">
        <v>0</v>
      </c>
      <c r="P208">
        <v>0</v>
      </c>
      <c r="Q208">
        <v>224.197460368419</v>
      </c>
      <c r="R208">
        <v>0</v>
      </c>
      <c r="S208">
        <v>150</v>
      </c>
      <c r="T208">
        <v>490.03060422499999</v>
      </c>
      <c r="U208">
        <v>0</v>
      </c>
      <c r="V208">
        <v>0</v>
      </c>
      <c r="W208">
        <v>31.176037410919701</v>
      </c>
      <c r="X208">
        <v>-147.0091812675</v>
      </c>
      <c r="Y208">
        <v>0</v>
      </c>
      <c r="Z208" t="s">
        <v>51</v>
      </c>
    </row>
    <row r="209" spans="1:26">
      <c r="A209" t="s">
        <v>13</v>
      </c>
      <c r="B209">
        <v>2025</v>
      </c>
      <c r="C209" t="s">
        <v>395</v>
      </c>
      <c r="D209">
        <v>119.750645646718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57.599999999999902</v>
      </c>
      <c r="L209">
        <v>0</v>
      </c>
      <c r="M209">
        <v>50.691141716505498</v>
      </c>
      <c r="N209">
        <v>0</v>
      </c>
      <c r="O209">
        <v>0</v>
      </c>
      <c r="P209">
        <v>0</v>
      </c>
      <c r="Q209">
        <v>228.04178736322299</v>
      </c>
      <c r="R209">
        <v>0</v>
      </c>
      <c r="S209">
        <v>133.36407621917601</v>
      </c>
      <c r="T209">
        <v>516.29409083200005</v>
      </c>
      <c r="U209">
        <v>0</v>
      </c>
      <c r="V209">
        <v>0</v>
      </c>
      <c r="W209">
        <v>0</v>
      </c>
      <c r="X209">
        <v>-154.88822724959999</v>
      </c>
      <c r="Y209">
        <v>0</v>
      </c>
      <c r="Z209" t="s">
        <v>51</v>
      </c>
    </row>
    <row r="210" spans="1:26">
      <c r="A210" t="s">
        <v>13</v>
      </c>
      <c r="B210">
        <v>2025</v>
      </c>
      <c r="C210" t="s">
        <v>396</v>
      </c>
      <c r="D210">
        <v>119.750645646718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57.599999999999902</v>
      </c>
      <c r="L210">
        <v>342.61836924651601</v>
      </c>
      <c r="M210">
        <v>44.791945205535001</v>
      </c>
      <c r="N210">
        <v>0</v>
      </c>
      <c r="O210" s="1">
        <v>-3.5527136788005001E-15</v>
      </c>
      <c r="P210">
        <v>0</v>
      </c>
      <c r="Q210">
        <v>564.76096009877006</v>
      </c>
      <c r="R210">
        <v>0</v>
      </c>
      <c r="S210">
        <v>52.458364191129697</v>
      </c>
      <c r="T210">
        <v>667.45617755700005</v>
      </c>
      <c r="U210">
        <v>0</v>
      </c>
      <c r="V210">
        <v>0</v>
      </c>
      <c r="W210">
        <v>150</v>
      </c>
      <c r="X210">
        <v>-200.2368532671</v>
      </c>
      <c r="Y210">
        <v>0</v>
      </c>
      <c r="Z210" t="s">
        <v>51</v>
      </c>
    </row>
    <row r="211" spans="1:26">
      <c r="A211" t="s">
        <v>13</v>
      </c>
      <c r="B211">
        <v>2025</v>
      </c>
      <c r="C211" t="s">
        <v>397</v>
      </c>
      <c r="D211">
        <v>119.750645646718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1154.75720450428</v>
      </c>
      <c r="M211">
        <v>53.480452415979599</v>
      </c>
      <c r="N211">
        <v>57.599999999999902</v>
      </c>
      <c r="O211">
        <v>1.11458866973974</v>
      </c>
      <c r="P211" s="1">
        <v>0</v>
      </c>
      <c r="Q211">
        <v>1327.9883025669701</v>
      </c>
      <c r="R211">
        <v>0</v>
      </c>
      <c r="S211">
        <v>0</v>
      </c>
      <c r="T211">
        <v>901.44620191399997</v>
      </c>
      <c r="U211">
        <v>0</v>
      </c>
      <c r="V211">
        <v>0</v>
      </c>
      <c r="W211">
        <v>150</v>
      </c>
      <c r="X211">
        <v>276.54210065297798</v>
      </c>
      <c r="Y211">
        <v>-10.459389839689701</v>
      </c>
      <c r="Z211" t="s">
        <v>51</v>
      </c>
    </row>
    <row r="212" spans="1:26">
      <c r="A212" t="s">
        <v>13</v>
      </c>
      <c r="B212">
        <v>2025</v>
      </c>
      <c r="C212" t="s">
        <v>398</v>
      </c>
      <c r="D212">
        <v>119.750645646718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1363.28245971514</v>
      </c>
      <c r="M212">
        <v>42.828651170574297</v>
      </c>
      <c r="N212">
        <v>57.599999999999902</v>
      </c>
      <c r="O212">
        <v>9.6251565385578406</v>
      </c>
      <c r="P212">
        <v>0</v>
      </c>
      <c r="Q212">
        <v>1525.86175653243</v>
      </c>
      <c r="R212">
        <v>0</v>
      </c>
      <c r="S212">
        <v>0</v>
      </c>
      <c r="T212">
        <v>992.92363426199995</v>
      </c>
      <c r="U212">
        <v>0</v>
      </c>
      <c r="V212">
        <v>0</v>
      </c>
      <c r="W212">
        <v>150</v>
      </c>
      <c r="X212">
        <v>382.93812227043298</v>
      </c>
      <c r="Y212">
        <v>-10.459389839689701</v>
      </c>
      <c r="Z212" t="s">
        <v>51</v>
      </c>
    </row>
    <row r="213" spans="1:26">
      <c r="A213" t="s">
        <v>13</v>
      </c>
      <c r="B213">
        <v>2025</v>
      </c>
      <c r="C213" t="s">
        <v>399</v>
      </c>
      <c r="D213">
        <v>119.750645646718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1198.1514353448899</v>
      </c>
      <c r="M213" s="1">
        <v>46.021437599092003</v>
      </c>
      <c r="N213">
        <v>57.599999999999902</v>
      </c>
      <c r="O213">
        <v>151.347115693326</v>
      </c>
      <c r="P213" s="1">
        <v>0</v>
      </c>
      <c r="Q213">
        <v>1363.9235185907</v>
      </c>
      <c r="R213">
        <v>0</v>
      </c>
      <c r="S213">
        <v>0</v>
      </c>
      <c r="T213">
        <v>997.94629876199997</v>
      </c>
      <c r="U213">
        <v>0</v>
      </c>
      <c r="V213">
        <v>0</v>
      </c>
      <c r="W213">
        <v>150</v>
      </c>
      <c r="X213">
        <v>215.97721982869999</v>
      </c>
      <c r="Y213">
        <v>-10.459389839689701</v>
      </c>
      <c r="Z213" t="s">
        <v>51</v>
      </c>
    </row>
    <row r="214" spans="1:26">
      <c r="A214" t="s">
        <v>13</v>
      </c>
      <c r="B214">
        <v>2025</v>
      </c>
      <c r="C214" t="s">
        <v>400</v>
      </c>
      <c r="D214">
        <v>119.750645646718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1392.47542711303</v>
      </c>
      <c r="M214">
        <v>50.1024578370874</v>
      </c>
      <c r="N214">
        <v>57.599999999999902</v>
      </c>
      <c r="O214">
        <v>0</v>
      </c>
      <c r="P214">
        <v>0</v>
      </c>
      <c r="Q214">
        <v>1562.32853059683</v>
      </c>
      <c r="R214">
        <v>0</v>
      </c>
      <c r="S214">
        <v>0</v>
      </c>
      <c r="T214">
        <v>981.48213684799998</v>
      </c>
      <c r="U214">
        <v>0</v>
      </c>
      <c r="V214">
        <v>0</v>
      </c>
      <c r="W214">
        <v>150</v>
      </c>
      <c r="X214">
        <v>430.84639374883801</v>
      </c>
      <c r="Y214">
        <v>-10.459389839689701</v>
      </c>
      <c r="Z214" t="s">
        <v>51</v>
      </c>
    </row>
    <row r="215" spans="1:26">
      <c r="A215" t="s">
        <v>13</v>
      </c>
      <c r="B215">
        <v>2025</v>
      </c>
      <c r="C215" t="s">
        <v>401</v>
      </c>
      <c r="D215">
        <v>119.750645646718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1142.59265614081</v>
      </c>
      <c r="M215">
        <v>53.630088374718298</v>
      </c>
      <c r="N215">
        <v>57.599999999999902</v>
      </c>
      <c r="O215">
        <v>78.118864614018904</v>
      </c>
      <c r="P215">
        <v>0</v>
      </c>
      <c r="Q215">
        <v>1315.9733901622401</v>
      </c>
      <c r="R215">
        <v>0</v>
      </c>
      <c r="S215">
        <v>0</v>
      </c>
      <c r="T215">
        <v>991.00755725500005</v>
      </c>
      <c r="U215">
        <v>0</v>
      </c>
      <c r="V215">
        <v>0</v>
      </c>
      <c r="W215">
        <v>150</v>
      </c>
      <c r="X215">
        <v>174.965832907248</v>
      </c>
      <c r="Y215">
        <v>-10.459389839689701</v>
      </c>
      <c r="Z215" t="s">
        <v>51</v>
      </c>
    </row>
    <row r="216" spans="1:26">
      <c r="A216" t="s">
        <v>13</v>
      </c>
      <c r="B216">
        <v>2025</v>
      </c>
      <c r="C216" t="s">
        <v>402</v>
      </c>
      <c r="D216">
        <v>119.750645646718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655.62252152105998</v>
      </c>
      <c r="M216">
        <v>54.000095776120901</v>
      </c>
      <c r="N216">
        <v>57.599999999999902</v>
      </c>
      <c r="O216">
        <v>237.29891030739299</v>
      </c>
      <c r="P216" s="1">
        <v>22.236305598385101</v>
      </c>
      <c r="Q216">
        <v>829.37326294390004</v>
      </c>
      <c r="R216">
        <v>0</v>
      </c>
      <c r="S216">
        <v>0</v>
      </c>
      <c r="T216">
        <v>970.53323277699997</v>
      </c>
      <c r="U216">
        <v>0</v>
      </c>
      <c r="V216">
        <v>0</v>
      </c>
      <c r="W216">
        <v>150</v>
      </c>
      <c r="X216">
        <v>-291.15996983309998</v>
      </c>
      <c r="Y216">
        <v>-10.459389839689701</v>
      </c>
      <c r="Z216" t="s">
        <v>51</v>
      </c>
    </row>
    <row r="217" spans="1:26">
      <c r="A217" t="s">
        <v>13</v>
      </c>
      <c r="B217">
        <v>2025</v>
      </c>
      <c r="C217" t="s">
        <v>403</v>
      </c>
      <c r="D217">
        <v>119.750645646718</v>
      </c>
      <c r="E217">
        <v>0</v>
      </c>
      <c r="F217">
        <v>0</v>
      </c>
      <c r="G217">
        <v>54.7126583248576</v>
      </c>
      <c r="H217">
        <v>178.2</v>
      </c>
      <c r="I217">
        <v>0</v>
      </c>
      <c r="J217">
        <v>0</v>
      </c>
      <c r="K217">
        <v>57.599999999999902</v>
      </c>
      <c r="L217">
        <v>0</v>
      </c>
      <c r="M217">
        <v>106.272501975624</v>
      </c>
      <c r="N217">
        <v>0</v>
      </c>
      <c r="O217">
        <v>0</v>
      </c>
      <c r="P217" s="1">
        <v>0</v>
      </c>
      <c r="Q217">
        <v>516.53580594719995</v>
      </c>
      <c r="R217">
        <v>0</v>
      </c>
      <c r="S217">
        <v>150</v>
      </c>
      <c r="T217">
        <v>952.19400849600004</v>
      </c>
      <c r="U217">
        <v>0</v>
      </c>
      <c r="V217">
        <v>0</v>
      </c>
      <c r="W217">
        <v>0</v>
      </c>
      <c r="X217">
        <v>-285.65820254879998</v>
      </c>
      <c r="Y217">
        <v>207.726479498304</v>
      </c>
      <c r="Z217" t="s">
        <v>51</v>
      </c>
    </row>
    <row r="218" spans="1:26">
      <c r="A218" t="s">
        <v>13</v>
      </c>
      <c r="B218">
        <v>2025</v>
      </c>
      <c r="C218" t="s">
        <v>404</v>
      </c>
      <c r="D218">
        <v>119.750645646718</v>
      </c>
      <c r="E218">
        <v>0</v>
      </c>
      <c r="F218">
        <v>0</v>
      </c>
      <c r="G218">
        <v>0</v>
      </c>
      <c r="H218">
        <v>135.304708633579</v>
      </c>
      <c r="I218">
        <v>0</v>
      </c>
      <c r="J218">
        <v>0</v>
      </c>
      <c r="K218">
        <v>57.599999999999902</v>
      </c>
      <c r="L218">
        <v>0</v>
      </c>
      <c r="M218">
        <v>71.520127439302101</v>
      </c>
      <c r="N218">
        <v>0</v>
      </c>
      <c r="O218">
        <v>0</v>
      </c>
      <c r="P218" s="1">
        <v>0</v>
      </c>
      <c r="Q218">
        <v>384.17548171959902</v>
      </c>
      <c r="R218">
        <v>0</v>
      </c>
      <c r="S218">
        <v>150</v>
      </c>
      <c r="T218">
        <v>763.10783102799996</v>
      </c>
      <c r="U218">
        <v>0</v>
      </c>
      <c r="V218">
        <v>0</v>
      </c>
      <c r="W218">
        <v>0</v>
      </c>
      <c r="X218">
        <v>-228.93234930839901</v>
      </c>
      <c r="Y218">
        <v>57.545131335863402</v>
      </c>
      <c r="Z218" t="s">
        <v>51</v>
      </c>
    </row>
    <row r="219" spans="1:26">
      <c r="A219" t="s">
        <v>13</v>
      </c>
      <c r="B219">
        <v>2025</v>
      </c>
      <c r="C219" t="s">
        <v>405</v>
      </c>
      <c r="D219">
        <v>119.750645646718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0</v>
      </c>
      <c r="K219">
        <v>57.599999999999902</v>
      </c>
      <c r="L219">
        <v>0</v>
      </c>
      <c r="M219">
        <v>29.859702205835099</v>
      </c>
      <c r="N219">
        <v>0</v>
      </c>
      <c r="O219">
        <v>0</v>
      </c>
      <c r="P219">
        <v>0</v>
      </c>
      <c r="Q219">
        <v>385.410347852553</v>
      </c>
      <c r="R219">
        <v>0</v>
      </c>
      <c r="S219">
        <v>23.570852443646501</v>
      </c>
      <c r="T219">
        <v>584.25885756599996</v>
      </c>
      <c r="U219">
        <v>0</v>
      </c>
      <c r="V219">
        <v>0</v>
      </c>
      <c r="W219">
        <v>0</v>
      </c>
      <c r="X219">
        <v>-175.27765726979999</v>
      </c>
      <c r="Y219">
        <v>143.21126745392601</v>
      </c>
      <c r="Z219" t="s">
        <v>51</v>
      </c>
    </row>
    <row r="220" spans="1:26">
      <c r="A220" t="s">
        <v>13</v>
      </c>
      <c r="B220">
        <v>2025</v>
      </c>
      <c r="C220" t="s">
        <v>406</v>
      </c>
      <c r="D220">
        <v>119.750645646718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0</v>
      </c>
      <c r="K220">
        <v>57.599999999999902</v>
      </c>
      <c r="L220">
        <v>0</v>
      </c>
      <c r="M220">
        <v>21.596338209010099</v>
      </c>
      <c r="N220">
        <v>0</v>
      </c>
      <c r="O220">
        <v>0</v>
      </c>
      <c r="P220">
        <v>0</v>
      </c>
      <c r="Q220">
        <v>377.14698385572802</v>
      </c>
      <c r="R220">
        <v>0</v>
      </c>
      <c r="S220">
        <v>0</v>
      </c>
      <c r="T220">
        <v>521.49476388100004</v>
      </c>
      <c r="U220">
        <v>0</v>
      </c>
      <c r="V220">
        <v>0</v>
      </c>
      <c r="W220">
        <v>0</v>
      </c>
      <c r="X220">
        <v>-144.34778002527099</v>
      </c>
      <c r="Y220">
        <v>110.272675939523</v>
      </c>
      <c r="Z220" t="s">
        <v>51</v>
      </c>
    </row>
    <row r="221" spans="1:26">
      <c r="A221" t="s">
        <v>13</v>
      </c>
      <c r="B221">
        <v>2025</v>
      </c>
      <c r="C221" t="s">
        <v>407</v>
      </c>
      <c r="D221">
        <v>119.750645646718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0</v>
      </c>
      <c r="K221">
        <v>57.599999999999902</v>
      </c>
      <c r="L221">
        <v>0</v>
      </c>
      <c r="M221">
        <v>15.7249531104185</v>
      </c>
      <c r="N221">
        <v>0</v>
      </c>
      <c r="O221">
        <v>0</v>
      </c>
      <c r="P221">
        <v>0</v>
      </c>
      <c r="Q221">
        <v>371.27559875713598</v>
      </c>
      <c r="R221">
        <v>0</v>
      </c>
      <c r="S221">
        <v>47.898967493863097</v>
      </c>
      <c r="T221">
        <v>598.82080893</v>
      </c>
      <c r="U221">
        <v>0</v>
      </c>
      <c r="V221">
        <v>0</v>
      </c>
      <c r="W221">
        <v>0</v>
      </c>
      <c r="X221">
        <v>-179.64624267899899</v>
      </c>
      <c r="Y221">
        <v>143.21126745392601</v>
      </c>
      <c r="Z221" t="s">
        <v>51</v>
      </c>
    </row>
    <row r="222" spans="1:26">
      <c r="A222" t="s">
        <v>13</v>
      </c>
      <c r="B222">
        <v>2025</v>
      </c>
      <c r="C222" t="s">
        <v>408</v>
      </c>
      <c r="D222">
        <v>119.750645646718</v>
      </c>
      <c r="E222">
        <v>0</v>
      </c>
      <c r="F222">
        <v>0</v>
      </c>
      <c r="G222">
        <v>8.7333935660970905</v>
      </c>
      <c r="H222">
        <v>178.2</v>
      </c>
      <c r="I222">
        <v>0</v>
      </c>
      <c r="J222">
        <v>0</v>
      </c>
      <c r="K222">
        <v>57.599999999999902</v>
      </c>
      <c r="L222">
        <v>91.834747967977805</v>
      </c>
      <c r="M222">
        <v>30.430889739706402</v>
      </c>
      <c r="N222">
        <v>0</v>
      </c>
      <c r="O222" s="1">
        <v>-8.8817841970012504E-16</v>
      </c>
      <c r="P222">
        <v>0</v>
      </c>
      <c r="Q222">
        <v>486.549676920499</v>
      </c>
      <c r="R222">
        <v>0</v>
      </c>
      <c r="S222">
        <v>150</v>
      </c>
      <c r="T222">
        <v>909.35668131499995</v>
      </c>
      <c r="U222">
        <v>0</v>
      </c>
      <c r="V222">
        <v>0</v>
      </c>
      <c r="W222">
        <v>0</v>
      </c>
      <c r="X222">
        <v>-272.80700439449998</v>
      </c>
      <c r="Y222">
        <v>207.342913347935</v>
      </c>
      <c r="Z222" t="s">
        <v>51</v>
      </c>
    </row>
    <row r="223" spans="1:26">
      <c r="A223" t="s">
        <v>13</v>
      </c>
      <c r="B223">
        <v>2025</v>
      </c>
      <c r="C223" t="s">
        <v>409</v>
      </c>
      <c r="D223">
        <v>119.750645646718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0</v>
      </c>
      <c r="K223">
        <v>57.599999999999902</v>
      </c>
      <c r="L223">
        <v>1129.4075576913399</v>
      </c>
      <c r="M223">
        <v>22.3373152320614</v>
      </c>
      <c r="N223">
        <v>0</v>
      </c>
      <c r="O223" s="1">
        <v>0</v>
      </c>
      <c r="P223" s="1">
        <v>0</v>
      </c>
      <c r="Q223">
        <v>1507.2955185701201</v>
      </c>
      <c r="R223">
        <v>0</v>
      </c>
      <c r="S223">
        <v>0</v>
      </c>
      <c r="T223">
        <v>1082.5397036300001</v>
      </c>
      <c r="U223">
        <v>0</v>
      </c>
      <c r="V223">
        <v>0</v>
      </c>
      <c r="W223">
        <v>150</v>
      </c>
      <c r="X223">
        <v>274.75581494011902</v>
      </c>
      <c r="Y223">
        <v>110.272675939523</v>
      </c>
      <c r="Z223" t="s">
        <v>51</v>
      </c>
    </row>
    <row r="224" spans="1:26">
      <c r="A224" t="s">
        <v>13</v>
      </c>
      <c r="B224">
        <v>2025</v>
      </c>
      <c r="C224" t="s">
        <v>410</v>
      </c>
      <c r="D224">
        <v>119.750645646718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0</v>
      </c>
      <c r="K224">
        <v>57.599999999999902</v>
      </c>
      <c r="L224">
        <v>1313.4912550848101</v>
      </c>
      <c r="M224">
        <v>36.842723662571501</v>
      </c>
      <c r="N224">
        <v>0</v>
      </c>
      <c r="O224" s="1">
        <v>0</v>
      </c>
      <c r="P224">
        <v>0</v>
      </c>
      <c r="Q224">
        <v>1705.8846243941</v>
      </c>
      <c r="R224">
        <v>0</v>
      </c>
      <c r="S224">
        <v>0</v>
      </c>
      <c r="T224">
        <v>1183.227721</v>
      </c>
      <c r="U224">
        <v>0</v>
      </c>
      <c r="V224">
        <v>0</v>
      </c>
      <c r="W224">
        <v>150</v>
      </c>
      <c r="X224">
        <v>372.65690339410298</v>
      </c>
      <c r="Y224">
        <v>110.272675939523</v>
      </c>
      <c r="Z224" t="s">
        <v>51</v>
      </c>
    </row>
    <row r="225" spans="1:26">
      <c r="A225" t="s">
        <v>13</v>
      </c>
      <c r="B225">
        <v>2025</v>
      </c>
      <c r="C225" t="s">
        <v>411</v>
      </c>
      <c r="D225">
        <v>119.750645646718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0</v>
      </c>
      <c r="K225">
        <v>57.599999999999902</v>
      </c>
      <c r="L225">
        <v>1293.2382669129699</v>
      </c>
      <c r="M225">
        <v>44.107164696437302</v>
      </c>
      <c r="N225">
        <v>0</v>
      </c>
      <c r="O225">
        <v>0</v>
      </c>
      <c r="P225" s="1">
        <v>0</v>
      </c>
      <c r="Q225">
        <v>1692.89607725612</v>
      </c>
      <c r="R225">
        <v>0</v>
      </c>
      <c r="S225">
        <v>0</v>
      </c>
      <c r="T225">
        <v>1206.2066115600001</v>
      </c>
      <c r="U225">
        <v>0</v>
      </c>
      <c r="V225">
        <v>0</v>
      </c>
      <c r="W225">
        <v>150</v>
      </c>
      <c r="X225">
        <v>336.689465696127</v>
      </c>
      <c r="Y225">
        <v>110.272675939523</v>
      </c>
      <c r="Z225" t="s">
        <v>51</v>
      </c>
    </row>
    <row r="226" spans="1:26">
      <c r="A226" t="s">
        <v>13</v>
      </c>
      <c r="B226">
        <v>2025</v>
      </c>
      <c r="C226" t="s">
        <v>412</v>
      </c>
      <c r="D226">
        <v>119.750645646718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0</v>
      </c>
      <c r="K226">
        <v>57.599999999999902</v>
      </c>
      <c r="L226">
        <v>1383.0008319634201</v>
      </c>
      <c r="M226">
        <v>53.673887327693102</v>
      </c>
      <c r="N226">
        <v>0</v>
      </c>
      <c r="O226">
        <v>0</v>
      </c>
      <c r="P226" s="1">
        <v>0</v>
      </c>
      <c r="Q226">
        <v>1792.2253649378399</v>
      </c>
      <c r="R226">
        <v>0</v>
      </c>
      <c r="S226">
        <v>0</v>
      </c>
      <c r="T226">
        <v>1216.66275522</v>
      </c>
      <c r="U226">
        <v>0</v>
      </c>
      <c r="V226">
        <v>0</v>
      </c>
      <c r="W226">
        <v>150</v>
      </c>
      <c r="X226">
        <v>425.56260971784002</v>
      </c>
      <c r="Y226">
        <v>110.272675939523</v>
      </c>
      <c r="Z226" t="s">
        <v>51</v>
      </c>
    </row>
    <row r="227" spans="1:26">
      <c r="A227" t="s">
        <v>13</v>
      </c>
      <c r="B227">
        <v>2025</v>
      </c>
      <c r="C227" t="s">
        <v>413</v>
      </c>
      <c r="D227">
        <v>119.750645646718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0</v>
      </c>
      <c r="K227">
        <v>57.599999999999902</v>
      </c>
      <c r="L227">
        <v>1122.8423606589299</v>
      </c>
      <c r="M227">
        <v>58.841860973016701</v>
      </c>
      <c r="N227">
        <v>0</v>
      </c>
      <c r="O227" s="1">
        <v>-1.4210854715202001E-14</v>
      </c>
      <c r="P227" s="1">
        <v>0</v>
      </c>
      <c r="Q227">
        <v>1537.23486727867</v>
      </c>
      <c r="R227">
        <v>0</v>
      </c>
      <c r="S227">
        <v>0</v>
      </c>
      <c r="T227">
        <v>1180.16206461</v>
      </c>
      <c r="U227">
        <v>0</v>
      </c>
      <c r="V227">
        <v>0</v>
      </c>
      <c r="W227">
        <v>93.953392678990895</v>
      </c>
      <c r="X227">
        <v>263.11940998967998</v>
      </c>
      <c r="Y227">
        <v>110.272675939523</v>
      </c>
      <c r="Z227" t="s">
        <v>51</v>
      </c>
    </row>
    <row r="228" spans="1:26">
      <c r="A228" t="s">
        <v>13</v>
      </c>
      <c r="B228">
        <v>2025</v>
      </c>
      <c r="C228" t="s">
        <v>414</v>
      </c>
      <c r="D228">
        <v>119.750645646718</v>
      </c>
      <c r="E228">
        <v>0</v>
      </c>
      <c r="F228">
        <v>0</v>
      </c>
      <c r="G228">
        <v>44.4796901106794</v>
      </c>
      <c r="H228">
        <v>178.2</v>
      </c>
      <c r="I228">
        <v>0</v>
      </c>
      <c r="J228">
        <v>0</v>
      </c>
      <c r="K228">
        <v>57.599999999999902</v>
      </c>
      <c r="L228">
        <v>152.74550208557099</v>
      </c>
      <c r="M228">
        <v>101.695927737031</v>
      </c>
      <c r="N228">
        <v>0</v>
      </c>
      <c r="O228" s="1">
        <v>0</v>
      </c>
      <c r="P228" s="1">
        <v>0</v>
      </c>
      <c r="Q228">
        <v>654.47176558000001</v>
      </c>
      <c r="R228">
        <v>0</v>
      </c>
      <c r="S228">
        <v>150</v>
      </c>
      <c r="T228">
        <v>1149.2453794</v>
      </c>
      <c r="U228">
        <v>0</v>
      </c>
      <c r="V228">
        <v>0</v>
      </c>
      <c r="W228">
        <v>0</v>
      </c>
      <c r="X228">
        <v>-344.77361381999998</v>
      </c>
      <c r="Y228">
        <v>207.342913347935</v>
      </c>
      <c r="Z228" t="s">
        <v>51</v>
      </c>
    </row>
    <row r="229" spans="1:26">
      <c r="A229" t="s">
        <v>13</v>
      </c>
      <c r="B229">
        <v>2025</v>
      </c>
      <c r="C229" t="s">
        <v>415</v>
      </c>
      <c r="D229">
        <v>119.750645646718</v>
      </c>
      <c r="E229">
        <v>0</v>
      </c>
      <c r="F229">
        <v>0</v>
      </c>
      <c r="G229">
        <v>165.39058550420501</v>
      </c>
      <c r="H229">
        <v>178.2</v>
      </c>
      <c r="I229">
        <v>0</v>
      </c>
      <c r="J229">
        <v>0</v>
      </c>
      <c r="K229">
        <v>57.599999999999902</v>
      </c>
      <c r="L229">
        <v>0</v>
      </c>
      <c r="M229">
        <v>78.032280268075695</v>
      </c>
      <c r="N229">
        <v>0</v>
      </c>
      <c r="O229">
        <v>0</v>
      </c>
      <c r="P229" s="1">
        <v>0</v>
      </c>
      <c r="Q229">
        <v>598.97351141899901</v>
      </c>
      <c r="R229">
        <v>0</v>
      </c>
      <c r="S229">
        <v>150</v>
      </c>
      <c r="T229">
        <v>1069.9621591699999</v>
      </c>
      <c r="U229">
        <v>0</v>
      </c>
      <c r="V229">
        <v>0</v>
      </c>
      <c r="W229">
        <v>0</v>
      </c>
      <c r="X229">
        <v>-320.98864775099997</v>
      </c>
      <c r="Y229">
        <v>207.342913347935</v>
      </c>
      <c r="Z229" t="s">
        <v>51</v>
      </c>
    </row>
    <row r="230" spans="1:26">
      <c r="A230" t="s">
        <v>13</v>
      </c>
      <c r="B230">
        <v>2025</v>
      </c>
      <c r="C230" t="s">
        <v>416</v>
      </c>
      <c r="D230">
        <v>119.750645646718</v>
      </c>
      <c r="E230">
        <v>0</v>
      </c>
      <c r="F230">
        <v>0</v>
      </c>
      <c r="G230">
        <v>0</v>
      </c>
      <c r="H230">
        <v>178.2</v>
      </c>
      <c r="I230">
        <v>0</v>
      </c>
      <c r="J230">
        <v>0</v>
      </c>
      <c r="K230">
        <v>57.599999999999902</v>
      </c>
      <c r="L230">
        <v>0</v>
      </c>
      <c r="M230">
        <v>59.775996790668302</v>
      </c>
      <c r="N230">
        <v>0</v>
      </c>
      <c r="O230">
        <v>0</v>
      </c>
      <c r="P230">
        <v>0</v>
      </c>
      <c r="Q230">
        <v>415.326642437386</v>
      </c>
      <c r="R230">
        <v>0</v>
      </c>
      <c r="S230">
        <v>132.874292425313</v>
      </c>
      <c r="T230">
        <v>783.14419266100003</v>
      </c>
      <c r="U230">
        <v>0</v>
      </c>
      <c r="V230">
        <v>0</v>
      </c>
      <c r="W230">
        <v>0</v>
      </c>
      <c r="X230">
        <v>-234.94325779830001</v>
      </c>
      <c r="Y230">
        <v>143.21126745392601</v>
      </c>
      <c r="Z230" t="s">
        <v>51</v>
      </c>
    </row>
    <row r="231" spans="1:26">
      <c r="A231" t="s">
        <v>13</v>
      </c>
      <c r="B231">
        <v>2025</v>
      </c>
      <c r="C231" t="s">
        <v>321</v>
      </c>
      <c r="D231">
        <v>119.750645646718</v>
      </c>
      <c r="E231">
        <v>0</v>
      </c>
      <c r="F231">
        <v>0</v>
      </c>
      <c r="G231">
        <v>48.973054081903598</v>
      </c>
      <c r="H231">
        <v>178.2</v>
      </c>
      <c r="I231">
        <v>0</v>
      </c>
      <c r="J231">
        <v>0</v>
      </c>
      <c r="K231">
        <v>57.599999999999902</v>
      </c>
      <c r="L231">
        <v>0</v>
      </c>
      <c r="M231">
        <v>25.713180986978099</v>
      </c>
      <c r="N231">
        <v>0</v>
      </c>
      <c r="O231">
        <v>0</v>
      </c>
      <c r="P231">
        <v>0</v>
      </c>
      <c r="Q231">
        <v>430.23688071560002</v>
      </c>
      <c r="R231">
        <v>0</v>
      </c>
      <c r="S231">
        <v>0</v>
      </c>
      <c r="T231">
        <v>614.624115308</v>
      </c>
      <c r="U231">
        <v>0</v>
      </c>
      <c r="V231">
        <v>0</v>
      </c>
      <c r="W231">
        <v>0</v>
      </c>
      <c r="X231">
        <v>-184.38723459240001</v>
      </c>
      <c r="Y231">
        <v>863.62459662876802</v>
      </c>
      <c r="Z231" t="s">
        <v>52</v>
      </c>
    </row>
    <row r="232" spans="1:26">
      <c r="A232" t="s">
        <v>13</v>
      </c>
      <c r="B232">
        <v>2025</v>
      </c>
      <c r="C232" t="s">
        <v>322</v>
      </c>
      <c r="D232">
        <v>119.750645646718</v>
      </c>
      <c r="E232">
        <v>0</v>
      </c>
      <c r="F232">
        <v>0</v>
      </c>
      <c r="G232">
        <v>0</v>
      </c>
      <c r="H232">
        <v>178.2</v>
      </c>
      <c r="I232">
        <v>0</v>
      </c>
      <c r="J232">
        <v>0</v>
      </c>
      <c r="K232">
        <v>57.599999999999902</v>
      </c>
      <c r="L232">
        <v>0</v>
      </c>
      <c r="M232">
        <v>39.096337287272</v>
      </c>
      <c r="N232">
        <v>0</v>
      </c>
      <c r="O232">
        <v>0</v>
      </c>
      <c r="P232">
        <v>0</v>
      </c>
      <c r="Q232">
        <v>394.64698293398999</v>
      </c>
      <c r="R232">
        <v>0</v>
      </c>
      <c r="S232">
        <v>0</v>
      </c>
      <c r="T232">
        <v>541.68193410499998</v>
      </c>
      <c r="U232">
        <v>0</v>
      </c>
      <c r="V232">
        <v>0</v>
      </c>
      <c r="W232">
        <v>0</v>
      </c>
      <c r="X232">
        <v>-147.034951171009</v>
      </c>
      <c r="Y232">
        <v>713.44324846632696</v>
      </c>
      <c r="Z232" t="s">
        <v>52</v>
      </c>
    </row>
    <row r="233" spans="1:26">
      <c r="A233" t="s">
        <v>13</v>
      </c>
      <c r="B233">
        <v>2025</v>
      </c>
      <c r="C233" t="s">
        <v>323</v>
      </c>
      <c r="D233">
        <v>119.750645646718</v>
      </c>
      <c r="E233">
        <v>0</v>
      </c>
      <c r="F233">
        <v>0</v>
      </c>
      <c r="G233">
        <v>30.86907223291</v>
      </c>
      <c r="H233">
        <v>178.2</v>
      </c>
      <c r="I233">
        <v>0</v>
      </c>
      <c r="J233">
        <v>0</v>
      </c>
      <c r="K233">
        <v>57.599999999999902</v>
      </c>
      <c r="L233">
        <v>0</v>
      </c>
      <c r="M233">
        <v>47.407783273571603</v>
      </c>
      <c r="N233">
        <v>0</v>
      </c>
      <c r="O233">
        <v>0</v>
      </c>
      <c r="P233">
        <v>0</v>
      </c>
      <c r="Q233">
        <v>433.82750115319999</v>
      </c>
      <c r="R233">
        <v>0</v>
      </c>
      <c r="S233">
        <v>0</v>
      </c>
      <c r="T233">
        <v>619.75357307599995</v>
      </c>
      <c r="U233">
        <v>0</v>
      </c>
      <c r="V233">
        <v>0</v>
      </c>
      <c r="W233">
        <v>0</v>
      </c>
      <c r="X233">
        <v>-185.92607192279999</v>
      </c>
      <c r="Y233">
        <v>863.62459662876802</v>
      </c>
      <c r="Z233" t="s">
        <v>52</v>
      </c>
    </row>
    <row r="234" spans="1:26">
      <c r="A234" t="s">
        <v>13</v>
      </c>
      <c r="B234">
        <v>2025</v>
      </c>
      <c r="C234" t="s">
        <v>324</v>
      </c>
      <c r="D234">
        <v>119.750645646718</v>
      </c>
      <c r="E234">
        <v>0</v>
      </c>
      <c r="F234">
        <v>0</v>
      </c>
      <c r="G234">
        <v>199.623793950959</v>
      </c>
      <c r="H234">
        <v>178.2</v>
      </c>
      <c r="I234">
        <v>0</v>
      </c>
      <c r="J234">
        <v>0</v>
      </c>
      <c r="K234">
        <v>57.599999999999902</v>
      </c>
      <c r="L234">
        <v>56.0343548866202</v>
      </c>
      <c r="M234">
        <v>40.587670082502299</v>
      </c>
      <c r="N234">
        <v>0</v>
      </c>
      <c r="O234">
        <v>0</v>
      </c>
      <c r="P234">
        <v>0</v>
      </c>
      <c r="Q234">
        <v>651.79646456679995</v>
      </c>
      <c r="R234">
        <v>0</v>
      </c>
      <c r="S234">
        <v>0</v>
      </c>
      <c r="T234">
        <v>931.13780652399998</v>
      </c>
      <c r="U234">
        <v>0</v>
      </c>
      <c r="V234">
        <v>0</v>
      </c>
      <c r="W234">
        <v>0</v>
      </c>
      <c r="X234">
        <v>-279.34134195719997</v>
      </c>
      <c r="Y234">
        <v>863.62459662876802</v>
      </c>
      <c r="Z234" t="s">
        <v>52</v>
      </c>
    </row>
    <row r="235" spans="1:26">
      <c r="A235" t="s">
        <v>13</v>
      </c>
      <c r="B235">
        <v>2025</v>
      </c>
      <c r="C235" t="s">
        <v>325</v>
      </c>
      <c r="D235">
        <v>119.750645646718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57.599999999999902</v>
      </c>
      <c r="L235">
        <v>1089.1463322666</v>
      </c>
      <c r="M235">
        <v>23.810544684781199</v>
      </c>
      <c r="N235">
        <v>0</v>
      </c>
      <c r="O235" s="1">
        <v>0</v>
      </c>
      <c r="P235" s="1">
        <v>0</v>
      </c>
      <c r="Q235">
        <v>1290.3075225980999</v>
      </c>
      <c r="R235">
        <v>0</v>
      </c>
      <c r="S235">
        <v>0</v>
      </c>
      <c r="T235">
        <v>1116.23979229</v>
      </c>
      <c r="U235">
        <v>0</v>
      </c>
      <c r="V235">
        <v>0</v>
      </c>
      <c r="W235">
        <v>0</v>
      </c>
      <c r="X235">
        <v>174.06773030810899</v>
      </c>
      <c r="Y235">
        <v>713.44324846632696</v>
      </c>
      <c r="Z235" t="s">
        <v>52</v>
      </c>
    </row>
    <row r="236" spans="1:26">
      <c r="A236" t="s">
        <v>13</v>
      </c>
      <c r="B236">
        <v>2025</v>
      </c>
      <c r="C236" t="s">
        <v>326</v>
      </c>
      <c r="D236">
        <v>119.750645646718</v>
      </c>
      <c r="E236">
        <v>0</v>
      </c>
      <c r="F236">
        <v>0</v>
      </c>
      <c r="G236">
        <v>0</v>
      </c>
      <c r="H236">
        <v>178.2</v>
      </c>
      <c r="I236">
        <v>0</v>
      </c>
      <c r="J236">
        <v>0</v>
      </c>
      <c r="K236">
        <v>57.599999999999902</v>
      </c>
      <c r="L236">
        <v>1377.03681933282</v>
      </c>
      <c r="M236">
        <v>26.234780489803999</v>
      </c>
      <c r="N236">
        <v>0</v>
      </c>
      <c r="O236">
        <v>0</v>
      </c>
      <c r="P236">
        <v>0</v>
      </c>
      <c r="Q236">
        <v>1758.82224546935</v>
      </c>
      <c r="R236">
        <v>0</v>
      </c>
      <c r="S236">
        <v>0</v>
      </c>
      <c r="T236">
        <v>1212.31128889</v>
      </c>
      <c r="U236">
        <v>0</v>
      </c>
      <c r="V236">
        <v>0</v>
      </c>
      <c r="W236">
        <v>0</v>
      </c>
      <c r="X236">
        <v>546.51095657935002</v>
      </c>
      <c r="Y236">
        <v>713.44324846632696</v>
      </c>
      <c r="Z236" t="s">
        <v>52</v>
      </c>
    </row>
    <row r="237" spans="1:26">
      <c r="A237" t="s">
        <v>13</v>
      </c>
      <c r="B237">
        <v>2025</v>
      </c>
      <c r="C237" t="s">
        <v>327</v>
      </c>
      <c r="D237">
        <v>119.750645646718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57.599999999999902</v>
      </c>
      <c r="L237">
        <v>1402.58012711724</v>
      </c>
      <c r="M237">
        <v>34.375649302724803</v>
      </c>
      <c r="N237">
        <v>0</v>
      </c>
      <c r="O237" s="1">
        <v>0</v>
      </c>
      <c r="P237" s="1">
        <v>0</v>
      </c>
      <c r="Q237">
        <v>1614.3064220666899</v>
      </c>
      <c r="R237">
        <v>0</v>
      </c>
      <c r="S237">
        <v>0</v>
      </c>
      <c r="T237">
        <v>1241.9834896299999</v>
      </c>
      <c r="U237">
        <v>0</v>
      </c>
      <c r="V237">
        <v>0</v>
      </c>
      <c r="W237">
        <v>0</v>
      </c>
      <c r="X237">
        <v>372.32293243669</v>
      </c>
      <c r="Y237">
        <v>713.44324846632696</v>
      </c>
      <c r="Z237" t="s">
        <v>52</v>
      </c>
    </row>
    <row r="238" spans="1:26">
      <c r="A238" t="s">
        <v>13</v>
      </c>
      <c r="B238">
        <v>2025</v>
      </c>
      <c r="C238" t="s">
        <v>328</v>
      </c>
      <c r="D238">
        <v>119.750645646718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57.599999999999902</v>
      </c>
      <c r="L238">
        <v>1369.0100898536</v>
      </c>
      <c r="M238">
        <v>39.3666833753201</v>
      </c>
      <c r="N238">
        <v>0</v>
      </c>
      <c r="O238">
        <v>0</v>
      </c>
      <c r="P238" s="1">
        <v>0</v>
      </c>
      <c r="Q238">
        <v>1585.7274188756401</v>
      </c>
      <c r="R238">
        <v>0</v>
      </c>
      <c r="S238">
        <v>0</v>
      </c>
      <c r="T238">
        <v>1252</v>
      </c>
      <c r="U238">
        <v>0</v>
      </c>
      <c r="V238">
        <v>0</v>
      </c>
      <c r="W238">
        <v>0</v>
      </c>
      <c r="X238">
        <v>333.72741887564501</v>
      </c>
      <c r="Y238">
        <v>713.44324846632696</v>
      </c>
      <c r="Z238" t="s">
        <v>52</v>
      </c>
    </row>
    <row r="239" spans="1:26">
      <c r="A239" t="s">
        <v>13</v>
      </c>
      <c r="B239">
        <v>2025</v>
      </c>
      <c r="C239" t="s">
        <v>329</v>
      </c>
      <c r="D239">
        <v>119.750645646718</v>
      </c>
      <c r="E239">
        <v>0</v>
      </c>
      <c r="F239">
        <v>0</v>
      </c>
      <c r="G239">
        <v>0</v>
      </c>
      <c r="H239">
        <v>33.049968183590998</v>
      </c>
      <c r="I239">
        <v>0</v>
      </c>
      <c r="J239">
        <v>0</v>
      </c>
      <c r="K239">
        <v>57.599999999999902</v>
      </c>
      <c r="L239">
        <v>1263.43830638963</v>
      </c>
      <c r="M239">
        <v>42.330836556471397</v>
      </c>
      <c r="N239">
        <v>0</v>
      </c>
      <c r="O239">
        <v>0</v>
      </c>
      <c r="P239">
        <v>0</v>
      </c>
      <c r="Q239">
        <v>1516.1697567764099</v>
      </c>
      <c r="R239">
        <v>0</v>
      </c>
      <c r="S239">
        <v>0</v>
      </c>
      <c r="T239">
        <v>1205.97013395</v>
      </c>
      <c r="U239">
        <v>0</v>
      </c>
      <c r="V239">
        <v>0</v>
      </c>
      <c r="W239">
        <v>0</v>
      </c>
      <c r="X239">
        <v>310.19962282641399</v>
      </c>
      <c r="Y239">
        <v>713.44324846632696</v>
      </c>
      <c r="Z239" t="s">
        <v>52</v>
      </c>
    </row>
    <row r="240" spans="1:26">
      <c r="A240" t="s">
        <v>13</v>
      </c>
      <c r="B240">
        <v>2025</v>
      </c>
      <c r="C240" t="s">
        <v>330</v>
      </c>
      <c r="D240">
        <v>119.750645646718</v>
      </c>
      <c r="E240">
        <v>0</v>
      </c>
      <c r="F240">
        <v>0</v>
      </c>
      <c r="G240">
        <v>280.667695426791</v>
      </c>
      <c r="H240">
        <v>178.2</v>
      </c>
      <c r="I240">
        <v>0</v>
      </c>
      <c r="J240">
        <v>0</v>
      </c>
      <c r="K240">
        <v>57.599999999999902</v>
      </c>
      <c r="L240">
        <v>118.21544534944999</v>
      </c>
      <c r="M240">
        <v>75.635520335166305</v>
      </c>
      <c r="N240">
        <v>0</v>
      </c>
      <c r="O240">
        <v>0</v>
      </c>
      <c r="P240" s="1">
        <v>0</v>
      </c>
      <c r="Q240">
        <v>830.069306758126</v>
      </c>
      <c r="R240">
        <v>0</v>
      </c>
      <c r="S240">
        <v>8.3988690808736397</v>
      </c>
      <c r="T240">
        <v>1197.81167977</v>
      </c>
      <c r="U240">
        <v>0</v>
      </c>
      <c r="V240">
        <v>0</v>
      </c>
      <c r="W240">
        <v>0</v>
      </c>
      <c r="X240">
        <v>-359.34350393099999</v>
      </c>
      <c r="Y240">
        <v>866.82746626512301</v>
      </c>
      <c r="Z240" t="s">
        <v>52</v>
      </c>
    </row>
    <row r="241" spans="1:26">
      <c r="A241" t="s">
        <v>13</v>
      </c>
      <c r="B241">
        <v>2025</v>
      </c>
      <c r="C241" t="s">
        <v>331</v>
      </c>
      <c r="D241">
        <v>119.750645646718</v>
      </c>
      <c r="E241">
        <v>0</v>
      </c>
      <c r="F241">
        <v>0</v>
      </c>
      <c r="G241">
        <v>248.928</v>
      </c>
      <c r="H241">
        <v>0</v>
      </c>
      <c r="I241">
        <v>178.2</v>
      </c>
      <c r="J241">
        <v>0</v>
      </c>
      <c r="K241">
        <v>57.599999999999902</v>
      </c>
      <c r="L241">
        <v>0</v>
      </c>
      <c r="M241">
        <v>65.928849406155294</v>
      </c>
      <c r="N241">
        <v>0</v>
      </c>
      <c r="O241">
        <v>0</v>
      </c>
      <c r="P241" s="1">
        <v>0</v>
      </c>
      <c r="Q241">
        <v>670.40749505287295</v>
      </c>
      <c r="R241">
        <v>0</v>
      </c>
      <c r="S241">
        <v>111.60113091912601</v>
      </c>
      <c r="T241">
        <v>1117.1551799599999</v>
      </c>
      <c r="U241">
        <v>0</v>
      </c>
      <c r="V241">
        <v>0</v>
      </c>
      <c r="W241">
        <v>0</v>
      </c>
      <c r="X241">
        <v>-335.14655398799999</v>
      </c>
      <c r="Y241">
        <v>866.82746626512301</v>
      </c>
      <c r="Z241" t="s">
        <v>52</v>
      </c>
    </row>
    <row r="242" spans="1:26">
      <c r="A242" t="s">
        <v>13</v>
      </c>
      <c r="B242">
        <v>2025</v>
      </c>
      <c r="C242" t="s">
        <v>332</v>
      </c>
      <c r="D242">
        <v>119.750645646718</v>
      </c>
      <c r="E242">
        <v>0</v>
      </c>
      <c r="F242">
        <v>0</v>
      </c>
      <c r="G242">
        <v>168.707947219159</v>
      </c>
      <c r="H242">
        <v>178.2</v>
      </c>
      <c r="I242">
        <v>0</v>
      </c>
      <c r="J242">
        <v>0</v>
      </c>
      <c r="K242">
        <v>57.599999999999902</v>
      </c>
      <c r="L242">
        <v>0</v>
      </c>
      <c r="M242">
        <v>48.922415216322698</v>
      </c>
      <c r="N242">
        <v>0</v>
      </c>
      <c r="O242">
        <v>0</v>
      </c>
      <c r="P242">
        <v>0</v>
      </c>
      <c r="Q242">
        <v>573.18100808220004</v>
      </c>
      <c r="R242">
        <v>0</v>
      </c>
      <c r="S242">
        <v>0</v>
      </c>
      <c r="T242">
        <v>818.83001154600004</v>
      </c>
      <c r="U242">
        <v>0</v>
      </c>
      <c r="V242">
        <v>0</v>
      </c>
      <c r="W242">
        <v>0</v>
      </c>
      <c r="X242">
        <v>-245.6490034638</v>
      </c>
      <c r="Y242">
        <v>863.62459662876802</v>
      </c>
      <c r="Z242" t="s">
        <v>52</v>
      </c>
    </row>
    <row r="243" spans="1:26">
      <c r="A243" t="s">
        <v>13</v>
      </c>
      <c r="B243">
        <v>2025</v>
      </c>
      <c r="C243" t="s">
        <v>333</v>
      </c>
      <c r="D243">
        <v>119.750645646718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0</v>
      </c>
      <c r="K243">
        <v>57.599999999999902</v>
      </c>
      <c r="L243">
        <v>0</v>
      </c>
      <c r="M243">
        <v>32.377617844359598</v>
      </c>
      <c r="N243">
        <v>0</v>
      </c>
      <c r="O243">
        <v>0</v>
      </c>
      <c r="P243">
        <v>0</v>
      </c>
      <c r="Q243">
        <v>387.92826349107702</v>
      </c>
      <c r="R243">
        <v>0</v>
      </c>
      <c r="S243">
        <v>3.2176526167221202</v>
      </c>
      <c r="T243">
        <v>558.77988015400001</v>
      </c>
      <c r="U243">
        <v>0</v>
      </c>
      <c r="V243">
        <v>0</v>
      </c>
      <c r="W243">
        <v>0</v>
      </c>
      <c r="X243">
        <v>-167.63396404619999</v>
      </c>
      <c r="Y243">
        <v>74.7339367998227</v>
      </c>
      <c r="Z243" t="s">
        <v>51</v>
      </c>
    </row>
    <row r="244" spans="1:26">
      <c r="A244" t="s">
        <v>13</v>
      </c>
      <c r="B244">
        <v>2025</v>
      </c>
      <c r="C244" t="s">
        <v>334</v>
      </c>
      <c r="D244">
        <v>119.750645646718</v>
      </c>
      <c r="E244">
        <v>0</v>
      </c>
      <c r="F244">
        <v>0</v>
      </c>
      <c r="G244">
        <v>0</v>
      </c>
      <c r="H244">
        <v>116.58459091237501</v>
      </c>
      <c r="I244">
        <v>0</v>
      </c>
      <c r="J244">
        <v>0</v>
      </c>
      <c r="K244">
        <v>57.599999999999902</v>
      </c>
      <c r="L244">
        <v>0</v>
      </c>
      <c r="M244">
        <v>51.833885899806198</v>
      </c>
      <c r="N244">
        <v>0</v>
      </c>
      <c r="O244">
        <v>0</v>
      </c>
      <c r="P244">
        <v>0</v>
      </c>
      <c r="Q244">
        <v>345.76912245889997</v>
      </c>
      <c r="R244">
        <v>0</v>
      </c>
      <c r="S244">
        <v>0</v>
      </c>
      <c r="T244">
        <v>493.955889227</v>
      </c>
      <c r="U244">
        <v>0</v>
      </c>
      <c r="V244">
        <v>0</v>
      </c>
      <c r="W244">
        <v>0</v>
      </c>
      <c r="X244">
        <v>-148.1867667681</v>
      </c>
      <c r="Y244">
        <v>57.545131335863402</v>
      </c>
      <c r="Z244" t="s">
        <v>51</v>
      </c>
    </row>
    <row r="245" spans="1:26">
      <c r="A245" t="s">
        <v>13</v>
      </c>
      <c r="B245">
        <v>2025</v>
      </c>
      <c r="C245" t="s">
        <v>335</v>
      </c>
      <c r="D245">
        <v>119.750645646718</v>
      </c>
      <c r="E245">
        <v>0</v>
      </c>
      <c r="F245">
        <v>0</v>
      </c>
      <c r="G245">
        <v>0</v>
      </c>
      <c r="H245">
        <v>167.948037398965</v>
      </c>
      <c r="I245">
        <v>0</v>
      </c>
      <c r="J245">
        <v>0</v>
      </c>
      <c r="K245">
        <v>57.599999999999902</v>
      </c>
      <c r="L245">
        <v>0</v>
      </c>
      <c r="M245">
        <v>61.745610414315699</v>
      </c>
      <c r="N245">
        <v>0</v>
      </c>
      <c r="O245">
        <v>0</v>
      </c>
      <c r="P245">
        <v>0</v>
      </c>
      <c r="Q245">
        <v>407.04429345999898</v>
      </c>
      <c r="R245">
        <v>0</v>
      </c>
      <c r="S245">
        <v>0</v>
      </c>
      <c r="T245">
        <v>581.49184779999996</v>
      </c>
      <c r="U245">
        <v>0</v>
      </c>
      <c r="V245">
        <v>0</v>
      </c>
      <c r="W245">
        <v>0</v>
      </c>
      <c r="X245">
        <v>-174.44755433999899</v>
      </c>
      <c r="Y245">
        <v>57.545131335863402</v>
      </c>
      <c r="Z245" t="s">
        <v>51</v>
      </c>
    </row>
    <row r="246" spans="1:26">
      <c r="A246" t="s">
        <v>13</v>
      </c>
      <c r="B246">
        <v>2025</v>
      </c>
      <c r="C246" t="s">
        <v>336</v>
      </c>
      <c r="D246">
        <v>119.750645646718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57.599999999999902</v>
      </c>
      <c r="L246">
        <v>899.53001557226605</v>
      </c>
      <c r="M246">
        <v>70.677879434853097</v>
      </c>
      <c r="N246">
        <v>0</v>
      </c>
      <c r="O246">
        <v>0</v>
      </c>
      <c r="P246" s="1">
        <v>0</v>
      </c>
      <c r="Q246">
        <v>1147.5585406538301</v>
      </c>
      <c r="R246">
        <v>0</v>
      </c>
      <c r="S246">
        <v>0</v>
      </c>
      <c r="T246">
        <v>844.62496211600001</v>
      </c>
      <c r="U246">
        <v>0</v>
      </c>
      <c r="V246">
        <v>0</v>
      </c>
      <c r="W246">
        <v>0</v>
      </c>
      <c r="X246">
        <v>302.93357853783698</v>
      </c>
      <c r="Y246">
        <v>57.545131335863402</v>
      </c>
      <c r="Z246" t="s">
        <v>51</v>
      </c>
    </row>
    <row r="247" spans="1:26">
      <c r="A247" t="s">
        <v>13</v>
      </c>
      <c r="B247">
        <v>2025</v>
      </c>
      <c r="C247" t="s">
        <v>337</v>
      </c>
      <c r="D247">
        <v>119.750645646718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57.599999999999902</v>
      </c>
      <c r="L247">
        <v>865.29629704223805</v>
      </c>
      <c r="M247">
        <v>81.591555360493501</v>
      </c>
      <c r="N247">
        <v>0</v>
      </c>
      <c r="O247" s="1">
        <v>0</v>
      </c>
      <c r="P247" s="1">
        <v>0</v>
      </c>
      <c r="Q247">
        <v>1124.2384980494501</v>
      </c>
      <c r="R247">
        <v>0</v>
      </c>
      <c r="S247">
        <v>0</v>
      </c>
      <c r="T247">
        <v>1048.6422753500001</v>
      </c>
      <c r="U247">
        <v>0</v>
      </c>
      <c r="V247">
        <v>0</v>
      </c>
      <c r="W247">
        <v>150</v>
      </c>
      <c r="X247">
        <v>-74.403777300549706</v>
      </c>
      <c r="Y247">
        <v>57.545131335863402</v>
      </c>
      <c r="Z247" t="s">
        <v>51</v>
      </c>
    </row>
    <row r="248" spans="1:26">
      <c r="A248" t="s">
        <v>13</v>
      </c>
      <c r="B248">
        <v>2025</v>
      </c>
      <c r="C248" t="s">
        <v>338</v>
      </c>
      <c r="D248">
        <v>119.750645646718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57.599999999999902</v>
      </c>
      <c r="L248">
        <v>955.90670120340405</v>
      </c>
      <c r="M248">
        <v>104.583493000101</v>
      </c>
      <c r="N248">
        <v>0</v>
      </c>
      <c r="O248">
        <v>0</v>
      </c>
      <c r="P248">
        <v>0</v>
      </c>
      <c r="Q248">
        <v>1237.8408398502199</v>
      </c>
      <c r="R248">
        <v>0</v>
      </c>
      <c r="S248">
        <v>0</v>
      </c>
      <c r="T248">
        <v>1126.68687998</v>
      </c>
      <c r="U248">
        <v>0</v>
      </c>
      <c r="V248">
        <v>0</v>
      </c>
      <c r="W248">
        <v>150</v>
      </c>
      <c r="X248">
        <v>-38.846040129776199</v>
      </c>
      <c r="Y248">
        <v>57.545131335863402</v>
      </c>
      <c r="Z248" t="s">
        <v>51</v>
      </c>
    </row>
    <row r="249" spans="1:26">
      <c r="A249" t="s">
        <v>13</v>
      </c>
      <c r="B249">
        <v>2025</v>
      </c>
      <c r="C249" t="s">
        <v>339</v>
      </c>
      <c r="D249">
        <v>119.750645646718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57.599999999999902</v>
      </c>
      <c r="L249">
        <v>1290.20876995398</v>
      </c>
      <c r="M249">
        <v>107.158406334497</v>
      </c>
      <c r="N249">
        <v>0</v>
      </c>
      <c r="O249">
        <v>0</v>
      </c>
      <c r="P249" s="1">
        <v>0</v>
      </c>
      <c r="Q249">
        <v>1574.7178219351899</v>
      </c>
      <c r="R249">
        <v>0</v>
      </c>
      <c r="S249">
        <v>0</v>
      </c>
      <c r="T249">
        <v>1147.15064237</v>
      </c>
      <c r="U249">
        <v>0</v>
      </c>
      <c r="V249">
        <v>0</v>
      </c>
      <c r="W249">
        <v>0</v>
      </c>
      <c r="X249">
        <v>427.567179565196</v>
      </c>
      <c r="Y249">
        <v>57.545131335863402</v>
      </c>
      <c r="Z249" t="s">
        <v>51</v>
      </c>
    </row>
    <row r="250" spans="1:26">
      <c r="A250" t="s">
        <v>13</v>
      </c>
      <c r="B250">
        <v>2025</v>
      </c>
      <c r="C250" t="s">
        <v>340</v>
      </c>
      <c r="D250">
        <v>119.750645646718</v>
      </c>
      <c r="E250">
        <v>0</v>
      </c>
      <c r="F250">
        <v>0</v>
      </c>
      <c r="G250">
        <v>0</v>
      </c>
      <c r="H250">
        <v>124.401219776684</v>
      </c>
      <c r="I250">
        <v>0</v>
      </c>
      <c r="J250">
        <v>0</v>
      </c>
      <c r="K250">
        <v>57.599999999999902</v>
      </c>
      <c r="L250">
        <v>1248.2334873109</v>
      </c>
      <c r="M250" s="1">
        <v>97.778280459297505</v>
      </c>
      <c r="N250">
        <v>0</v>
      </c>
      <c r="O250">
        <v>0</v>
      </c>
      <c r="P250">
        <v>0</v>
      </c>
      <c r="Q250">
        <v>1647.7636331936001</v>
      </c>
      <c r="R250">
        <v>0</v>
      </c>
      <c r="S250">
        <v>0</v>
      </c>
      <c r="T250">
        <v>1134.3204242500001</v>
      </c>
      <c r="U250">
        <v>0</v>
      </c>
      <c r="V250">
        <v>0</v>
      </c>
      <c r="W250">
        <v>51.891726050880898</v>
      </c>
      <c r="X250">
        <v>461.55148289272</v>
      </c>
      <c r="Y250">
        <v>57.545131335863402</v>
      </c>
      <c r="Z250" t="s">
        <v>51</v>
      </c>
    </row>
    <row r="251" spans="1:26">
      <c r="A251" t="s">
        <v>13</v>
      </c>
      <c r="B251">
        <v>2025</v>
      </c>
      <c r="C251" t="s">
        <v>341</v>
      </c>
      <c r="D251">
        <v>119.750645646718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57.599999999999902</v>
      </c>
      <c r="L251">
        <v>1133.14583333257</v>
      </c>
      <c r="M251">
        <v>65.168805329774003</v>
      </c>
      <c r="N251">
        <v>0</v>
      </c>
      <c r="O251" s="1">
        <v>0</v>
      </c>
      <c r="P251" s="1">
        <v>0</v>
      </c>
      <c r="Q251">
        <v>1375.6652843090701</v>
      </c>
      <c r="R251">
        <v>0</v>
      </c>
      <c r="S251">
        <v>0</v>
      </c>
      <c r="T251">
        <v>1094.30861581</v>
      </c>
      <c r="U251">
        <v>0</v>
      </c>
      <c r="V251">
        <v>0</v>
      </c>
      <c r="W251">
        <v>0</v>
      </c>
      <c r="X251">
        <v>281.35666849907102</v>
      </c>
      <c r="Y251">
        <v>57.545131335863402</v>
      </c>
      <c r="Z251" t="s">
        <v>51</v>
      </c>
    </row>
    <row r="252" spans="1:26">
      <c r="A252" t="s">
        <v>13</v>
      </c>
      <c r="B252">
        <v>2025</v>
      </c>
      <c r="C252" t="s">
        <v>342</v>
      </c>
      <c r="D252">
        <v>119.750645646718</v>
      </c>
      <c r="E252">
        <v>0</v>
      </c>
      <c r="F252">
        <v>0</v>
      </c>
      <c r="G252">
        <v>157.15648677977001</v>
      </c>
      <c r="H252">
        <v>178.2</v>
      </c>
      <c r="I252">
        <v>0</v>
      </c>
      <c r="J252">
        <v>0</v>
      </c>
      <c r="K252">
        <v>57.599999999999902</v>
      </c>
      <c r="L252">
        <v>30.826634221491201</v>
      </c>
      <c r="M252">
        <v>92.9512857750195</v>
      </c>
      <c r="N252">
        <v>0</v>
      </c>
      <c r="O252">
        <v>0</v>
      </c>
      <c r="P252">
        <v>0</v>
      </c>
      <c r="Q252">
        <v>636.48505242299905</v>
      </c>
      <c r="R252">
        <v>0</v>
      </c>
      <c r="S252">
        <v>150</v>
      </c>
      <c r="T252">
        <v>1123.5500748899999</v>
      </c>
      <c r="U252">
        <v>0</v>
      </c>
      <c r="V252">
        <v>0</v>
      </c>
      <c r="W252">
        <v>0</v>
      </c>
      <c r="X252">
        <v>-337.06502246699898</v>
      </c>
      <c r="Y252">
        <v>207.726479498304</v>
      </c>
      <c r="Z252" t="s">
        <v>51</v>
      </c>
    </row>
    <row r="253" spans="1:26">
      <c r="A253" t="s">
        <v>13</v>
      </c>
      <c r="B253">
        <v>2025</v>
      </c>
      <c r="C253" t="s">
        <v>343</v>
      </c>
      <c r="D253">
        <v>119.750645646718</v>
      </c>
      <c r="E253">
        <v>0</v>
      </c>
      <c r="F253">
        <v>0</v>
      </c>
      <c r="G253">
        <v>100.125722536821</v>
      </c>
      <c r="H253">
        <v>178.2</v>
      </c>
      <c r="I253">
        <v>0</v>
      </c>
      <c r="J253">
        <v>0</v>
      </c>
      <c r="K253">
        <v>57.599999999999902</v>
      </c>
      <c r="L253">
        <v>0</v>
      </c>
      <c r="M253">
        <v>86.492776279759894</v>
      </c>
      <c r="N253">
        <v>0</v>
      </c>
      <c r="O253">
        <v>0</v>
      </c>
      <c r="P253">
        <v>0</v>
      </c>
      <c r="Q253">
        <v>542.16914446329997</v>
      </c>
      <c r="R253">
        <v>0</v>
      </c>
      <c r="S253">
        <v>150</v>
      </c>
      <c r="T253">
        <v>988.81306351900002</v>
      </c>
      <c r="U253">
        <v>0</v>
      </c>
      <c r="V253">
        <v>0</v>
      </c>
      <c r="W253">
        <v>0</v>
      </c>
      <c r="X253">
        <v>-296.6439190557</v>
      </c>
      <c r="Y253">
        <v>207.726479498304</v>
      </c>
      <c r="Z253" t="s">
        <v>51</v>
      </c>
    </row>
    <row r="254" spans="1:26">
      <c r="A254" t="s">
        <v>13</v>
      </c>
      <c r="B254">
        <v>2025</v>
      </c>
      <c r="C254" t="s">
        <v>344</v>
      </c>
      <c r="D254">
        <v>119.750645646718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0</v>
      </c>
      <c r="K254">
        <v>57.599999999999902</v>
      </c>
      <c r="L254">
        <v>0</v>
      </c>
      <c r="M254">
        <v>107.80139714832499</v>
      </c>
      <c r="N254">
        <v>0</v>
      </c>
      <c r="O254">
        <v>0</v>
      </c>
      <c r="P254">
        <v>0</v>
      </c>
      <c r="Q254">
        <v>463.35204279504302</v>
      </c>
      <c r="R254">
        <v>0</v>
      </c>
      <c r="S254">
        <v>87.738976442456106</v>
      </c>
      <c r="T254">
        <v>787.27288462499996</v>
      </c>
      <c r="U254">
        <v>0</v>
      </c>
      <c r="V254">
        <v>0</v>
      </c>
      <c r="W254">
        <v>0</v>
      </c>
      <c r="X254">
        <v>-236.18186538749899</v>
      </c>
      <c r="Y254">
        <v>74.7339367998227</v>
      </c>
      <c r="Z254" t="s">
        <v>51</v>
      </c>
    </row>
    <row r="255" spans="1:26">
      <c r="A255" t="s">
        <v>13</v>
      </c>
      <c r="B255">
        <v>2025</v>
      </c>
      <c r="C255" t="s">
        <v>345</v>
      </c>
      <c r="D255">
        <v>119.750645646718</v>
      </c>
      <c r="E255">
        <v>0</v>
      </c>
      <c r="F255">
        <v>0</v>
      </c>
      <c r="G255">
        <v>248.928</v>
      </c>
      <c r="H255">
        <v>0</v>
      </c>
      <c r="I255">
        <v>178.2</v>
      </c>
      <c r="J255">
        <v>0</v>
      </c>
      <c r="K255">
        <v>57.599999999999902</v>
      </c>
      <c r="L255">
        <v>0</v>
      </c>
      <c r="M255">
        <v>3.7538282514865098</v>
      </c>
      <c r="N255">
        <v>0</v>
      </c>
      <c r="O255">
        <v>0</v>
      </c>
      <c r="P255" s="1">
        <v>0</v>
      </c>
      <c r="Q255">
        <v>608.23247389820403</v>
      </c>
      <c r="R255">
        <v>0</v>
      </c>
      <c r="S255">
        <v>0</v>
      </c>
      <c r="T255">
        <v>539.93176876799998</v>
      </c>
      <c r="U255">
        <v>0</v>
      </c>
      <c r="V255">
        <v>0</v>
      </c>
      <c r="W255">
        <v>0</v>
      </c>
      <c r="X255">
        <v>68.300705130204705</v>
      </c>
      <c r="Y255">
        <v>863.62459662876802</v>
      </c>
      <c r="Z255" t="s">
        <v>52</v>
      </c>
    </row>
    <row r="256" spans="1:26">
      <c r="A256" t="s">
        <v>13</v>
      </c>
      <c r="B256">
        <v>2025</v>
      </c>
      <c r="C256" t="s">
        <v>346</v>
      </c>
      <c r="D256">
        <v>119.750645646718</v>
      </c>
      <c r="E256">
        <v>0</v>
      </c>
      <c r="F256">
        <v>0</v>
      </c>
      <c r="G256">
        <v>199.2</v>
      </c>
      <c r="H256">
        <v>178.2</v>
      </c>
      <c r="I256">
        <v>0</v>
      </c>
      <c r="J256">
        <v>0</v>
      </c>
      <c r="K256">
        <v>57.599999999999902</v>
      </c>
      <c r="L256">
        <v>0</v>
      </c>
      <c r="M256">
        <v>0.39185449885518903</v>
      </c>
      <c r="N256">
        <v>0</v>
      </c>
      <c r="O256">
        <v>0</v>
      </c>
      <c r="P256" s="1">
        <v>0</v>
      </c>
      <c r="Q256">
        <v>555.14250014557297</v>
      </c>
      <c r="R256">
        <v>0</v>
      </c>
      <c r="S256">
        <v>0</v>
      </c>
      <c r="T256">
        <v>476.89828925900002</v>
      </c>
      <c r="U256">
        <v>0</v>
      </c>
      <c r="V256">
        <v>0</v>
      </c>
      <c r="W256">
        <v>0</v>
      </c>
      <c r="X256">
        <v>78.244210886573399</v>
      </c>
      <c r="Y256">
        <v>863.62459662876802</v>
      </c>
      <c r="Z256" t="s">
        <v>52</v>
      </c>
    </row>
    <row r="257" spans="1:26">
      <c r="A257" t="s">
        <v>13</v>
      </c>
      <c r="B257">
        <v>2025</v>
      </c>
      <c r="C257" t="s">
        <v>347</v>
      </c>
      <c r="D257">
        <v>119.750645646718</v>
      </c>
      <c r="E257">
        <v>0</v>
      </c>
      <c r="F257">
        <v>0</v>
      </c>
      <c r="G257">
        <v>146.42831363322699</v>
      </c>
      <c r="H257">
        <v>178.2</v>
      </c>
      <c r="I257">
        <v>0</v>
      </c>
      <c r="J257">
        <v>0</v>
      </c>
      <c r="K257">
        <v>57.599999999999902</v>
      </c>
      <c r="L257">
        <v>0</v>
      </c>
      <c r="M257">
        <v>0.46665396764474198</v>
      </c>
      <c r="N257">
        <v>0</v>
      </c>
      <c r="O257">
        <v>0</v>
      </c>
      <c r="P257">
        <v>0</v>
      </c>
      <c r="Q257">
        <v>502.44561324759002</v>
      </c>
      <c r="R257">
        <v>0</v>
      </c>
      <c r="S257">
        <v>0</v>
      </c>
      <c r="T257">
        <v>566.57497309500002</v>
      </c>
      <c r="U257">
        <v>0</v>
      </c>
      <c r="V257">
        <v>0</v>
      </c>
      <c r="W257">
        <v>0</v>
      </c>
      <c r="X257">
        <v>-64.129359847409205</v>
      </c>
      <c r="Y257">
        <v>863.62459662876802</v>
      </c>
      <c r="Z257" t="s">
        <v>52</v>
      </c>
    </row>
    <row r="258" spans="1:26">
      <c r="A258" t="s">
        <v>13</v>
      </c>
      <c r="B258">
        <v>2025</v>
      </c>
      <c r="C258" t="s">
        <v>348</v>
      </c>
      <c r="D258">
        <v>119.750645646718</v>
      </c>
      <c r="E258">
        <v>0</v>
      </c>
      <c r="F258">
        <v>0</v>
      </c>
      <c r="G258">
        <v>247.62143075690599</v>
      </c>
      <c r="H258">
        <v>178.2</v>
      </c>
      <c r="I258">
        <v>0</v>
      </c>
      <c r="J258">
        <v>0</v>
      </c>
      <c r="K258">
        <v>57.599999999999902</v>
      </c>
      <c r="L258">
        <v>1.6039715274296401E-2</v>
      </c>
      <c r="M258">
        <v>0.319496280400491</v>
      </c>
      <c r="N258">
        <v>0</v>
      </c>
      <c r="O258">
        <v>0</v>
      </c>
      <c r="P258">
        <v>0</v>
      </c>
      <c r="Q258">
        <v>603.50761239929898</v>
      </c>
      <c r="R258">
        <v>0</v>
      </c>
      <c r="S258">
        <v>0</v>
      </c>
      <c r="T258">
        <v>862.153731999</v>
      </c>
      <c r="U258">
        <v>0</v>
      </c>
      <c r="V258">
        <v>0</v>
      </c>
      <c r="W258">
        <v>0</v>
      </c>
      <c r="X258">
        <v>-258.6461195997</v>
      </c>
      <c r="Y258">
        <v>863.62459662876802</v>
      </c>
      <c r="Z258" t="s">
        <v>52</v>
      </c>
    </row>
    <row r="259" spans="1:26">
      <c r="A259" t="s">
        <v>13</v>
      </c>
      <c r="B259">
        <v>2025</v>
      </c>
      <c r="C259" t="s">
        <v>349</v>
      </c>
      <c r="D259">
        <v>119.750645646718</v>
      </c>
      <c r="E259">
        <v>0</v>
      </c>
      <c r="F259">
        <v>0</v>
      </c>
      <c r="G259">
        <v>49.823999999999998</v>
      </c>
      <c r="H259">
        <v>178.2</v>
      </c>
      <c r="I259">
        <v>0</v>
      </c>
      <c r="J259">
        <v>0</v>
      </c>
      <c r="K259">
        <v>57.599999999999902</v>
      </c>
      <c r="L259">
        <v>907.48514210907797</v>
      </c>
      <c r="M259">
        <v>0.54856468374762501</v>
      </c>
      <c r="N259">
        <v>0</v>
      </c>
      <c r="O259">
        <v>0</v>
      </c>
      <c r="P259">
        <v>0</v>
      </c>
      <c r="Q259">
        <v>1313.4083524395401</v>
      </c>
      <c r="R259">
        <v>0</v>
      </c>
      <c r="S259">
        <v>0</v>
      </c>
      <c r="T259">
        <v>1063.9765799700001</v>
      </c>
      <c r="U259">
        <v>0</v>
      </c>
      <c r="V259">
        <v>0</v>
      </c>
      <c r="W259">
        <v>0</v>
      </c>
      <c r="X259">
        <v>249.431772469544</v>
      </c>
      <c r="Y259">
        <v>863.62459662876802</v>
      </c>
      <c r="Z259" t="s">
        <v>52</v>
      </c>
    </row>
    <row r="260" spans="1:26">
      <c r="A260" t="s">
        <v>13</v>
      </c>
      <c r="B260">
        <v>2025</v>
      </c>
      <c r="C260" t="s">
        <v>350</v>
      </c>
      <c r="D260">
        <v>119.750645646718</v>
      </c>
      <c r="E260">
        <v>0</v>
      </c>
      <c r="F260">
        <v>0</v>
      </c>
      <c r="G260">
        <v>49.727999999999902</v>
      </c>
      <c r="H260">
        <v>178.2</v>
      </c>
      <c r="I260">
        <v>0</v>
      </c>
      <c r="J260">
        <v>0</v>
      </c>
      <c r="K260">
        <v>57.599999999999902</v>
      </c>
      <c r="L260">
        <v>964.74770728015801</v>
      </c>
      <c r="M260">
        <v>2.5971774246625801</v>
      </c>
      <c r="N260">
        <v>0</v>
      </c>
      <c r="O260">
        <v>0</v>
      </c>
      <c r="P260">
        <v>0</v>
      </c>
      <c r="Q260">
        <v>1372.62353035153</v>
      </c>
      <c r="R260">
        <v>0</v>
      </c>
      <c r="S260">
        <v>0</v>
      </c>
      <c r="T260">
        <v>1159.87305182</v>
      </c>
      <c r="U260">
        <v>0</v>
      </c>
      <c r="V260">
        <v>0</v>
      </c>
      <c r="W260">
        <v>0</v>
      </c>
      <c r="X260">
        <v>212.75047853153899</v>
      </c>
      <c r="Y260">
        <v>863.62459662876802</v>
      </c>
      <c r="Z260" t="s">
        <v>52</v>
      </c>
    </row>
    <row r="261" spans="1:26">
      <c r="A261" t="s">
        <v>13</v>
      </c>
      <c r="B261">
        <v>2025</v>
      </c>
      <c r="C261" t="s">
        <v>351</v>
      </c>
      <c r="D261">
        <v>119.750645646718</v>
      </c>
      <c r="E261">
        <v>0</v>
      </c>
      <c r="F261">
        <v>0</v>
      </c>
      <c r="G261">
        <v>248.928</v>
      </c>
      <c r="H261">
        <v>178.2</v>
      </c>
      <c r="I261">
        <v>0</v>
      </c>
      <c r="J261">
        <v>0</v>
      </c>
      <c r="K261">
        <v>57.599999999999902</v>
      </c>
      <c r="L261">
        <v>857.88959731106604</v>
      </c>
      <c r="M261">
        <v>8.8725504644899704</v>
      </c>
      <c r="N261">
        <v>0</v>
      </c>
      <c r="O261">
        <v>0</v>
      </c>
      <c r="P261" s="1">
        <v>0</v>
      </c>
      <c r="Q261">
        <v>1471.2407934222699</v>
      </c>
      <c r="R261">
        <v>0</v>
      </c>
      <c r="S261">
        <v>0</v>
      </c>
      <c r="T261">
        <v>1200.6927679400001</v>
      </c>
      <c r="U261">
        <v>0</v>
      </c>
      <c r="V261">
        <v>0</v>
      </c>
      <c r="W261">
        <v>0</v>
      </c>
      <c r="X261">
        <v>270.548025482274</v>
      </c>
      <c r="Y261">
        <v>863.62459662876802</v>
      </c>
      <c r="Z261" t="s">
        <v>52</v>
      </c>
    </row>
    <row r="262" spans="1:26">
      <c r="A262" t="s">
        <v>13</v>
      </c>
      <c r="B262">
        <v>2025</v>
      </c>
      <c r="C262" t="s">
        <v>352</v>
      </c>
      <c r="D262">
        <v>119.750645646718</v>
      </c>
      <c r="E262">
        <v>0</v>
      </c>
      <c r="F262">
        <v>0</v>
      </c>
      <c r="G262">
        <v>149.37599999999901</v>
      </c>
      <c r="H262">
        <v>178.2</v>
      </c>
      <c r="I262">
        <v>0</v>
      </c>
      <c r="J262">
        <v>0</v>
      </c>
      <c r="K262">
        <v>57.599999999999902</v>
      </c>
      <c r="L262">
        <v>896.11021167310105</v>
      </c>
      <c r="M262">
        <v>8.2273099595262007</v>
      </c>
      <c r="N262">
        <v>0</v>
      </c>
      <c r="O262">
        <v>0</v>
      </c>
      <c r="P262">
        <v>0</v>
      </c>
      <c r="Q262">
        <v>1409.26416727934</v>
      </c>
      <c r="R262">
        <v>0</v>
      </c>
      <c r="S262">
        <v>0</v>
      </c>
      <c r="T262">
        <v>1203.3718792</v>
      </c>
      <c r="U262">
        <v>0</v>
      </c>
      <c r="V262">
        <v>0</v>
      </c>
      <c r="W262">
        <v>0</v>
      </c>
      <c r="X262">
        <v>205.892288079346</v>
      </c>
      <c r="Y262">
        <v>863.62459662876802</v>
      </c>
      <c r="Z262" t="s">
        <v>52</v>
      </c>
    </row>
    <row r="263" spans="1:26">
      <c r="A263" t="s">
        <v>13</v>
      </c>
      <c r="B263">
        <v>2025</v>
      </c>
      <c r="C263" t="s">
        <v>353</v>
      </c>
      <c r="D263">
        <v>119.750645646718</v>
      </c>
      <c r="E263">
        <v>0</v>
      </c>
      <c r="F263">
        <v>0</v>
      </c>
      <c r="G263">
        <v>149.37599999999901</v>
      </c>
      <c r="H263">
        <v>178.2</v>
      </c>
      <c r="I263">
        <v>0</v>
      </c>
      <c r="J263">
        <v>0</v>
      </c>
      <c r="K263">
        <v>57.599999999999902</v>
      </c>
      <c r="L263">
        <v>804.25754401618894</v>
      </c>
      <c r="M263">
        <v>10.192369519217101</v>
      </c>
      <c r="N263">
        <v>0</v>
      </c>
      <c r="O263">
        <v>0</v>
      </c>
      <c r="P263">
        <v>0</v>
      </c>
      <c r="Q263">
        <v>1319.37655918212</v>
      </c>
      <c r="R263">
        <v>0</v>
      </c>
      <c r="S263">
        <v>0</v>
      </c>
      <c r="T263">
        <v>1166.37575543</v>
      </c>
      <c r="U263">
        <v>0</v>
      </c>
      <c r="V263">
        <v>0</v>
      </c>
      <c r="W263">
        <v>0</v>
      </c>
      <c r="X263">
        <v>153.00080375212499</v>
      </c>
      <c r="Y263">
        <v>863.62459662876802</v>
      </c>
      <c r="Z263" t="s">
        <v>52</v>
      </c>
    </row>
    <row r="264" spans="1:26">
      <c r="A264" t="s">
        <v>13</v>
      </c>
      <c r="B264">
        <v>2025</v>
      </c>
      <c r="C264" t="s">
        <v>354</v>
      </c>
      <c r="D264">
        <v>119.750645646718</v>
      </c>
      <c r="E264">
        <v>0</v>
      </c>
      <c r="F264">
        <v>0</v>
      </c>
      <c r="G264">
        <v>351.19642413574098</v>
      </c>
      <c r="H264">
        <v>0</v>
      </c>
      <c r="I264">
        <v>178.2</v>
      </c>
      <c r="J264">
        <v>0</v>
      </c>
      <c r="K264">
        <v>57.599999999999902</v>
      </c>
      <c r="L264">
        <v>9.71745247492502</v>
      </c>
      <c r="M264" s="1">
        <v>26.1009133696157</v>
      </c>
      <c r="N264">
        <v>0</v>
      </c>
      <c r="O264" s="1">
        <v>-1.11022302462515E-16</v>
      </c>
      <c r="P264">
        <v>0</v>
      </c>
      <c r="Q264">
        <v>742.56543562700006</v>
      </c>
      <c r="R264">
        <v>0</v>
      </c>
      <c r="S264">
        <v>120</v>
      </c>
      <c r="T264">
        <v>1232.2363366100001</v>
      </c>
      <c r="U264">
        <v>0</v>
      </c>
      <c r="V264">
        <v>0</v>
      </c>
      <c r="W264">
        <v>0</v>
      </c>
      <c r="X264">
        <v>-369.67090098300002</v>
      </c>
      <c r="Y264">
        <v>866.82746626512301</v>
      </c>
      <c r="Z264" t="s">
        <v>52</v>
      </c>
    </row>
    <row r="265" spans="1:26">
      <c r="A265" t="s">
        <v>13</v>
      </c>
      <c r="B265">
        <v>2025</v>
      </c>
      <c r="C265" t="s">
        <v>355</v>
      </c>
      <c r="D265">
        <v>119.750645646718</v>
      </c>
      <c r="E265">
        <v>0</v>
      </c>
      <c r="F265">
        <v>0</v>
      </c>
      <c r="G265">
        <v>341.25024897839398</v>
      </c>
      <c r="H265">
        <v>178.2</v>
      </c>
      <c r="I265">
        <v>0</v>
      </c>
      <c r="J265">
        <v>0</v>
      </c>
      <c r="K265">
        <v>57.599999999999902</v>
      </c>
      <c r="L265">
        <v>0</v>
      </c>
      <c r="M265">
        <v>41.367005851886901</v>
      </c>
      <c r="N265">
        <v>0</v>
      </c>
      <c r="O265">
        <v>0</v>
      </c>
      <c r="P265" s="1">
        <v>0</v>
      </c>
      <c r="Q265">
        <v>738.16790047699999</v>
      </c>
      <c r="R265">
        <v>0</v>
      </c>
      <c r="S265">
        <v>0</v>
      </c>
      <c r="T265">
        <v>1054.52557211</v>
      </c>
      <c r="U265">
        <v>0</v>
      </c>
      <c r="V265">
        <v>0</v>
      </c>
      <c r="W265">
        <v>0</v>
      </c>
      <c r="X265">
        <v>-316.357671633</v>
      </c>
      <c r="Y265">
        <v>866.82746626512301</v>
      </c>
      <c r="Z265" t="s">
        <v>52</v>
      </c>
    </row>
    <row r="266" spans="1:26">
      <c r="A266" t="s">
        <v>13</v>
      </c>
      <c r="B266">
        <v>2025</v>
      </c>
      <c r="C266" t="s">
        <v>356</v>
      </c>
      <c r="D266">
        <v>119.750645646718</v>
      </c>
      <c r="E266">
        <v>0</v>
      </c>
      <c r="F266">
        <v>0</v>
      </c>
      <c r="G266">
        <v>139.91918867138</v>
      </c>
      <c r="H266">
        <v>0</v>
      </c>
      <c r="I266">
        <v>178.2</v>
      </c>
      <c r="J266">
        <v>0</v>
      </c>
      <c r="K266">
        <v>57.599999999999902</v>
      </c>
      <c r="L266">
        <v>0</v>
      </c>
      <c r="M266">
        <v>39.7133743084012</v>
      </c>
      <c r="N266">
        <v>0</v>
      </c>
      <c r="O266">
        <v>0</v>
      </c>
      <c r="P266" s="1">
        <v>0</v>
      </c>
      <c r="Q266">
        <v>535.1832086265</v>
      </c>
      <c r="R266">
        <v>0</v>
      </c>
      <c r="S266">
        <v>0</v>
      </c>
      <c r="T266">
        <v>764.54744089500002</v>
      </c>
      <c r="U266">
        <v>0</v>
      </c>
      <c r="V266">
        <v>0</v>
      </c>
      <c r="W266">
        <v>0</v>
      </c>
      <c r="X266">
        <v>-229.36423226849999</v>
      </c>
      <c r="Y266">
        <v>863.62459662876802</v>
      </c>
      <c r="Z266" t="s">
        <v>52</v>
      </c>
    </row>
    <row r="267" spans="1:26">
      <c r="A267" t="s">
        <v>13</v>
      </c>
      <c r="B267">
        <v>2025</v>
      </c>
      <c r="C267" t="s">
        <v>417</v>
      </c>
      <c r="D267">
        <v>119.750645646718</v>
      </c>
      <c r="E267">
        <v>0</v>
      </c>
      <c r="F267">
        <v>0</v>
      </c>
      <c r="G267">
        <v>74.374319675312705</v>
      </c>
      <c r="H267">
        <v>178.2</v>
      </c>
      <c r="I267">
        <v>0</v>
      </c>
      <c r="J267">
        <v>0</v>
      </c>
      <c r="K267">
        <v>57.599999999999902</v>
      </c>
      <c r="L267">
        <v>0</v>
      </c>
      <c r="M267">
        <v>104.063691036406</v>
      </c>
      <c r="N267">
        <v>0</v>
      </c>
      <c r="O267">
        <v>0</v>
      </c>
      <c r="P267" s="1">
        <v>0</v>
      </c>
      <c r="Q267">
        <v>533.98865635843697</v>
      </c>
      <c r="R267">
        <v>0</v>
      </c>
      <c r="S267">
        <v>0</v>
      </c>
      <c r="T267">
        <v>551.07024531100001</v>
      </c>
      <c r="U267">
        <v>0</v>
      </c>
      <c r="V267">
        <v>0</v>
      </c>
      <c r="W267">
        <v>0</v>
      </c>
      <c r="X267">
        <v>-17.081588952562399</v>
      </c>
      <c r="Y267">
        <v>207.726479498304</v>
      </c>
      <c r="Z267" t="s">
        <v>51</v>
      </c>
    </row>
    <row r="268" spans="1:26">
      <c r="A268" t="s">
        <v>13</v>
      </c>
      <c r="B268">
        <v>2025</v>
      </c>
      <c r="C268" t="s">
        <v>418</v>
      </c>
      <c r="D268">
        <v>119.750645646718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0</v>
      </c>
      <c r="K268">
        <v>57.599999999999902</v>
      </c>
      <c r="L268">
        <v>0</v>
      </c>
      <c r="M268">
        <v>97.324991654009395</v>
      </c>
      <c r="N268">
        <v>0</v>
      </c>
      <c r="O268">
        <v>0</v>
      </c>
      <c r="P268">
        <v>0</v>
      </c>
      <c r="Q268">
        <v>452.87563730072702</v>
      </c>
      <c r="R268">
        <v>0</v>
      </c>
      <c r="S268">
        <v>0</v>
      </c>
      <c r="T268">
        <v>487.772376576</v>
      </c>
      <c r="U268">
        <v>0</v>
      </c>
      <c r="V268">
        <v>0</v>
      </c>
      <c r="W268">
        <v>0</v>
      </c>
      <c r="X268">
        <v>-34.896739275272303</v>
      </c>
      <c r="Y268">
        <v>207.726479498304</v>
      </c>
      <c r="Z268" t="s">
        <v>51</v>
      </c>
    </row>
    <row r="269" spans="1:26">
      <c r="A269" t="s">
        <v>13</v>
      </c>
      <c r="B269">
        <v>2025</v>
      </c>
      <c r="C269" t="s">
        <v>419</v>
      </c>
      <c r="D269">
        <v>119.750645646718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0</v>
      </c>
      <c r="K269">
        <v>57.599999999999902</v>
      </c>
      <c r="L269">
        <v>0</v>
      </c>
      <c r="M269">
        <v>70.713487982625196</v>
      </c>
      <c r="N269">
        <v>0</v>
      </c>
      <c r="O269">
        <v>0</v>
      </c>
      <c r="P269" s="1">
        <v>0</v>
      </c>
      <c r="Q269">
        <v>426.26413362934301</v>
      </c>
      <c r="R269">
        <v>0</v>
      </c>
      <c r="S269">
        <v>0</v>
      </c>
      <c r="T269">
        <v>590.82813318199999</v>
      </c>
      <c r="U269">
        <v>0</v>
      </c>
      <c r="V269">
        <v>0</v>
      </c>
      <c r="W269">
        <v>0</v>
      </c>
      <c r="X269">
        <v>-164.56399955265601</v>
      </c>
      <c r="Y269">
        <v>207.726479498304</v>
      </c>
      <c r="Z269" t="s">
        <v>51</v>
      </c>
    </row>
    <row r="270" spans="1:26">
      <c r="A270" t="s">
        <v>13</v>
      </c>
      <c r="B270">
        <v>2025</v>
      </c>
      <c r="C270" t="s">
        <v>420</v>
      </c>
      <c r="D270">
        <v>119.750645646718</v>
      </c>
      <c r="E270">
        <v>0</v>
      </c>
      <c r="F270">
        <v>0</v>
      </c>
      <c r="G270">
        <v>226.78112988982599</v>
      </c>
      <c r="H270">
        <v>178.2</v>
      </c>
      <c r="I270">
        <v>0</v>
      </c>
      <c r="J270">
        <v>0</v>
      </c>
      <c r="K270">
        <v>57.599999999999902</v>
      </c>
      <c r="L270">
        <v>0</v>
      </c>
      <c r="M270">
        <v>68.396670759354905</v>
      </c>
      <c r="N270">
        <v>0</v>
      </c>
      <c r="O270">
        <v>0</v>
      </c>
      <c r="P270">
        <v>0</v>
      </c>
      <c r="Q270">
        <v>650.72844629589997</v>
      </c>
      <c r="R270">
        <v>0</v>
      </c>
      <c r="S270">
        <v>0</v>
      </c>
      <c r="T270">
        <v>929.61206613700006</v>
      </c>
      <c r="U270">
        <v>0</v>
      </c>
      <c r="V270">
        <v>0</v>
      </c>
      <c r="W270">
        <v>0</v>
      </c>
      <c r="X270">
        <v>-278.88361984110003</v>
      </c>
      <c r="Y270">
        <v>207.726479498304</v>
      </c>
      <c r="Z270" t="s">
        <v>51</v>
      </c>
    </row>
    <row r="271" spans="1:26">
      <c r="A271" t="s">
        <v>13</v>
      </c>
      <c r="B271">
        <v>2025</v>
      </c>
      <c r="C271" t="s">
        <v>421</v>
      </c>
      <c r="D271">
        <v>119.750645646718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0</v>
      </c>
      <c r="K271">
        <v>57.599999999999902</v>
      </c>
      <c r="L271">
        <v>594.59517741233606</v>
      </c>
      <c r="M271" s="1">
        <v>61.123443379144298</v>
      </c>
      <c r="N271">
        <v>0</v>
      </c>
      <c r="O271" s="1">
        <v>-7.1054273576010003E-15</v>
      </c>
      <c r="P271" s="1">
        <v>0</v>
      </c>
      <c r="Q271">
        <v>1011.26926643819</v>
      </c>
      <c r="R271">
        <v>0</v>
      </c>
      <c r="S271">
        <v>0</v>
      </c>
      <c r="T271">
        <v>1045.7927581199999</v>
      </c>
      <c r="U271">
        <v>0</v>
      </c>
      <c r="V271">
        <v>0</v>
      </c>
      <c r="W271">
        <v>0</v>
      </c>
      <c r="X271">
        <v>-34.523491681801502</v>
      </c>
      <c r="Y271">
        <v>207.726479498304</v>
      </c>
      <c r="Z271" t="s">
        <v>51</v>
      </c>
    </row>
    <row r="272" spans="1:26">
      <c r="A272" t="s">
        <v>13</v>
      </c>
      <c r="B272">
        <v>2025</v>
      </c>
      <c r="C272" t="s">
        <v>422</v>
      </c>
      <c r="D272">
        <v>119.750645646718</v>
      </c>
      <c r="E272">
        <v>0</v>
      </c>
      <c r="F272">
        <v>0</v>
      </c>
      <c r="G272">
        <v>49.823999999999998</v>
      </c>
      <c r="H272">
        <v>178.2</v>
      </c>
      <c r="I272">
        <v>0</v>
      </c>
      <c r="J272">
        <v>0</v>
      </c>
      <c r="K272">
        <v>57.599999999999902</v>
      </c>
      <c r="L272">
        <v>967.23000657430498</v>
      </c>
      <c r="M272">
        <v>49.008227240277698</v>
      </c>
      <c r="N272">
        <v>0</v>
      </c>
      <c r="O272" s="1">
        <v>0</v>
      </c>
      <c r="P272">
        <v>0</v>
      </c>
      <c r="Q272">
        <v>1421.6128794613001</v>
      </c>
      <c r="R272">
        <v>0</v>
      </c>
      <c r="S272">
        <v>0</v>
      </c>
      <c r="T272">
        <v>1117.8360173000001</v>
      </c>
      <c r="U272">
        <v>0</v>
      </c>
      <c r="V272">
        <v>0</v>
      </c>
      <c r="W272">
        <v>0</v>
      </c>
      <c r="X272">
        <v>303.77686216130201</v>
      </c>
      <c r="Y272">
        <v>207.726479498304</v>
      </c>
      <c r="Z272" t="s">
        <v>51</v>
      </c>
    </row>
    <row r="273" spans="1:26">
      <c r="A273" t="s">
        <v>13</v>
      </c>
      <c r="B273">
        <v>2025</v>
      </c>
      <c r="C273" t="s">
        <v>423</v>
      </c>
      <c r="D273">
        <v>119.750645646718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0</v>
      </c>
      <c r="K273">
        <v>57.599999999999902</v>
      </c>
      <c r="L273">
        <v>1124.7730181664599</v>
      </c>
      <c r="M273">
        <v>47.981426861883598</v>
      </c>
      <c r="N273">
        <v>0</v>
      </c>
      <c r="O273" s="1">
        <v>0</v>
      </c>
      <c r="P273" s="1">
        <v>0</v>
      </c>
      <c r="Q273">
        <v>1528.30509067506</v>
      </c>
      <c r="R273">
        <v>0</v>
      </c>
      <c r="S273">
        <v>0</v>
      </c>
      <c r="T273">
        <v>1120.12147667</v>
      </c>
      <c r="U273">
        <v>0</v>
      </c>
      <c r="V273">
        <v>0</v>
      </c>
      <c r="W273">
        <v>0</v>
      </c>
      <c r="X273">
        <v>408.183614005062</v>
      </c>
      <c r="Y273">
        <v>207.726479498304</v>
      </c>
      <c r="Z273" t="s">
        <v>51</v>
      </c>
    </row>
    <row r="274" spans="1:26">
      <c r="A274" t="s">
        <v>13</v>
      </c>
      <c r="B274">
        <v>2025</v>
      </c>
      <c r="C274" t="s">
        <v>424</v>
      </c>
      <c r="D274">
        <v>119.750645646718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0</v>
      </c>
      <c r="K274">
        <v>57.599999999999902</v>
      </c>
      <c r="L274">
        <v>1115.9529308776</v>
      </c>
      <c r="M274">
        <v>50.151619300633001</v>
      </c>
      <c r="N274">
        <v>0</v>
      </c>
      <c r="O274" s="1">
        <v>0</v>
      </c>
      <c r="P274" s="1">
        <v>0</v>
      </c>
      <c r="Q274">
        <v>1521.6551958249499</v>
      </c>
      <c r="R274">
        <v>0</v>
      </c>
      <c r="S274">
        <v>0</v>
      </c>
      <c r="T274">
        <v>1112.5395320499999</v>
      </c>
      <c r="U274">
        <v>0</v>
      </c>
      <c r="V274">
        <v>0</v>
      </c>
      <c r="W274">
        <v>0</v>
      </c>
      <c r="X274">
        <v>409.11566377495501</v>
      </c>
      <c r="Y274">
        <v>207.726479498304</v>
      </c>
      <c r="Z274" t="s">
        <v>51</v>
      </c>
    </row>
    <row r="275" spans="1:26">
      <c r="A275" t="s">
        <v>13</v>
      </c>
      <c r="B275">
        <v>2025</v>
      </c>
      <c r="C275" t="s">
        <v>425</v>
      </c>
      <c r="D275">
        <v>119.750645646718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0</v>
      </c>
      <c r="K275">
        <v>57.599999999999902</v>
      </c>
      <c r="L275">
        <v>1019.60748819523</v>
      </c>
      <c r="M275">
        <v>27.030618671622801</v>
      </c>
      <c r="N275">
        <v>0</v>
      </c>
      <c r="O275" s="1">
        <v>0</v>
      </c>
      <c r="P275">
        <v>0</v>
      </c>
      <c r="Q275">
        <v>1402.1887525135701</v>
      </c>
      <c r="R275">
        <v>0</v>
      </c>
      <c r="S275">
        <v>0</v>
      </c>
      <c r="T275">
        <v>1100.87901145</v>
      </c>
      <c r="U275">
        <v>0</v>
      </c>
      <c r="V275">
        <v>0</v>
      </c>
      <c r="W275">
        <v>0</v>
      </c>
      <c r="X275">
        <v>301.30974106357201</v>
      </c>
      <c r="Y275">
        <v>207.726479498304</v>
      </c>
      <c r="Z275" t="s">
        <v>51</v>
      </c>
    </row>
    <row r="276" spans="1:26">
      <c r="A276" t="s">
        <v>13</v>
      </c>
      <c r="B276">
        <v>2025</v>
      </c>
      <c r="C276" t="s">
        <v>426</v>
      </c>
      <c r="D276">
        <v>119.750645646718</v>
      </c>
      <c r="E276">
        <v>0</v>
      </c>
      <c r="F276">
        <v>0</v>
      </c>
      <c r="G276">
        <v>315.33015875040701</v>
      </c>
      <c r="H276">
        <v>178.2</v>
      </c>
      <c r="I276">
        <v>0</v>
      </c>
      <c r="J276">
        <v>0</v>
      </c>
      <c r="K276">
        <v>57.599999999999902</v>
      </c>
      <c r="L276">
        <v>0</v>
      </c>
      <c r="M276" s="1">
        <v>46.278660219874098</v>
      </c>
      <c r="N276">
        <v>0</v>
      </c>
      <c r="O276">
        <v>0</v>
      </c>
      <c r="P276" s="1">
        <v>0</v>
      </c>
      <c r="Q276">
        <v>717.159464616999</v>
      </c>
      <c r="R276">
        <v>0</v>
      </c>
      <c r="S276">
        <v>120</v>
      </c>
      <c r="T276">
        <v>1195.9420923099999</v>
      </c>
      <c r="U276">
        <v>0</v>
      </c>
      <c r="V276">
        <v>0</v>
      </c>
      <c r="W276">
        <v>0</v>
      </c>
      <c r="X276">
        <v>-358.78262769299897</v>
      </c>
      <c r="Y276">
        <v>210.929349134658</v>
      </c>
      <c r="Z276" t="s">
        <v>51</v>
      </c>
    </row>
    <row r="277" spans="1:26">
      <c r="A277" t="s">
        <v>13</v>
      </c>
      <c r="B277">
        <v>2025</v>
      </c>
      <c r="C277" t="s">
        <v>427</v>
      </c>
      <c r="D277">
        <v>119.750645646718</v>
      </c>
      <c r="E277">
        <v>0</v>
      </c>
      <c r="F277">
        <v>0</v>
      </c>
      <c r="G277">
        <v>290.02527366828298</v>
      </c>
      <c r="H277">
        <v>178.2</v>
      </c>
      <c r="I277">
        <v>0</v>
      </c>
      <c r="J277">
        <v>0</v>
      </c>
      <c r="K277">
        <v>57.599999999999902</v>
      </c>
      <c r="L277">
        <v>0</v>
      </c>
      <c r="M277">
        <v>76.486792565998599</v>
      </c>
      <c r="N277">
        <v>0</v>
      </c>
      <c r="O277">
        <v>0</v>
      </c>
      <c r="P277">
        <v>0</v>
      </c>
      <c r="Q277">
        <v>722.06271188100004</v>
      </c>
      <c r="R277">
        <v>0</v>
      </c>
      <c r="S277">
        <v>0</v>
      </c>
      <c r="T277">
        <v>1031.5181598300001</v>
      </c>
      <c r="U277">
        <v>0</v>
      </c>
      <c r="V277">
        <v>0</v>
      </c>
      <c r="W277">
        <v>0</v>
      </c>
      <c r="X277">
        <v>-309.45544794900002</v>
      </c>
      <c r="Y277">
        <v>210.929349134658</v>
      </c>
      <c r="Z277" t="s">
        <v>51</v>
      </c>
    </row>
    <row r="278" spans="1:26">
      <c r="A278" t="s">
        <v>13</v>
      </c>
      <c r="B278">
        <v>2025</v>
      </c>
      <c r="C278" t="s">
        <v>428</v>
      </c>
      <c r="D278">
        <v>119.750645646718</v>
      </c>
      <c r="E278">
        <v>0</v>
      </c>
      <c r="F278">
        <v>0</v>
      </c>
      <c r="G278">
        <v>90.643111072500503</v>
      </c>
      <c r="H278">
        <v>178.2</v>
      </c>
      <c r="I278">
        <v>0</v>
      </c>
      <c r="J278">
        <v>0</v>
      </c>
      <c r="K278">
        <v>57.599999999999902</v>
      </c>
      <c r="L278">
        <v>0</v>
      </c>
      <c r="M278">
        <v>76.935764086281097</v>
      </c>
      <c r="N278">
        <v>0</v>
      </c>
      <c r="O278">
        <v>0</v>
      </c>
      <c r="P278">
        <v>0</v>
      </c>
      <c r="Q278">
        <v>523.12952080549906</v>
      </c>
      <c r="R278">
        <v>0</v>
      </c>
      <c r="S278">
        <v>0</v>
      </c>
      <c r="T278">
        <v>747.32788686499998</v>
      </c>
      <c r="U278">
        <v>0</v>
      </c>
      <c r="V278">
        <v>0</v>
      </c>
      <c r="W278">
        <v>0</v>
      </c>
      <c r="X278">
        <v>-224.19836605949999</v>
      </c>
      <c r="Y278">
        <v>207.726479498304</v>
      </c>
      <c r="Z278" t="s">
        <v>51</v>
      </c>
    </row>
    <row r="279" spans="1:26">
      <c r="A279" t="s">
        <v>13</v>
      </c>
      <c r="B279">
        <v>2025</v>
      </c>
      <c r="C279" t="s">
        <v>357</v>
      </c>
      <c r="D279">
        <v>119.750645646718</v>
      </c>
      <c r="E279">
        <v>0</v>
      </c>
      <c r="F279">
        <v>0</v>
      </c>
      <c r="G279">
        <v>13.813603973727799</v>
      </c>
      <c r="H279">
        <v>178.2</v>
      </c>
      <c r="I279">
        <v>0</v>
      </c>
      <c r="J279">
        <v>0</v>
      </c>
      <c r="K279">
        <v>57.599999999999902</v>
      </c>
      <c r="L279">
        <v>0</v>
      </c>
      <c r="M279">
        <v>11.3492299329539</v>
      </c>
      <c r="N279">
        <v>0</v>
      </c>
      <c r="O279">
        <v>0</v>
      </c>
      <c r="P279">
        <v>0</v>
      </c>
      <c r="Q279">
        <v>380.71347955340002</v>
      </c>
      <c r="R279">
        <v>0</v>
      </c>
      <c r="S279">
        <v>0</v>
      </c>
      <c r="T279">
        <v>543.87639936200003</v>
      </c>
      <c r="U279">
        <v>0</v>
      </c>
      <c r="V279">
        <v>0</v>
      </c>
      <c r="W279">
        <v>0</v>
      </c>
      <c r="X279">
        <v>-163.16291980860001</v>
      </c>
      <c r="Y279">
        <v>863.62459662876802</v>
      </c>
      <c r="Z279" t="s">
        <v>52</v>
      </c>
    </row>
    <row r="280" spans="1:26">
      <c r="A280" t="s">
        <v>13</v>
      </c>
      <c r="B280">
        <v>2025</v>
      </c>
      <c r="C280" t="s">
        <v>358</v>
      </c>
      <c r="D280">
        <v>119.750645646718</v>
      </c>
      <c r="E280">
        <v>0</v>
      </c>
      <c r="F280">
        <v>0</v>
      </c>
      <c r="G280">
        <v>149.37599999999901</v>
      </c>
      <c r="H280">
        <v>178.2</v>
      </c>
      <c r="I280">
        <v>0</v>
      </c>
      <c r="J280">
        <v>0</v>
      </c>
      <c r="K280">
        <v>57.599999999999902</v>
      </c>
      <c r="L280">
        <v>0</v>
      </c>
      <c r="M280">
        <v>31.843799226399899</v>
      </c>
      <c r="N280">
        <v>0</v>
      </c>
      <c r="O280">
        <v>0</v>
      </c>
      <c r="P280" s="1">
        <v>0</v>
      </c>
      <c r="Q280">
        <v>536.77044487311798</v>
      </c>
      <c r="R280">
        <v>0</v>
      </c>
      <c r="S280">
        <v>0</v>
      </c>
      <c r="T280">
        <v>481.39494627400001</v>
      </c>
      <c r="U280">
        <v>0</v>
      </c>
      <c r="V280">
        <v>0</v>
      </c>
      <c r="W280">
        <v>0</v>
      </c>
      <c r="X280">
        <v>55.375498599118103</v>
      </c>
      <c r="Y280">
        <v>863.62459662876802</v>
      </c>
      <c r="Z280" t="s">
        <v>52</v>
      </c>
    </row>
    <row r="281" spans="1:26">
      <c r="A281" t="s">
        <v>13</v>
      </c>
      <c r="B281">
        <v>2025</v>
      </c>
      <c r="C281" t="s">
        <v>359</v>
      </c>
      <c r="D281">
        <v>119.750645646718</v>
      </c>
      <c r="E281">
        <v>0</v>
      </c>
      <c r="F281">
        <v>0</v>
      </c>
      <c r="G281">
        <v>14.6843490277636</v>
      </c>
      <c r="H281">
        <v>178.2</v>
      </c>
      <c r="I281">
        <v>0</v>
      </c>
      <c r="J281">
        <v>0</v>
      </c>
      <c r="K281">
        <v>57.599999999999902</v>
      </c>
      <c r="L281">
        <v>0</v>
      </c>
      <c r="M281">
        <v>46.271087514218102</v>
      </c>
      <c r="N281">
        <v>0</v>
      </c>
      <c r="O281">
        <v>0</v>
      </c>
      <c r="P281" s="1">
        <v>0</v>
      </c>
      <c r="Q281">
        <v>416.50608218870002</v>
      </c>
      <c r="R281">
        <v>0</v>
      </c>
      <c r="S281">
        <v>0</v>
      </c>
      <c r="T281">
        <v>595.00868884099998</v>
      </c>
      <c r="U281">
        <v>0</v>
      </c>
      <c r="V281">
        <v>0</v>
      </c>
      <c r="W281">
        <v>0</v>
      </c>
      <c r="X281">
        <v>-178.50260665229999</v>
      </c>
      <c r="Y281">
        <v>863.62459662876802</v>
      </c>
      <c r="Z281" t="s">
        <v>52</v>
      </c>
    </row>
    <row r="282" spans="1:26">
      <c r="A282" t="s">
        <v>13</v>
      </c>
      <c r="B282">
        <v>2025</v>
      </c>
      <c r="C282" t="s">
        <v>360</v>
      </c>
      <c r="D282">
        <v>119.750645646718</v>
      </c>
      <c r="E282">
        <v>0</v>
      </c>
      <c r="F282">
        <v>0</v>
      </c>
      <c r="G282">
        <v>236.68723908360801</v>
      </c>
      <c r="H282">
        <v>178.2</v>
      </c>
      <c r="I282">
        <v>0</v>
      </c>
      <c r="J282">
        <v>0</v>
      </c>
      <c r="K282">
        <v>57.599999999999902</v>
      </c>
      <c r="L282">
        <v>0</v>
      </c>
      <c r="M282">
        <v>70.349135108473703</v>
      </c>
      <c r="N282">
        <v>0</v>
      </c>
      <c r="O282">
        <v>0</v>
      </c>
      <c r="P282">
        <v>0</v>
      </c>
      <c r="Q282">
        <v>662.58701983879905</v>
      </c>
      <c r="R282">
        <v>0</v>
      </c>
      <c r="S282">
        <v>0</v>
      </c>
      <c r="T282">
        <v>946.55288548399994</v>
      </c>
      <c r="U282">
        <v>0</v>
      </c>
      <c r="V282">
        <v>0</v>
      </c>
      <c r="W282">
        <v>0</v>
      </c>
      <c r="X282">
        <v>-283.96586564519998</v>
      </c>
      <c r="Y282">
        <v>863.62459662876802</v>
      </c>
      <c r="Z282" t="s">
        <v>52</v>
      </c>
    </row>
    <row r="283" spans="1:26">
      <c r="A283" t="s">
        <v>13</v>
      </c>
      <c r="B283">
        <v>2025</v>
      </c>
      <c r="C283" t="s">
        <v>361</v>
      </c>
      <c r="D283">
        <v>119.750645646718</v>
      </c>
      <c r="E283">
        <v>0</v>
      </c>
      <c r="F283">
        <v>0</v>
      </c>
      <c r="G283">
        <v>49.727999999999902</v>
      </c>
      <c r="H283">
        <v>178.2</v>
      </c>
      <c r="I283">
        <v>0</v>
      </c>
      <c r="J283">
        <v>0</v>
      </c>
      <c r="K283">
        <v>57.599999999999902</v>
      </c>
      <c r="L283">
        <v>672.42590292754801</v>
      </c>
      <c r="M283" s="1">
        <v>94.744806146517206</v>
      </c>
      <c r="N283">
        <v>0</v>
      </c>
      <c r="O283" s="1">
        <v>0</v>
      </c>
      <c r="P283">
        <v>0</v>
      </c>
      <c r="Q283">
        <v>1172.4493547207801</v>
      </c>
      <c r="R283">
        <v>0</v>
      </c>
      <c r="S283">
        <v>0</v>
      </c>
      <c r="T283">
        <v>1060.1666280500001</v>
      </c>
      <c r="U283">
        <v>0</v>
      </c>
      <c r="V283">
        <v>0</v>
      </c>
      <c r="W283">
        <v>0</v>
      </c>
      <c r="X283">
        <v>112.282726670784</v>
      </c>
      <c r="Y283">
        <v>863.62459662876802</v>
      </c>
      <c r="Z283" t="s">
        <v>52</v>
      </c>
    </row>
    <row r="284" spans="1:26">
      <c r="A284" t="s">
        <v>13</v>
      </c>
      <c r="B284">
        <v>2025</v>
      </c>
      <c r="C284" t="s">
        <v>362</v>
      </c>
      <c r="D284">
        <v>119.750645646718</v>
      </c>
      <c r="E284">
        <v>0</v>
      </c>
      <c r="F284">
        <v>0</v>
      </c>
      <c r="G284">
        <v>0</v>
      </c>
      <c r="H284">
        <v>178.2</v>
      </c>
      <c r="I284">
        <v>0</v>
      </c>
      <c r="J284">
        <v>0</v>
      </c>
      <c r="K284">
        <v>57.599999999999902</v>
      </c>
      <c r="L284">
        <v>814.372180256668</v>
      </c>
      <c r="M284" s="1">
        <v>110.99590733617499</v>
      </c>
      <c r="N284">
        <v>0</v>
      </c>
      <c r="O284" s="1">
        <v>-1.4210854715202001E-14</v>
      </c>
      <c r="P284">
        <v>0</v>
      </c>
      <c r="Q284">
        <v>1280.91873323956</v>
      </c>
      <c r="R284">
        <v>0</v>
      </c>
      <c r="S284">
        <v>0</v>
      </c>
      <c r="T284">
        <v>1132.1529111699999</v>
      </c>
      <c r="U284">
        <v>0</v>
      </c>
      <c r="V284">
        <v>0</v>
      </c>
      <c r="W284">
        <v>0</v>
      </c>
      <c r="X284">
        <v>148.76582206956101</v>
      </c>
      <c r="Y284">
        <v>863.62459662876802</v>
      </c>
      <c r="Z284" t="s">
        <v>52</v>
      </c>
    </row>
    <row r="285" spans="1:26">
      <c r="A285" t="s">
        <v>13</v>
      </c>
      <c r="B285">
        <v>2025</v>
      </c>
      <c r="C285" t="s">
        <v>363</v>
      </c>
      <c r="D285">
        <v>119.750645646718</v>
      </c>
      <c r="E285">
        <v>0</v>
      </c>
      <c r="F285">
        <v>0</v>
      </c>
      <c r="G285">
        <v>199.10399999999899</v>
      </c>
      <c r="H285">
        <v>0</v>
      </c>
      <c r="I285">
        <v>178.2</v>
      </c>
      <c r="J285">
        <v>0</v>
      </c>
      <c r="K285">
        <v>57.599999999999902</v>
      </c>
      <c r="L285">
        <v>828.35121076659198</v>
      </c>
      <c r="M285">
        <v>132.68730320390901</v>
      </c>
      <c r="N285">
        <v>0</v>
      </c>
      <c r="O285" s="1">
        <v>0</v>
      </c>
      <c r="P285">
        <v>0</v>
      </c>
      <c r="Q285">
        <v>1515.6931596172101</v>
      </c>
      <c r="R285">
        <v>0</v>
      </c>
      <c r="S285">
        <v>0</v>
      </c>
      <c r="T285">
        <v>1141.2403934399999</v>
      </c>
      <c r="U285">
        <v>0</v>
      </c>
      <c r="V285">
        <v>0</v>
      </c>
      <c r="W285">
        <v>0</v>
      </c>
      <c r="X285">
        <v>374.45276617721902</v>
      </c>
      <c r="Y285">
        <v>863.62459662876802</v>
      </c>
      <c r="Z285" t="s">
        <v>52</v>
      </c>
    </row>
    <row r="286" spans="1:26">
      <c r="A286" t="s">
        <v>13</v>
      </c>
      <c r="B286">
        <v>2025</v>
      </c>
      <c r="C286" t="s">
        <v>364</v>
      </c>
      <c r="D286">
        <v>119.750645646718</v>
      </c>
      <c r="E286">
        <v>0</v>
      </c>
      <c r="F286">
        <v>0</v>
      </c>
      <c r="G286">
        <v>134.913187309157</v>
      </c>
      <c r="H286">
        <v>178.2</v>
      </c>
      <c r="I286">
        <v>0</v>
      </c>
      <c r="J286">
        <v>0</v>
      </c>
      <c r="K286">
        <v>57.599999999999902</v>
      </c>
      <c r="L286">
        <v>935.02834382992899</v>
      </c>
      <c r="M286">
        <v>141.0434136856</v>
      </c>
      <c r="N286">
        <v>0</v>
      </c>
      <c r="O286" s="1">
        <v>0</v>
      </c>
      <c r="P286">
        <v>0</v>
      </c>
      <c r="Q286">
        <v>1566.5355904713999</v>
      </c>
      <c r="R286">
        <v>0</v>
      </c>
      <c r="S286">
        <v>0</v>
      </c>
      <c r="T286">
        <v>1124.6271755600001</v>
      </c>
      <c r="U286">
        <v>0</v>
      </c>
      <c r="V286">
        <v>0</v>
      </c>
      <c r="W286">
        <v>0</v>
      </c>
      <c r="X286">
        <v>441.90841491140498</v>
      </c>
      <c r="Y286">
        <v>863.62459662876802</v>
      </c>
      <c r="Z286" t="s">
        <v>52</v>
      </c>
    </row>
    <row r="287" spans="1:26">
      <c r="A287" t="s">
        <v>13</v>
      </c>
      <c r="B287">
        <v>2025</v>
      </c>
      <c r="C287" t="s">
        <v>365</v>
      </c>
      <c r="D287">
        <v>119.750645646718</v>
      </c>
      <c r="E287">
        <v>0</v>
      </c>
      <c r="F287">
        <v>0</v>
      </c>
      <c r="G287">
        <v>149.37599999999901</v>
      </c>
      <c r="H287">
        <v>178.2</v>
      </c>
      <c r="I287">
        <v>0</v>
      </c>
      <c r="J287">
        <v>0</v>
      </c>
      <c r="K287">
        <v>57.599999999999902</v>
      </c>
      <c r="L287">
        <v>795.29876606433402</v>
      </c>
      <c r="M287">
        <v>123.28239552163799</v>
      </c>
      <c r="N287">
        <v>0</v>
      </c>
      <c r="O287" s="1">
        <v>-7.1054273576010003E-15</v>
      </c>
      <c r="P287">
        <v>0</v>
      </c>
      <c r="Q287">
        <v>1423.5078072326901</v>
      </c>
      <c r="R287">
        <v>0</v>
      </c>
      <c r="S287">
        <v>0</v>
      </c>
      <c r="T287">
        <v>1132.3953163399999</v>
      </c>
      <c r="U287">
        <v>0</v>
      </c>
      <c r="V287">
        <v>0</v>
      </c>
      <c r="W287">
        <v>0</v>
      </c>
      <c r="X287">
        <v>291.11249089269103</v>
      </c>
      <c r="Y287">
        <v>863.62459662876802</v>
      </c>
      <c r="Z287" t="s">
        <v>52</v>
      </c>
    </row>
    <row r="288" spans="1:26">
      <c r="A288" t="s">
        <v>13</v>
      </c>
      <c r="B288">
        <v>2025</v>
      </c>
      <c r="C288" t="s">
        <v>366</v>
      </c>
      <c r="D288">
        <v>119.750645646718</v>
      </c>
      <c r="E288">
        <v>0</v>
      </c>
      <c r="F288">
        <v>0</v>
      </c>
      <c r="G288">
        <v>327.74399999999901</v>
      </c>
      <c r="H288">
        <v>178.2</v>
      </c>
      <c r="I288">
        <v>0</v>
      </c>
      <c r="J288">
        <v>0</v>
      </c>
      <c r="K288">
        <v>57.599999999999902</v>
      </c>
      <c r="L288">
        <v>0</v>
      </c>
      <c r="M288" s="1">
        <v>113.947311901954</v>
      </c>
      <c r="N288">
        <v>0</v>
      </c>
      <c r="O288">
        <v>0</v>
      </c>
      <c r="P288">
        <v>0</v>
      </c>
      <c r="Q288">
        <v>797.24195754867299</v>
      </c>
      <c r="R288">
        <v>0</v>
      </c>
      <c r="S288">
        <v>71.986349874326805</v>
      </c>
      <c r="T288">
        <v>1241.75472489</v>
      </c>
      <c r="U288">
        <v>0</v>
      </c>
      <c r="V288">
        <v>0</v>
      </c>
      <c r="W288">
        <v>0</v>
      </c>
      <c r="X288">
        <v>-372.52641746699999</v>
      </c>
      <c r="Y288">
        <v>866.82746626512301</v>
      </c>
      <c r="Z288" t="s">
        <v>52</v>
      </c>
    </row>
    <row r="289" spans="1:26">
      <c r="A289" t="s">
        <v>13</v>
      </c>
      <c r="B289">
        <v>2025</v>
      </c>
      <c r="C289" t="s">
        <v>367</v>
      </c>
      <c r="D289">
        <v>119.750645646718</v>
      </c>
      <c r="E289">
        <v>0</v>
      </c>
      <c r="F289">
        <v>0</v>
      </c>
      <c r="G289">
        <v>259.07471925837598</v>
      </c>
      <c r="H289">
        <v>178.2</v>
      </c>
      <c r="I289">
        <v>0</v>
      </c>
      <c r="J289">
        <v>0</v>
      </c>
      <c r="K289">
        <v>57.599999999999902</v>
      </c>
      <c r="L289">
        <v>0</v>
      </c>
      <c r="M289">
        <v>90.956060013232403</v>
      </c>
      <c r="N289">
        <v>0</v>
      </c>
      <c r="O289">
        <v>0</v>
      </c>
      <c r="P289">
        <v>0</v>
      </c>
      <c r="Q289">
        <v>705.58142491832598</v>
      </c>
      <c r="R289">
        <v>0</v>
      </c>
      <c r="S289">
        <v>48.013650125673102</v>
      </c>
      <c r="T289">
        <v>1076.56439292</v>
      </c>
      <c r="U289">
        <v>0</v>
      </c>
      <c r="V289">
        <v>0</v>
      </c>
      <c r="W289">
        <v>0</v>
      </c>
      <c r="X289">
        <v>-322.96931787599999</v>
      </c>
      <c r="Y289">
        <v>866.82746626512301</v>
      </c>
      <c r="Z289" t="s">
        <v>52</v>
      </c>
    </row>
    <row r="290" spans="1:26">
      <c r="A290" t="s">
        <v>13</v>
      </c>
      <c r="B290">
        <v>2025</v>
      </c>
      <c r="C290" t="s">
        <v>368</v>
      </c>
      <c r="D290">
        <v>119.750645646718</v>
      </c>
      <c r="E290">
        <v>0</v>
      </c>
      <c r="F290">
        <v>0</v>
      </c>
      <c r="G290">
        <v>248.928</v>
      </c>
      <c r="H290">
        <v>178.2</v>
      </c>
      <c r="I290">
        <v>0</v>
      </c>
      <c r="J290">
        <v>0</v>
      </c>
      <c r="K290">
        <v>57.599999999999902</v>
      </c>
      <c r="L290">
        <v>0</v>
      </c>
      <c r="M290">
        <v>91.911361052600697</v>
      </c>
      <c r="N290">
        <v>0</v>
      </c>
      <c r="O290">
        <v>0</v>
      </c>
      <c r="P290">
        <v>0</v>
      </c>
      <c r="Q290">
        <v>696.39000669931795</v>
      </c>
      <c r="R290">
        <v>0</v>
      </c>
      <c r="S290">
        <v>0</v>
      </c>
      <c r="T290">
        <v>799.16059857100004</v>
      </c>
      <c r="U290">
        <v>0</v>
      </c>
      <c r="V290">
        <v>0</v>
      </c>
      <c r="W290">
        <v>0</v>
      </c>
      <c r="X290">
        <v>-102.77059187168101</v>
      </c>
      <c r="Y290">
        <v>863.62459662876802</v>
      </c>
      <c r="Z290" t="s">
        <v>52</v>
      </c>
    </row>
    <row r="291" spans="1:26">
      <c r="A291" t="s">
        <v>13</v>
      </c>
      <c r="B291">
        <v>2030</v>
      </c>
      <c r="C291" t="s">
        <v>501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57.599999999999902</v>
      </c>
      <c r="L291">
        <v>0</v>
      </c>
      <c r="M291">
        <v>177.50992810907701</v>
      </c>
      <c r="N291">
        <v>0</v>
      </c>
      <c r="O291" s="1">
        <v>0</v>
      </c>
      <c r="P291">
        <v>0</v>
      </c>
      <c r="Q291">
        <v>235.109928109077</v>
      </c>
      <c r="R291">
        <v>262.35888043376701</v>
      </c>
      <c r="S291">
        <v>100</v>
      </c>
      <c r="T291">
        <v>488.457848334</v>
      </c>
      <c r="U291">
        <v>0</v>
      </c>
      <c r="V291">
        <v>0</v>
      </c>
      <c r="W291">
        <v>255.54831470904401</v>
      </c>
      <c r="X291">
        <v>-146.5373545002</v>
      </c>
      <c r="Y291">
        <v>0</v>
      </c>
      <c r="Z291" t="s">
        <v>52</v>
      </c>
    </row>
    <row r="292" spans="1:26">
      <c r="A292" t="s">
        <v>13</v>
      </c>
      <c r="B292">
        <v>2030</v>
      </c>
      <c r="C292" t="s">
        <v>502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57.599999999999902</v>
      </c>
      <c r="L292">
        <v>0</v>
      </c>
      <c r="M292">
        <v>170.115339907758</v>
      </c>
      <c r="N292">
        <v>0</v>
      </c>
      <c r="O292" s="1">
        <v>0</v>
      </c>
      <c r="P292" s="1">
        <v>0</v>
      </c>
      <c r="Q292">
        <v>227.71533990775799</v>
      </c>
      <c r="R292">
        <v>0</v>
      </c>
      <c r="S292">
        <v>250</v>
      </c>
      <c r="T292">
        <v>433.80914424899998</v>
      </c>
      <c r="U292">
        <v>0</v>
      </c>
      <c r="V292">
        <v>0</v>
      </c>
      <c r="W292">
        <v>174.048938933458</v>
      </c>
      <c r="X292">
        <v>-130.1427432747</v>
      </c>
      <c r="Y292">
        <v>0</v>
      </c>
      <c r="Z292" t="s">
        <v>52</v>
      </c>
    </row>
    <row r="293" spans="1:26">
      <c r="A293" t="s">
        <v>13</v>
      </c>
      <c r="B293">
        <v>2030</v>
      </c>
      <c r="C293" t="s">
        <v>503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57.599999999999902</v>
      </c>
      <c r="L293">
        <v>0</v>
      </c>
      <c r="M293">
        <v>140.25989690914199</v>
      </c>
      <c r="N293">
        <v>0</v>
      </c>
      <c r="O293">
        <v>0</v>
      </c>
      <c r="P293">
        <v>0</v>
      </c>
      <c r="Q293">
        <v>197.85989690914201</v>
      </c>
      <c r="R293">
        <v>0</v>
      </c>
      <c r="S293">
        <v>250</v>
      </c>
      <c r="T293">
        <v>540.58223783200003</v>
      </c>
      <c r="U293">
        <v>0</v>
      </c>
      <c r="V293">
        <v>0</v>
      </c>
      <c r="W293">
        <v>69.452330426741895</v>
      </c>
      <c r="X293">
        <v>-162.1746713496</v>
      </c>
      <c r="Y293">
        <v>0</v>
      </c>
      <c r="Z293" t="s">
        <v>52</v>
      </c>
    </row>
    <row r="294" spans="1:26">
      <c r="A294" t="s">
        <v>13</v>
      </c>
      <c r="B294">
        <v>2030</v>
      </c>
      <c r="C294" t="s">
        <v>504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57.599999999999902</v>
      </c>
      <c r="L294">
        <v>0</v>
      </c>
      <c r="M294" s="1">
        <v>167.05115810497699</v>
      </c>
      <c r="N294">
        <v>0</v>
      </c>
      <c r="O294" s="1">
        <v>0</v>
      </c>
      <c r="P294" s="1">
        <v>0</v>
      </c>
      <c r="Q294">
        <v>224.65115810497699</v>
      </c>
      <c r="R294">
        <v>41.266136276222198</v>
      </c>
      <c r="S294">
        <v>350</v>
      </c>
      <c r="T294">
        <v>879.88184911600001</v>
      </c>
      <c r="U294">
        <v>0</v>
      </c>
      <c r="V294">
        <v>0</v>
      </c>
      <c r="W294">
        <v>0</v>
      </c>
      <c r="X294">
        <v>-263.9645547348</v>
      </c>
      <c r="Y294">
        <v>0</v>
      </c>
      <c r="Z294" t="s">
        <v>52</v>
      </c>
    </row>
    <row r="295" spans="1:26">
      <c r="A295" t="s">
        <v>13</v>
      </c>
      <c r="B295">
        <v>2030</v>
      </c>
      <c r="C295" t="s">
        <v>505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1276.2518667792101</v>
      </c>
      <c r="M295">
        <v>149.573206167801</v>
      </c>
      <c r="N295">
        <v>57.599999999999902</v>
      </c>
      <c r="O295" s="1">
        <v>395.18479958282802</v>
      </c>
      <c r="P295">
        <v>0</v>
      </c>
      <c r="Q295">
        <v>1425.8250729470101</v>
      </c>
      <c r="R295">
        <v>0</v>
      </c>
      <c r="S295">
        <v>0</v>
      </c>
      <c r="T295">
        <v>958.55959619099997</v>
      </c>
      <c r="U295">
        <v>0</v>
      </c>
      <c r="V295">
        <v>404.83335561331899</v>
      </c>
      <c r="W295">
        <v>350</v>
      </c>
      <c r="X295">
        <v>-287.5678788573</v>
      </c>
      <c r="Y295">
        <v>-511.87047618349402</v>
      </c>
      <c r="Z295" t="s">
        <v>52</v>
      </c>
    </row>
    <row r="296" spans="1:26">
      <c r="A296" t="s">
        <v>13</v>
      </c>
      <c r="B296">
        <v>2030</v>
      </c>
      <c r="C296" t="s">
        <v>506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2052.1382332991998</v>
      </c>
      <c r="M296" s="1">
        <v>128.984640260746</v>
      </c>
      <c r="N296">
        <v>57.599999999999902</v>
      </c>
      <c r="O296" s="1">
        <v>359.31382829134702</v>
      </c>
      <c r="P296" s="1">
        <v>0</v>
      </c>
      <c r="Q296">
        <v>2181.1228735599502</v>
      </c>
      <c r="R296">
        <v>0</v>
      </c>
      <c r="S296">
        <v>0</v>
      </c>
      <c r="T296">
        <v>1036.8143477599999</v>
      </c>
      <c r="U296">
        <v>0</v>
      </c>
      <c r="V296">
        <v>404.83335561331899</v>
      </c>
      <c r="W296">
        <v>350</v>
      </c>
      <c r="X296">
        <v>389.47517018663302</v>
      </c>
      <c r="Y296">
        <v>-511.87047618349402</v>
      </c>
      <c r="Z296" t="s">
        <v>52</v>
      </c>
    </row>
    <row r="297" spans="1:26">
      <c r="A297" t="s">
        <v>13</v>
      </c>
      <c r="B297">
        <v>2030</v>
      </c>
      <c r="C297" t="s">
        <v>507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2373.4254763208801</v>
      </c>
      <c r="M297" s="1">
        <v>105.97018924115601</v>
      </c>
      <c r="N297">
        <v>57.599999999999902</v>
      </c>
      <c r="O297" s="1">
        <v>282.06063713965898</v>
      </c>
      <c r="P297">
        <v>0</v>
      </c>
      <c r="Q297">
        <v>2479.39566556203</v>
      </c>
      <c r="R297">
        <v>0</v>
      </c>
      <c r="S297">
        <v>0</v>
      </c>
      <c r="T297">
        <v>1044.2920155100001</v>
      </c>
      <c r="U297">
        <v>0</v>
      </c>
      <c r="V297">
        <v>404.83335561331899</v>
      </c>
      <c r="W297">
        <v>350</v>
      </c>
      <c r="X297">
        <v>680.27029443871697</v>
      </c>
      <c r="Y297">
        <v>-511.87047618349402</v>
      </c>
      <c r="Z297" t="s">
        <v>52</v>
      </c>
    </row>
    <row r="298" spans="1:26">
      <c r="A298" t="s">
        <v>13</v>
      </c>
      <c r="B298">
        <v>2030</v>
      </c>
      <c r="C298" t="s">
        <v>508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2188.1609993975899</v>
      </c>
      <c r="M298" s="1">
        <v>108.577715067466</v>
      </c>
      <c r="N298">
        <v>57.599999999999902</v>
      </c>
      <c r="O298" s="1">
        <v>258.24209563424301</v>
      </c>
      <c r="P298">
        <v>0</v>
      </c>
      <c r="Q298">
        <v>2296.7387144650602</v>
      </c>
      <c r="R298">
        <v>0</v>
      </c>
      <c r="S298">
        <v>0</v>
      </c>
      <c r="T298">
        <v>1056.5453100100001</v>
      </c>
      <c r="U298">
        <v>0</v>
      </c>
      <c r="V298">
        <v>404.83335561331899</v>
      </c>
      <c r="W298">
        <v>350</v>
      </c>
      <c r="X298">
        <v>485.36004884174503</v>
      </c>
      <c r="Y298">
        <v>-511.87047618349402</v>
      </c>
      <c r="Z298" t="s">
        <v>52</v>
      </c>
    </row>
    <row r="299" spans="1:26">
      <c r="A299" t="s">
        <v>13</v>
      </c>
      <c r="B299">
        <v>2030</v>
      </c>
      <c r="C299" t="s">
        <v>509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2029.7012223546601</v>
      </c>
      <c r="M299" s="1">
        <v>83.587108022557402</v>
      </c>
      <c r="N299">
        <v>57.599999999999902</v>
      </c>
      <c r="O299" s="1">
        <v>326.63677246382099</v>
      </c>
      <c r="P299" s="1">
        <v>0</v>
      </c>
      <c r="Q299">
        <v>2113.2883303772201</v>
      </c>
      <c r="R299">
        <v>0</v>
      </c>
      <c r="S299">
        <v>0</v>
      </c>
      <c r="T299">
        <v>1049.69543122</v>
      </c>
      <c r="U299">
        <v>0</v>
      </c>
      <c r="V299">
        <v>404.83335561331899</v>
      </c>
      <c r="W299">
        <v>350</v>
      </c>
      <c r="X299">
        <v>308.75954354390302</v>
      </c>
      <c r="Y299">
        <v>-511.87047618349402</v>
      </c>
      <c r="Z299" t="s">
        <v>52</v>
      </c>
    </row>
    <row r="300" spans="1:26">
      <c r="A300" t="s">
        <v>13</v>
      </c>
      <c r="B300">
        <v>2030</v>
      </c>
      <c r="C300" t="s">
        <v>510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57.599999999999902</v>
      </c>
      <c r="L300">
        <v>6.0338113830843803</v>
      </c>
      <c r="M300" s="1">
        <v>123.34008108340601</v>
      </c>
      <c r="N300">
        <v>0</v>
      </c>
      <c r="O300" s="1">
        <v>-2.7755575615628901E-17</v>
      </c>
      <c r="P300">
        <v>0</v>
      </c>
      <c r="Q300">
        <v>186.97389246649101</v>
      </c>
      <c r="R300">
        <v>404.83335561331899</v>
      </c>
      <c r="S300">
        <v>211.71273397518701</v>
      </c>
      <c r="T300">
        <v>1147.88568865</v>
      </c>
      <c r="U300">
        <v>0</v>
      </c>
      <c r="V300">
        <v>0</v>
      </c>
      <c r="W300">
        <v>0</v>
      </c>
      <c r="X300">
        <v>-344.36570659500001</v>
      </c>
      <c r="Y300">
        <v>0</v>
      </c>
      <c r="Z300" t="s">
        <v>52</v>
      </c>
    </row>
    <row r="301" spans="1:26">
      <c r="A301" t="s">
        <v>13</v>
      </c>
      <c r="B301">
        <v>2030</v>
      </c>
      <c r="C301" t="s">
        <v>511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57.599999999999902</v>
      </c>
      <c r="L301">
        <v>0</v>
      </c>
      <c r="M301">
        <v>93.919376654042594</v>
      </c>
      <c r="N301">
        <v>0</v>
      </c>
      <c r="O301">
        <v>0</v>
      </c>
      <c r="P301" s="1">
        <v>0</v>
      </c>
      <c r="Q301">
        <v>151.51937665404199</v>
      </c>
      <c r="R301">
        <v>404.83335561331899</v>
      </c>
      <c r="S301">
        <v>158.356615805638</v>
      </c>
      <c r="T301">
        <v>1021.01335439</v>
      </c>
      <c r="U301">
        <v>0</v>
      </c>
      <c r="V301">
        <v>0</v>
      </c>
      <c r="W301">
        <v>0</v>
      </c>
      <c r="X301">
        <v>-306.30400631700002</v>
      </c>
      <c r="Y301">
        <v>0</v>
      </c>
      <c r="Z301" t="s">
        <v>52</v>
      </c>
    </row>
    <row r="302" spans="1:26">
      <c r="A302" t="s">
        <v>13</v>
      </c>
      <c r="B302">
        <v>2030</v>
      </c>
      <c r="C302" t="s">
        <v>512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57.599999999999902</v>
      </c>
      <c r="L302">
        <v>0</v>
      </c>
      <c r="M302">
        <v>111.526598805427</v>
      </c>
      <c r="N302">
        <v>0</v>
      </c>
      <c r="O302" s="1">
        <v>0</v>
      </c>
      <c r="P302" s="1">
        <v>0</v>
      </c>
      <c r="Q302">
        <v>169.12659880542699</v>
      </c>
      <c r="R302">
        <v>404.83335561331899</v>
      </c>
      <c r="S302">
        <v>250</v>
      </c>
      <c r="T302">
        <v>742.69380460800005</v>
      </c>
      <c r="U302">
        <v>0</v>
      </c>
      <c r="V302">
        <v>0</v>
      </c>
      <c r="W302">
        <v>304.07429119314702</v>
      </c>
      <c r="X302">
        <v>-222.80814138240001</v>
      </c>
      <c r="Y302">
        <v>0</v>
      </c>
      <c r="Z302" t="s">
        <v>52</v>
      </c>
    </row>
    <row r="303" spans="1:26">
      <c r="A303" t="s">
        <v>13</v>
      </c>
      <c r="B303">
        <v>2030</v>
      </c>
      <c r="C303" t="s">
        <v>429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57.599999999999902</v>
      </c>
      <c r="L303">
        <v>0</v>
      </c>
      <c r="M303">
        <v>73.995721161668598</v>
      </c>
      <c r="N303">
        <v>0</v>
      </c>
      <c r="O303">
        <v>0</v>
      </c>
      <c r="P303">
        <v>0</v>
      </c>
      <c r="Q303">
        <v>131.595721161668</v>
      </c>
      <c r="R303">
        <v>0</v>
      </c>
      <c r="S303">
        <v>168.69983688613101</v>
      </c>
      <c r="T303">
        <v>428.993654354</v>
      </c>
      <c r="U303">
        <v>0</v>
      </c>
      <c r="V303">
        <v>0</v>
      </c>
      <c r="W303">
        <v>0</v>
      </c>
      <c r="X303">
        <v>-128.6980963062</v>
      </c>
      <c r="Y303">
        <v>65.839599663930002</v>
      </c>
      <c r="Z303" t="s">
        <v>51</v>
      </c>
    </row>
    <row r="304" spans="1:26">
      <c r="A304" t="s">
        <v>13</v>
      </c>
      <c r="B304">
        <v>2030</v>
      </c>
      <c r="C304" t="s">
        <v>430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57.599999999999902</v>
      </c>
      <c r="L304">
        <v>0</v>
      </c>
      <c r="M304">
        <v>73.157940189801806</v>
      </c>
      <c r="N304">
        <v>0</v>
      </c>
      <c r="O304">
        <v>0</v>
      </c>
      <c r="P304">
        <v>0</v>
      </c>
      <c r="Q304">
        <v>130.75794018980099</v>
      </c>
      <c r="R304">
        <v>0</v>
      </c>
      <c r="S304">
        <v>126.74869320749799</v>
      </c>
      <c r="T304">
        <v>367.86661913900002</v>
      </c>
      <c r="U304">
        <v>0</v>
      </c>
      <c r="V304">
        <v>0</v>
      </c>
      <c r="W304">
        <v>0</v>
      </c>
      <c r="X304">
        <v>-110.3599857417</v>
      </c>
      <c r="Y304">
        <v>65.839599663930002</v>
      </c>
      <c r="Z304" t="s">
        <v>51</v>
      </c>
    </row>
    <row r="305" spans="1:26">
      <c r="A305" t="s">
        <v>13</v>
      </c>
      <c r="B305">
        <v>2030</v>
      </c>
      <c r="C305" t="s">
        <v>431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57.599999999999902</v>
      </c>
      <c r="L305">
        <v>0</v>
      </c>
      <c r="M305">
        <v>37.524389662161099</v>
      </c>
      <c r="N305">
        <v>0</v>
      </c>
      <c r="O305">
        <v>0</v>
      </c>
      <c r="P305" s="1">
        <v>0</v>
      </c>
      <c r="Q305">
        <v>95.124389662160993</v>
      </c>
      <c r="R305">
        <v>0</v>
      </c>
      <c r="S305">
        <v>226.59378856333799</v>
      </c>
      <c r="T305">
        <v>459.59739746499997</v>
      </c>
      <c r="U305">
        <v>0</v>
      </c>
      <c r="V305">
        <v>0</v>
      </c>
      <c r="W305">
        <v>0</v>
      </c>
      <c r="X305">
        <v>-137.87921923949901</v>
      </c>
      <c r="Y305">
        <v>65.839599663930002</v>
      </c>
      <c r="Z305" t="s">
        <v>51</v>
      </c>
    </row>
    <row r="306" spans="1:26">
      <c r="A306" t="s">
        <v>13</v>
      </c>
      <c r="B306">
        <v>2030</v>
      </c>
      <c r="C306" t="s">
        <v>432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57.599999999999902</v>
      </c>
      <c r="L306">
        <v>0</v>
      </c>
      <c r="M306">
        <v>47.141024065691298</v>
      </c>
      <c r="N306">
        <v>0</v>
      </c>
      <c r="O306" s="1">
        <v>0</v>
      </c>
      <c r="P306" s="1">
        <v>0</v>
      </c>
      <c r="Q306">
        <v>104.74102406569099</v>
      </c>
      <c r="R306">
        <v>110.14280366840801</v>
      </c>
      <c r="S306">
        <v>350</v>
      </c>
      <c r="T306">
        <v>806.97689676300001</v>
      </c>
      <c r="U306">
        <v>0</v>
      </c>
      <c r="V306">
        <v>0</v>
      </c>
      <c r="W306">
        <v>0</v>
      </c>
      <c r="X306">
        <v>-242.0930690289</v>
      </c>
      <c r="Y306">
        <v>65.839599663930002</v>
      </c>
      <c r="Z306" t="s">
        <v>51</v>
      </c>
    </row>
    <row r="307" spans="1:26">
      <c r="A307" t="s">
        <v>13</v>
      </c>
      <c r="B307">
        <v>2030</v>
      </c>
      <c r="C307" t="s">
        <v>433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1833.88856845393</v>
      </c>
      <c r="M307" s="1">
        <v>30.181240588640801</v>
      </c>
      <c r="N307">
        <v>57.599999999999902</v>
      </c>
      <c r="O307" s="1">
        <v>211.18437043293301</v>
      </c>
      <c r="P307" s="1">
        <v>0</v>
      </c>
      <c r="Q307">
        <v>1864.0698090425699</v>
      </c>
      <c r="R307">
        <v>0</v>
      </c>
      <c r="S307">
        <v>0</v>
      </c>
      <c r="T307">
        <v>897.24456457500003</v>
      </c>
      <c r="U307">
        <v>0</v>
      </c>
      <c r="V307">
        <v>0</v>
      </c>
      <c r="W307">
        <v>350</v>
      </c>
      <c r="X307">
        <v>616.82524446757202</v>
      </c>
      <c r="Y307">
        <v>-17.960367585385701</v>
      </c>
      <c r="Z307" t="s">
        <v>51</v>
      </c>
    </row>
    <row r="308" spans="1:26">
      <c r="A308" t="s">
        <v>13</v>
      </c>
      <c r="B308">
        <v>2030</v>
      </c>
      <c r="C308" t="s">
        <v>434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2082.14072440575</v>
      </c>
      <c r="M308">
        <v>1.9633972396125601</v>
      </c>
      <c r="N308">
        <v>57.599999999999902</v>
      </c>
      <c r="O308" s="1">
        <v>495.66058771111398</v>
      </c>
      <c r="P308" s="1">
        <v>8.84909395181805</v>
      </c>
      <c r="Q308">
        <v>2084.10412164536</v>
      </c>
      <c r="R308">
        <v>0</v>
      </c>
      <c r="S308">
        <v>0</v>
      </c>
      <c r="T308">
        <v>950.57301347700002</v>
      </c>
      <c r="U308">
        <v>0</v>
      </c>
      <c r="V308">
        <v>0</v>
      </c>
      <c r="W308">
        <v>350</v>
      </c>
      <c r="X308">
        <v>783.53110816836897</v>
      </c>
      <c r="Y308">
        <v>-17.960367585385701</v>
      </c>
      <c r="Z308" t="s">
        <v>51</v>
      </c>
    </row>
    <row r="309" spans="1:26">
      <c r="A309" t="s">
        <v>13</v>
      </c>
      <c r="B309">
        <v>2030</v>
      </c>
      <c r="C309" t="s">
        <v>435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1516.22209439171</v>
      </c>
      <c r="M309">
        <v>13.9068443190243</v>
      </c>
      <c r="N309">
        <v>57.599999999999902</v>
      </c>
      <c r="O309">
        <v>645.716525065366</v>
      </c>
      <c r="P309" s="1">
        <v>1.51044221872352</v>
      </c>
      <c r="Q309">
        <v>1530.1289387107399</v>
      </c>
      <c r="R309">
        <v>0</v>
      </c>
      <c r="S309">
        <v>0</v>
      </c>
      <c r="T309">
        <v>941.67375580600003</v>
      </c>
      <c r="U309">
        <v>0</v>
      </c>
      <c r="V309">
        <v>404.83335561331899</v>
      </c>
      <c r="W309">
        <v>350</v>
      </c>
      <c r="X309">
        <v>-166.37817270857499</v>
      </c>
      <c r="Y309">
        <v>-17.960367585385701</v>
      </c>
      <c r="Z309" t="s">
        <v>51</v>
      </c>
    </row>
    <row r="310" spans="1:26">
      <c r="A310" t="s">
        <v>13</v>
      </c>
      <c r="B310">
        <v>2030</v>
      </c>
      <c r="C310" t="s">
        <v>436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2043.01441095634</v>
      </c>
      <c r="M310">
        <v>18.0445488540038</v>
      </c>
      <c r="N310">
        <v>57.599999999999902</v>
      </c>
      <c r="O310" s="1">
        <v>51.723900262737502</v>
      </c>
      <c r="P310" s="1">
        <v>3.5251432417183502E-2</v>
      </c>
      <c r="Q310">
        <v>2061.0589598103502</v>
      </c>
      <c r="R310">
        <v>0</v>
      </c>
      <c r="S310">
        <v>0</v>
      </c>
      <c r="T310">
        <v>913.33837060600001</v>
      </c>
      <c r="U310">
        <v>0</v>
      </c>
      <c r="V310">
        <v>404.83335561331899</v>
      </c>
      <c r="W310">
        <v>350</v>
      </c>
      <c r="X310">
        <v>392.88723359103199</v>
      </c>
      <c r="Y310">
        <v>-17.960367585385701</v>
      </c>
      <c r="Z310" t="s">
        <v>51</v>
      </c>
    </row>
    <row r="311" spans="1:26">
      <c r="A311" t="s">
        <v>13</v>
      </c>
      <c r="B311">
        <v>2030</v>
      </c>
      <c r="C311" t="s">
        <v>437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1052.9984373408099</v>
      </c>
      <c r="M311" s="1">
        <v>21.932822506574102</v>
      </c>
      <c r="N311">
        <v>57.599999999999902</v>
      </c>
      <c r="O311" s="1">
        <v>357.24128282465801</v>
      </c>
      <c r="P311" s="1">
        <v>2.56140914039555E-2</v>
      </c>
      <c r="Q311">
        <v>1074.93125984739</v>
      </c>
      <c r="R311">
        <v>0</v>
      </c>
      <c r="S311">
        <v>0</v>
      </c>
      <c r="T311">
        <v>892.26479473899997</v>
      </c>
      <c r="U311">
        <v>0</v>
      </c>
      <c r="V311">
        <v>100.345903530093</v>
      </c>
      <c r="W311">
        <v>350</v>
      </c>
      <c r="X311">
        <v>-267.67943842169899</v>
      </c>
      <c r="Y311">
        <v>-17.960367585385701</v>
      </c>
      <c r="Z311" t="s">
        <v>51</v>
      </c>
    </row>
    <row r="312" spans="1:26">
      <c r="A312" t="s">
        <v>13</v>
      </c>
      <c r="B312">
        <v>2030</v>
      </c>
      <c r="C312" t="s">
        <v>438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57.599999999999902</v>
      </c>
      <c r="L312">
        <v>218.080457545494</v>
      </c>
      <c r="M312">
        <v>53.030940846355698</v>
      </c>
      <c r="N312">
        <v>0</v>
      </c>
      <c r="O312" s="1">
        <v>0</v>
      </c>
      <c r="P312" s="1">
        <v>0</v>
      </c>
      <c r="Q312">
        <v>328.71139839185003</v>
      </c>
      <c r="R312">
        <v>221.052149761838</v>
      </c>
      <c r="S312">
        <v>136.05481423141001</v>
      </c>
      <c r="T312">
        <v>979.74051769300002</v>
      </c>
      <c r="U312">
        <v>0</v>
      </c>
      <c r="V312">
        <v>0</v>
      </c>
      <c r="W312">
        <v>0</v>
      </c>
      <c r="X312">
        <v>-293.922155307899</v>
      </c>
      <c r="Y312">
        <v>65.839599663930002</v>
      </c>
      <c r="Z312" t="s">
        <v>51</v>
      </c>
    </row>
    <row r="313" spans="1:26">
      <c r="A313" t="s">
        <v>13</v>
      </c>
      <c r="B313">
        <v>2030</v>
      </c>
      <c r="C313" t="s">
        <v>439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57.599999999999902</v>
      </c>
      <c r="L313">
        <v>0</v>
      </c>
      <c r="M313">
        <v>65.674937834637007</v>
      </c>
      <c r="N313">
        <v>0</v>
      </c>
      <c r="O313">
        <v>0</v>
      </c>
      <c r="P313" s="1">
        <v>0</v>
      </c>
      <c r="Q313">
        <v>123.274937834637</v>
      </c>
      <c r="R313">
        <v>351.31450763730101</v>
      </c>
      <c r="S313">
        <v>120.906211436661</v>
      </c>
      <c r="T313">
        <v>850.70808129800002</v>
      </c>
      <c r="U313">
        <v>0</v>
      </c>
      <c r="V313">
        <v>0</v>
      </c>
      <c r="W313">
        <v>0</v>
      </c>
      <c r="X313">
        <v>-255.21242438939899</v>
      </c>
      <c r="Y313">
        <v>65.839599663930002</v>
      </c>
      <c r="Z313" t="s">
        <v>51</v>
      </c>
    </row>
    <row r="314" spans="1:26">
      <c r="A314" t="s">
        <v>13</v>
      </c>
      <c r="B314">
        <v>2030</v>
      </c>
      <c r="C314" t="s">
        <v>440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57.599999999999902</v>
      </c>
      <c r="L314">
        <v>0</v>
      </c>
      <c r="M314">
        <v>49.6190695189404</v>
      </c>
      <c r="N314">
        <v>0</v>
      </c>
      <c r="O314">
        <v>0</v>
      </c>
      <c r="P314">
        <v>0</v>
      </c>
      <c r="Q314">
        <v>107.21906951894</v>
      </c>
      <c r="R314">
        <v>0</v>
      </c>
      <c r="S314">
        <v>338.49665567495902</v>
      </c>
      <c r="T314">
        <v>636.73675027700006</v>
      </c>
      <c r="U314">
        <v>0</v>
      </c>
      <c r="V314">
        <v>0</v>
      </c>
      <c r="W314">
        <v>0</v>
      </c>
      <c r="X314">
        <v>-191.0210250831</v>
      </c>
      <c r="Y314">
        <v>65.839599663930002</v>
      </c>
      <c r="Z314" t="s">
        <v>51</v>
      </c>
    </row>
    <row r="315" spans="1:26">
      <c r="A315" t="s">
        <v>13</v>
      </c>
      <c r="B315">
        <v>2030</v>
      </c>
      <c r="C315" t="s">
        <v>441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57.599999999999902</v>
      </c>
      <c r="L315">
        <v>0</v>
      </c>
      <c r="M315">
        <v>48.758166804818899</v>
      </c>
      <c r="N315">
        <v>0</v>
      </c>
      <c r="O315">
        <v>0</v>
      </c>
      <c r="P315" s="1">
        <v>0</v>
      </c>
      <c r="Q315">
        <v>106.358166804818</v>
      </c>
      <c r="R315">
        <v>266.51227351835598</v>
      </c>
      <c r="S315">
        <v>150</v>
      </c>
      <c r="T315">
        <v>462.08056447899997</v>
      </c>
      <c r="U315">
        <v>0</v>
      </c>
      <c r="V315">
        <v>0</v>
      </c>
      <c r="W315">
        <v>199.41404518787499</v>
      </c>
      <c r="X315">
        <v>-138.62416934369901</v>
      </c>
      <c r="Y315">
        <v>0</v>
      </c>
      <c r="Z315" t="s">
        <v>52</v>
      </c>
    </row>
    <row r="316" spans="1:26">
      <c r="A316" t="s">
        <v>13</v>
      </c>
      <c r="B316">
        <v>2030</v>
      </c>
      <c r="C316" t="s">
        <v>442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57.599999999999902</v>
      </c>
      <c r="L316">
        <v>0</v>
      </c>
      <c r="M316">
        <v>51.548940384827198</v>
      </c>
      <c r="N316">
        <v>0</v>
      </c>
      <c r="O316">
        <v>0</v>
      </c>
      <c r="P316" s="1">
        <v>0</v>
      </c>
      <c r="Q316">
        <v>109.148940384827</v>
      </c>
      <c r="R316">
        <v>0</v>
      </c>
      <c r="S316">
        <v>200</v>
      </c>
      <c r="T316">
        <v>407.14145693400002</v>
      </c>
      <c r="U316">
        <v>0</v>
      </c>
      <c r="V316">
        <v>0</v>
      </c>
      <c r="W316">
        <v>24.149920531027099</v>
      </c>
      <c r="X316">
        <v>-122.1424370802</v>
      </c>
      <c r="Y316">
        <v>0</v>
      </c>
      <c r="Z316" t="s">
        <v>52</v>
      </c>
    </row>
    <row r="317" spans="1:26">
      <c r="A317" t="s">
        <v>13</v>
      </c>
      <c r="B317">
        <v>2030</v>
      </c>
      <c r="C317" t="s">
        <v>443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57.599999999999902</v>
      </c>
      <c r="L317">
        <v>0</v>
      </c>
      <c r="M317">
        <v>25.537735395918599</v>
      </c>
      <c r="N317">
        <v>0</v>
      </c>
      <c r="O317">
        <v>0</v>
      </c>
      <c r="P317" s="1">
        <v>0</v>
      </c>
      <c r="Q317">
        <v>83.137735395918597</v>
      </c>
      <c r="R317">
        <v>0</v>
      </c>
      <c r="S317">
        <v>350</v>
      </c>
      <c r="T317">
        <v>499.90580949399998</v>
      </c>
      <c r="U317">
        <v>0</v>
      </c>
      <c r="V317">
        <v>0</v>
      </c>
      <c r="W317">
        <v>83.203668750118695</v>
      </c>
      <c r="X317">
        <v>-149.97174284819999</v>
      </c>
      <c r="Y317">
        <v>0</v>
      </c>
      <c r="Z317" t="s">
        <v>52</v>
      </c>
    </row>
    <row r="318" spans="1:26">
      <c r="A318" t="s">
        <v>13</v>
      </c>
      <c r="B318">
        <v>2030</v>
      </c>
      <c r="C318" t="s">
        <v>444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57.599999999999902</v>
      </c>
      <c r="L318">
        <v>90.438782579541893</v>
      </c>
      <c r="M318" s="1">
        <v>41.702658015124499</v>
      </c>
      <c r="N318">
        <v>0</v>
      </c>
      <c r="O318" s="1">
        <v>-2.2204460492503101E-16</v>
      </c>
      <c r="P318" s="1">
        <v>0</v>
      </c>
      <c r="Q318">
        <v>189.74144059466599</v>
      </c>
      <c r="R318">
        <v>37.112743191632703</v>
      </c>
      <c r="S318">
        <v>350</v>
      </c>
      <c r="T318">
        <v>824.07740540899999</v>
      </c>
      <c r="U318">
        <v>0</v>
      </c>
      <c r="V318">
        <v>0</v>
      </c>
      <c r="W318">
        <v>0</v>
      </c>
      <c r="X318">
        <v>-247.22322162269899</v>
      </c>
      <c r="Y318">
        <v>0</v>
      </c>
      <c r="Z318" t="s">
        <v>52</v>
      </c>
    </row>
    <row r="319" spans="1:26">
      <c r="A319" t="s">
        <v>13</v>
      </c>
      <c r="B319">
        <v>2030</v>
      </c>
      <c r="C319" t="s">
        <v>445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1418.37146161909</v>
      </c>
      <c r="M319" s="1">
        <v>19.780917238419502</v>
      </c>
      <c r="N319">
        <v>57.599999999999902</v>
      </c>
      <c r="O319" s="1">
        <v>796.30332577138404</v>
      </c>
      <c r="P319" s="1">
        <v>20.482991069060599</v>
      </c>
      <c r="Q319">
        <v>1438.15237885751</v>
      </c>
      <c r="R319">
        <v>0</v>
      </c>
      <c r="S319">
        <v>0</v>
      </c>
      <c r="T319">
        <v>976.17003320599997</v>
      </c>
      <c r="U319">
        <v>0</v>
      </c>
      <c r="V319">
        <v>404.83335561331899</v>
      </c>
      <c r="W319">
        <v>350</v>
      </c>
      <c r="X319">
        <v>-292.8510099618</v>
      </c>
      <c r="Y319">
        <v>-511.87047618349402</v>
      </c>
      <c r="Z319" t="s">
        <v>52</v>
      </c>
    </row>
    <row r="320" spans="1:26">
      <c r="A320" t="s">
        <v>13</v>
      </c>
      <c r="B320">
        <v>2030</v>
      </c>
      <c r="C320" t="s">
        <v>446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2196.8885804240799</v>
      </c>
      <c r="M320">
        <v>23.653926379799699</v>
      </c>
      <c r="N320">
        <v>57.599999999999902</v>
      </c>
      <c r="O320" s="1">
        <v>1005.43556138449</v>
      </c>
      <c r="P320" s="1">
        <v>25.098571128921201</v>
      </c>
      <c r="Q320">
        <v>2220.5425068038799</v>
      </c>
      <c r="R320">
        <v>0</v>
      </c>
      <c r="S320">
        <v>0</v>
      </c>
      <c r="T320">
        <v>1058.1156916100001</v>
      </c>
      <c r="U320">
        <v>0</v>
      </c>
      <c r="V320">
        <v>404.83335561331899</v>
      </c>
      <c r="W320">
        <v>350</v>
      </c>
      <c r="X320">
        <v>407.59345958056701</v>
      </c>
      <c r="Y320">
        <v>-511.87047618349402</v>
      </c>
      <c r="Z320" t="s">
        <v>52</v>
      </c>
    </row>
    <row r="321" spans="1:26">
      <c r="A321" t="s">
        <v>13</v>
      </c>
      <c r="B321">
        <v>2030</v>
      </c>
      <c r="C321" t="s">
        <v>447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1489.93982818826</v>
      </c>
      <c r="M321">
        <v>25.568995285049901</v>
      </c>
      <c r="N321">
        <v>57.599999999999902</v>
      </c>
      <c r="O321">
        <v>1746.14327925515</v>
      </c>
      <c r="P321" s="1">
        <v>31.501329407593701</v>
      </c>
      <c r="Q321">
        <v>1515.50882347331</v>
      </c>
      <c r="R321">
        <v>0</v>
      </c>
      <c r="S321">
        <v>0</v>
      </c>
      <c r="T321">
        <v>1086.6792398</v>
      </c>
      <c r="U321">
        <v>0</v>
      </c>
      <c r="V321">
        <v>404.83335561331899</v>
      </c>
      <c r="W321">
        <v>350</v>
      </c>
      <c r="X321">
        <v>-326.00377193999998</v>
      </c>
      <c r="Y321">
        <v>-511.87047618349402</v>
      </c>
      <c r="Z321" t="s">
        <v>52</v>
      </c>
    </row>
    <row r="322" spans="1:26">
      <c r="A322" t="s">
        <v>13</v>
      </c>
      <c r="B322">
        <v>2030</v>
      </c>
      <c r="C322" t="s">
        <v>448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2759.3189849282999</v>
      </c>
      <c r="M322">
        <v>63.840392699461198</v>
      </c>
      <c r="N322">
        <v>57.599999999999902</v>
      </c>
      <c r="O322">
        <v>495.05486310749001</v>
      </c>
      <c r="P322" s="1">
        <v>0</v>
      </c>
      <c r="Q322">
        <v>2823.15937762776</v>
      </c>
      <c r="R322">
        <v>0</v>
      </c>
      <c r="S322">
        <v>0</v>
      </c>
      <c r="T322">
        <v>1083.01470464</v>
      </c>
      <c r="U322">
        <v>0</v>
      </c>
      <c r="V322">
        <v>404.83335561331899</v>
      </c>
      <c r="W322">
        <v>350</v>
      </c>
      <c r="X322">
        <v>985.311317374444</v>
      </c>
      <c r="Y322">
        <v>-511.87047618349402</v>
      </c>
      <c r="Z322" t="s">
        <v>52</v>
      </c>
    </row>
    <row r="323" spans="1:26">
      <c r="A323" t="s">
        <v>13</v>
      </c>
      <c r="B323">
        <v>2030</v>
      </c>
      <c r="C323" t="s">
        <v>449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2492.5959436645398</v>
      </c>
      <c r="M323" s="1">
        <v>41.290439928860401</v>
      </c>
      <c r="N323">
        <v>57.599999999999902</v>
      </c>
      <c r="O323">
        <v>438.990454766504</v>
      </c>
      <c r="P323">
        <v>6.4537478731354696</v>
      </c>
      <c r="Q323">
        <v>2533.8863835933998</v>
      </c>
      <c r="R323">
        <v>0</v>
      </c>
      <c r="S323">
        <v>0</v>
      </c>
      <c r="T323">
        <v>1053.1357579200001</v>
      </c>
      <c r="U323">
        <v>0</v>
      </c>
      <c r="V323">
        <v>404.83335561331899</v>
      </c>
      <c r="W323">
        <v>350</v>
      </c>
      <c r="X323">
        <v>725.91727006008705</v>
      </c>
      <c r="Y323">
        <v>-511.87047618349402</v>
      </c>
      <c r="Z323" t="s">
        <v>52</v>
      </c>
    </row>
    <row r="324" spans="1:26">
      <c r="A324" t="s">
        <v>13</v>
      </c>
      <c r="B324">
        <v>2030</v>
      </c>
      <c r="C324" t="s">
        <v>450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57.599999999999902</v>
      </c>
      <c r="L324">
        <v>307.889234220003</v>
      </c>
      <c r="M324">
        <v>79.792514254339096</v>
      </c>
      <c r="N324">
        <v>0</v>
      </c>
      <c r="O324" s="1">
        <v>0</v>
      </c>
      <c r="P324">
        <v>0</v>
      </c>
      <c r="Q324">
        <v>445.28174847434201</v>
      </c>
      <c r="R324">
        <v>404.83335561331899</v>
      </c>
      <c r="S324">
        <v>250</v>
      </c>
      <c r="T324">
        <v>1097.2964787400001</v>
      </c>
      <c r="U324">
        <v>0</v>
      </c>
      <c r="V324">
        <v>0</v>
      </c>
      <c r="W324">
        <v>332.00756896966197</v>
      </c>
      <c r="X324">
        <v>-329.18894362200001</v>
      </c>
      <c r="Y324">
        <v>0</v>
      </c>
      <c r="Z324" t="s">
        <v>52</v>
      </c>
    </row>
    <row r="325" spans="1:26">
      <c r="A325" t="s">
        <v>13</v>
      </c>
      <c r="B325">
        <v>2030</v>
      </c>
      <c r="C325" t="s">
        <v>451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57.599999999999902</v>
      </c>
      <c r="L325">
        <v>0</v>
      </c>
      <c r="M325">
        <v>91.320499408714298</v>
      </c>
      <c r="N325">
        <v>0</v>
      </c>
      <c r="O325">
        <v>0</v>
      </c>
      <c r="P325" s="1">
        <v>0</v>
      </c>
      <c r="Q325">
        <v>148.92049940871399</v>
      </c>
      <c r="R325">
        <v>404.83335561331899</v>
      </c>
      <c r="S325">
        <v>253.16764200796601</v>
      </c>
      <c r="T325">
        <v>1009.8878529</v>
      </c>
      <c r="U325">
        <v>0</v>
      </c>
      <c r="V325">
        <v>0</v>
      </c>
      <c r="W325">
        <v>100</v>
      </c>
      <c r="X325">
        <v>-302.96635586999997</v>
      </c>
      <c r="Y325">
        <v>0</v>
      </c>
      <c r="Z325" t="s">
        <v>52</v>
      </c>
    </row>
    <row r="326" spans="1:26">
      <c r="A326" t="s">
        <v>13</v>
      </c>
      <c r="B326">
        <v>2030</v>
      </c>
      <c r="C326" t="s">
        <v>452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57.599999999999902</v>
      </c>
      <c r="L326">
        <v>0</v>
      </c>
      <c r="M326">
        <v>102.96010317721399</v>
      </c>
      <c r="N326">
        <v>0</v>
      </c>
      <c r="O326">
        <v>0</v>
      </c>
      <c r="P326" s="1">
        <v>0</v>
      </c>
      <c r="Q326">
        <v>160.56010317721399</v>
      </c>
      <c r="R326">
        <v>404.83335561331899</v>
      </c>
      <c r="S326">
        <v>250</v>
      </c>
      <c r="T326">
        <v>699.50131575499995</v>
      </c>
      <c r="U326">
        <v>0</v>
      </c>
      <c r="V326">
        <v>0</v>
      </c>
      <c r="W326">
        <v>325.74253776203301</v>
      </c>
      <c r="X326">
        <v>-209.85039472649899</v>
      </c>
      <c r="Y326">
        <v>0</v>
      </c>
      <c r="Z326" t="s">
        <v>52</v>
      </c>
    </row>
    <row r="327" spans="1:26">
      <c r="A327" t="s">
        <v>13</v>
      </c>
      <c r="B327">
        <v>2030</v>
      </c>
      <c r="C327" t="s">
        <v>513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57.599999999999902</v>
      </c>
      <c r="L327">
        <v>0</v>
      </c>
      <c r="M327">
        <v>0.104695127808039</v>
      </c>
      <c r="N327">
        <v>0</v>
      </c>
      <c r="O327">
        <v>0</v>
      </c>
      <c r="P327" s="1">
        <v>0</v>
      </c>
      <c r="Q327">
        <v>57.704695127808002</v>
      </c>
      <c r="R327">
        <v>44.025238548991901</v>
      </c>
      <c r="S327">
        <v>250</v>
      </c>
      <c r="T327">
        <v>502.471333824</v>
      </c>
      <c r="U327">
        <v>0</v>
      </c>
      <c r="V327">
        <v>0</v>
      </c>
      <c r="W327">
        <v>0</v>
      </c>
      <c r="X327">
        <v>-150.74140014719899</v>
      </c>
      <c r="Y327">
        <v>66.651367690388199</v>
      </c>
      <c r="Z327" t="s">
        <v>51</v>
      </c>
    </row>
    <row r="328" spans="1:26">
      <c r="A328" t="s">
        <v>13</v>
      </c>
      <c r="B328">
        <v>2030</v>
      </c>
      <c r="C328" t="s">
        <v>514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57.599999999999902</v>
      </c>
      <c r="L328">
        <v>0</v>
      </c>
      <c r="M328">
        <v>5.7354977915156799E-2</v>
      </c>
      <c r="N328">
        <v>0</v>
      </c>
      <c r="O328" s="1">
        <v>0</v>
      </c>
      <c r="P328" s="1">
        <v>0</v>
      </c>
      <c r="Q328">
        <v>57.657354977915098</v>
      </c>
      <c r="R328">
        <v>250.36456717548401</v>
      </c>
      <c r="S328">
        <v>0</v>
      </c>
      <c r="T328">
        <v>440.03131736199998</v>
      </c>
      <c r="U328">
        <v>0</v>
      </c>
      <c r="V328">
        <v>0</v>
      </c>
      <c r="W328">
        <v>0</v>
      </c>
      <c r="X328">
        <v>-132.00939520859899</v>
      </c>
      <c r="Y328">
        <v>66.651367690388199</v>
      </c>
      <c r="Z328" t="s">
        <v>51</v>
      </c>
    </row>
    <row r="329" spans="1:26">
      <c r="A329" t="s">
        <v>13</v>
      </c>
      <c r="B329">
        <v>2030</v>
      </c>
      <c r="C329" t="s">
        <v>515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57.599999999999902</v>
      </c>
      <c r="L329">
        <v>0</v>
      </c>
      <c r="M329">
        <v>0</v>
      </c>
      <c r="N329">
        <v>0</v>
      </c>
      <c r="O329" s="1">
        <v>0</v>
      </c>
      <c r="P329">
        <v>0</v>
      </c>
      <c r="Q329">
        <v>57.599999999999902</v>
      </c>
      <c r="R329">
        <v>0</v>
      </c>
      <c r="S329">
        <v>312.17289484380001</v>
      </c>
      <c r="T329">
        <v>528.24699263399998</v>
      </c>
      <c r="U329">
        <v>0</v>
      </c>
      <c r="V329">
        <v>0</v>
      </c>
      <c r="W329">
        <v>0</v>
      </c>
      <c r="X329">
        <v>-158.47409779019901</v>
      </c>
      <c r="Y329">
        <v>66.651367690388199</v>
      </c>
      <c r="Z329" t="s">
        <v>51</v>
      </c>
    </row>
    <row r="330" spans="1:26">
      <c r="A330" t="s">
        <v>13</v>
      </c>
      <c r="B330">
        <v>2030</v>
      </c>
      <c r="C330" t="s">
        <v>516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57.599999999999902</v>
      </c>
      <c r="L330">
        <v>155.042266769082</v>
      </c>
      <c r="M330" s="1">
        <v>5.5862458347292003</v>
      </c>
      <c r="N330">
        <v>0</v>
      </c>
      <c r="O330" s="1">
        <v>0</v>
      </c>
      <c r="P330" s="1">
        <v>0</v>
      </c>
      <c r="Q330">
        <v>218.22851260381199</v>
      </c>
      <c r="R330">
        <v>226.88545637648801</v>
      </c>
      <c r="S330">
        <v>150</v>
      </c>
      <c r="T330">
        <v>850.16281282900002</v>
      </c>
      <c r="U330">
        <v>0</v>
      </c>
      <c r="V330">
        <v>0</v>
      </c>
      <c r="W330">
        <v>0</v>
      </c>
      <c r="X330">
        <v>-255.04884384869999</v>
      </c>
      <c r="Y330">
        <v>66.651367690388199</v>
      </c>
      <c r="Z330" t="s">
        <v>51</v>
      </c>
    </row>
    <row r="331" spans="1:26">
      <c r="A331" t="s">
        <v>13</v>
      </c>
      <c r="B331">
        <v>2030</v>
      </c>
      <c r="C331" t="s">
        <v>517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2039.1764247645101</v>
      </c>
      <c r="M331" s="1">
        <v>0.232695869043234</v>
      </c>
      <c r="N331">
        <v>57.599999999999902</v>
      </c>
      <c r="O331" s="1">
        <v>663.77626779212301</v>
      </c>
      <c r="P331" s="1">
        <v>2.3682492618182401E-2</v>
      </c>
      <c r="Q331">
        <v>2039.4091206335499</v>
      </c>
      <c r="R331">
        <v>0</v>
      </c>
      <c r="S331">
        <v>0</v>
      </c>
      <c r="T331">
        <v>971.94554257100003</v>
      </c>
      <c r="U331">
        <v>0</v>
      </c>
      <c r="V331">
        <v>0</v>
      </c>
      <c r="W331">
        <v>350</v>
      </c>
      <c r="X331">
        <v>717.46357806255901</v>
      </c>
      <c r="Y331">
        <v>-17.351541565542099</v>
      </c>
      <c r="Z331" t="s">
        <v>51</v>
      </c>
    </row>
    <row r="332" spans="1:26">
      <c r="A332" t="s">
        <v>13</v>
      </c>
      <c r="B332">
        <v>2030</v>
      </c>
      <c r="C332" t="s">
        <v>518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2387.0006426136702</v>
      </c>
      <c r="M332">
        <v>1.11535964420777</v>
      </c>
      <c r="N332">
        <v>57.599999999999902</v>
      </c>
      <c r="O332" s="1">
        <v>207.75277174508901</v>
      </c>
      <c r="P332" s="1">
        <v>0</v>
      </c>
      <c r="Q332">
        <v>2388.1160022578802</v>
      </c>
      <c r="R332">
        <v>0</v>
      </c>
      <c r="S332">
        <v>0</v>
      </c>
      <c r="T332">
        <v>1029.2960378</v>
      </c>
      <c r="U332">
        <v>0</v>
      </c>
      <c r="V332">
        <v>404.83335561331899</v>
      </c>
      <c r="W332">
        <v>350</v>
      </c>
      <c r="X332">
        <v>603.98660884456399</v>
      </c>
      <c r="Y332">
        <v>-17.351541565542099</v>
      </c>
      <c r="Z332" t="s">
        <v>51</v>
      </c>
    </row>
    <row r="333" spans="1:26">
      <c r="A333" t="s">
        <v>13</v>
      </c>
      <c r="B333">
        <v>2030</v>
      </c>
      <c r="C333" t="s">
        <v>519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2200.44781884344</v>
      </c>
      <c r="M333">
        <v>1.9216447696550301</v>
      </c>
      <c r="N333">
        <v>57.599999999999902</v>
      </c>
      <c r="O333" s="1">
        <v>232.34719338171101</v>
      </c>
      <c r="P333" s="1">
        <v>0.82098442489217605</v>
      </c>
      <c r="Q333">
        <v>2202.3694636130999</v>
      </c>
      <c r="R333">
        <v>0</v>
      </c>
      <c r="S333">
        <v>0</v>
      </c>
      <c r="T333">
        <v>1048.7811479699999</v>
      </c>
      <c r="U333">
        <v>0</v>
      </c>
      <c r="V333">
        <v>404.83335561331899</v>
      </c>
      <c r="W333">
        <v>350</v>
      </c>
      <c r="X333">
        <v>398.75496002978002</v>
      </c>
      <c r="Y333">
        <v>-17.351541565542099</v>
      </c>
      <c r="Z333" t="s">
        <v>51</v>
      </c>
    </row>
    <row r="334" spans="1:26">
      <c r="A334" t="s">
        <v>13</v>
      </c>
      <c r="B334">
        <v>2030</v>
      </c>
      <c r="C334" t="s">
        <v>520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1762.3653609349201</v>
      </c>
      <c r="M334">
        <v>2.38469977468259</v>
      </c>
      <c r="N334">
        <v>57.599999999999902</v>
      </c>
      <c r="O334" s="1">
        <v>221.48218168359901</v>
      </c>
      <c r="P334" s="1">
        <v>0.71174935810137197</v>
      </c>
      <c r="Q334">
        <v>1764.7500607095999</v>
      </c>
      <c r="R334">
        <v>0</v>
      </c>
      <c r="S334">
        <v>0</v>
      </c>
      <c r="T334">
        <v>1060.2294268099999</v>
      </c>
      <c r="U334">
        <v>0</v>
      </c>
      <c r="V334">
        <v>370.66555316005002</v>
      </c>
      <c r="W334">
        <v>350</v>
      </c>
      <c r="X334">
        <v>-16.144919260442201</v>
      </c>
      <c r="Y334">
        <v>-17.351541565542099</v>
      </c>
      <c r="Z334" t="s">
        <v>51</v>
      </c>
    </row>
    <row r="335" spans="1:26">
      <c r="A335" t="s">
        <v>13</v>
      </c>
      <c r="B335">
        <v>2030</v>
      </c>
      <c r="C335" t="s">
        <v>521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1614.2310639406101</v>
      </c>
      <c r="M335">
        <v>0.70184992264101598</v>
      </c>
      <c r="N335">
        <v>57.599999999999902</v>
      </c>
      <c r="O335" s="1">
        <v>232.334220433387</v>
      </c>
      <c r="P335" s="1">
        <v>0</v>
      </c>
      <c r="Q335">
        <v>1614.93291386325</v>
      </c>
      <c r="R335">
        <v>0</v>
      </c>
      <c r="S335">
        <v>0</v>
      </c>
      <c r="T335">
        <v>1029.80090071</v>
      </c>
      <c r="U335">
        <v>0</v>
      </c>
      <c r="V335">
        <v>404.83335561331899</v>
      </c>
      <c r="W335">
        <v>350</v>
      </c>
      <c r="X335">
        <v>-169.70134246006199</v>
      </c>
      <c r="Y335">
        <v>-17.351541565542099</v>
      </c>
      <c r="Z335" t="s">
        <v>51</v>
      </c>
    </row>
    <row r="336" spans="1:26">
      <c r="A336" t="s">
        <v>13</v>
      </c>
      <c r="B336">
        <v>2030</v>
      </c>
      <c r="C336" t="s">
        <v>522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57.599999999999902</v>
      </c>
      <c r="L336">
        <v>359.70496196118302</v>
      </c>
      <c r="M336">
        <v>5.4238901632634798E-2</v>
      </c>
      <c r="N336">
        <v>0</v>
      </c>
      <c r="O336" s="1">
        <v>-8.8817841970012504E-16</v>
      </c>
      <c r="P336" s="1">
        <v>0</v>
      </c>
      <c r="Q336">
        <v>417.35920086281601</v>
      </c>
      <c r="R336">
        <v>20.033864705984801</v>
      </c>
      <c r="S336">
        <v>320.32710515619999</v>
      </c>
      <c r="T336">
        <v>1082.4573867500001</v>
      </c>
      <c r="U336">
        <v>0</v>
      </c>
      <c r="V336">
        <v>0</v>
      </c>
      <c r="W336">
        <v>0</v>
      </c>
      <c r="X336">
        <v>-324.73721602500001</v>
      </c>
      <c r="Y336">
        <v>66.651367690388199</v>
      </c>
      <c r="Z336" t="s">
        <v>51</v>
      </c>
    </row>
    <row r="337" spans="1:26">
      <c r="A337" t="s">
        <v>13</v>
      </c>
      <c r="B337">
        <v>2030</v>
      </c>
      <c r="C337" t="s">
        <v>523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57.599999999999902</v>
      </c>
      <c r="L337">
        <v>0</v>
      </c>
      <c r="M337">
        <v>4.6753599243350402E-2</v>
      </c>
      <c r="N337">
        <v>0</v>
      </c>
      <c r="O337" s="1">
        <v>0</v>
      </c>
      <c r="P337" s="1">
        <v>0</v>
      </c>
      <c r="Q337">
        <v>57.646753599243297</v>
      </c>
      <c r="R337">
        <v>291.90423112635602</v>
      </c>
      <c r="S337">
        <v>350</v>
      </c>
      <c r="T337">
        <v>999.35854960799998</v>
      </c>
      <c r="U337">
        <v>0</v>
      </c>
      <c r="V337">
        <v>0</v>
      </c>
      <c r="W337">
        <v>0</v>
      </c>
      <c r="X337">
        <v>-299.80756488239899</v>
      </c>
      <c r="Y337">
        <v>66.651367690388199</v>
      </c>
      <c r="Z337" t="s">
        <v>51</v>
      </c>
    </row>
    <row r="338" spans="1:26">
      <c r="A338" t="s">
        <v>13</v>
      </c>
      <c r="B338">
        <v>2030</v>
      </c>
      <c r="C338" t="s">
        <v>524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57.599999999999902</v>
      </c>
      <c r="L338">
        <v>0</v>
      </c>
      <c r="M338">
        <v>0</v>
      </c>
      <c r="N338">
        <v>0</v>
      </c>
      <c r="O338" s="1">
        <v>0</v>
      </c>
      <c r="P338" s="1">
        <v>0</v>
      </c>
      <c r="Q338">
        <v>57.599999999999902</v>
      </c>
      <c r="R338">
        <v>355.66085706669998</v>
      </c>
      <c r="S338">
        <v>85</v>
      </c>
      <c r="T338">
        <v>711.801224381</v>
      </c>
      <c r="U338">
        <v>0</v>
      </c>
      <c r="V338">
        <v>0</v>
      </c>
      <c r="W338">
        <v>0</v>
      </c>
      <c r="X338">
        <v>-213.5403673143</v>
      </c>
      <c r="Y338">
        <v>66.651367690388199</v>
      </c>
      <c r="Z338" t="s">
        <v>51</v>
      </c>
    </row>
    <row r="339" spans="1:26">
      <c r="A339" t="s">
        <v>13</v>
      </c>
      <c r="B339">
        <v>2030</v>
      </c>
      <c r="C339" t="s">
        <v>453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57.599999999999902</v>
      </c>
      <c r="L339">
        <v>0</v>
      </c>
      <c r="M339">
        <v>36.389527825664402</v>
      </c>
      <c r="N339">
        <v>0</v>
      </c>
      <c r="O339">
        <v>0</v>
      </c>
      <c r="P339" s="1">
        <v>0</v>
      </c>
      <c r="Q339">
        <v>93.989527825664396</v>
      </c>
      <c r="R339">
        <v>404.83335561331899</v>
      </c>
      <c r="S339">
        <v>30.0599213104163</v>
      </c>
      <c r="T339">
        <v>541.26114964199996</v>
      </c>
      <c r="U339">
        <v>0</v>
      </c>
      <c r="V339">
        <v>0</v>
      </c>
      <c r="W339">
        <v>150</v>
      </c>
      <c r="X339">
        <v>-162.37834489259899</v>
      </c>
      <c r="Y339">
        <v>0</v>
      </c>
      <c r="Z339" t="s">
        <v>52</v>
      </c>
    </row>
    <row r="340" spans="1:26">
      <c r="A340" t="s">
        <v>13</v>
      </c>
      <c r="B340">
        <v>2030</v>
      </c>
      <c r="C340" t="s">
        <v>454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57.599999999999902</v>
      </c>
      <c r="L340">
        <v>0</v>
      </c>
      <c r="M340">
        <v>48.669259884779301</v>
      </c>
      <c r="N340">
        <v>0</v>
      </c>
      <c r="O340">
        <v>0</v>
      </c>
      <c r="P340" s="1">
        <v>0</v>
      </c>
      <c r="Q340">
        <v>106.269259884779</v>
      </c>
      <c r="R340">
        <v>404.83335561331899</v>
      </c>
      <c r="S340">
        <v>189.338808620701</v>
      </c>
      <c r="T340">
        <v>500.63060588399998</v>
      </c>
      <c r="U340">
        <v>0</v>
      </c>
      <c r="V340">
        <v>0</v>
      </c>
      <c r="W340">
        <v>350</v>
      </c>
      <c r="X340">
        <v>-150.18918176519901</v>
      </c>
      <c r="Y340">
        <v>0</v>
      </c>
      <c r="Z340" t="s">
        <v>52</v>
      </c>
    </row>
    <row r="341" spans="1:26">
      <c r="A341" t="s">
        <v>13</v>
      </c>
      <c r="B341">
        <v>2030</v>
      </c>
      <c r="C341" t="s">
        <v>455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57.599999999999902</v>
      </c>
      <c r="L341">
        <v>0</v>
      </c>
      <c r="M341">
        <v>96.137595429349702</v>
      </c>
      <c r="N341">
        <v>0</v>
      </c>
      <c r="O341">
        <v>0</v>
      </c>
      <c r="P341" s="1">
        <v>0</v>
      </c>
      <c r="Q341">
        <v>153.737595429349</v>
      </c>
      <c r="R341">
        <v>202.41667780665901</v>
      </c>
      <c r="S341">
        <v>200</v>
      </c>
      <c r="T341">
        <v>590.77743333499996</v>
      </c>
      <c r="U341">
        <v>0</v>
      </c>
      <c r="V341">
        <v>0</v>
      </c>
      <c r="W341">
        <v>142.61006990150901</v>
      </c>
      <c r="X341">
        <v>-177.23323000049999</v>
      </c>
      <c r="Y341">
        <v>0</v>
      </c>
      <c r="Z341" t="s">
        <v>52</v>
      </c>
    </row>
    <row r="342" spans="1:26">
      <c r="A342" t="s">
        <v>13</v>
      </c>
      <c r="B342">
        <v>2030</v>
      </c>
      <c r="C342" t="s">
        <v>456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57.599999999999902</v>
      </c>
      <c r="L342">
        <v>609.58916544466297</v>
      </c>
      <c r="M342">
        <v>92.903693347285397</v>
      </c>
      <c r="N342">
        <v>0</v>
      </c>
      <c r="O342" s="1">
        <v>0</v>
      </c>
      <c r="P342" s="1">
        <v>0</v>
      </c>
      <c r="Q342">
        <v>760.09285879194795</v>
      </c>
      <c r="R342">
        <v>0</v>
      </c>
      <c r="S342">
        <v>100</v>
      </c>
      <c r="T342">
        <v>907.71425538599999</v>
      </c>
      <c r="U342">
        <v>0</v>
      </c>
      <c r="V342">
        <v>0</v>
      </c>
      <c r="W342">
        <v>224.69288002174801</v>
      </c>
      <c r="X342">
        <v>-272.3142766158</v>
      </c>
      <c r="Y342">
        <v>0</v>
      </c>
      <c r="Z342" t="s">
        <v>52</v>
      </c>
    </row>
    <row r="343" spans="1:26">
      <c r="A343" t="s">
        <v>13</v>
      </c>
      <c r="B343">
        <v>2030</v>
      </c>
      <c r="C343" t="s">
        <v>457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2293.16260520995</v>
      </c>
      <c r="M343" s="1">
        <v>68.320069681553605</v>
      </c>
      <c r="N343">
        <v>57.599999999999902</v>
      </c>
      <c r="O343" s="1">
        <v>380.90925868977001</v>
      </c>
      <c r="P343" s="1">
        <v>0</v>
      </c>
      <c r="Q343">
        <v>2361.4826748915002</v>
      </c>
      <c r="R343">
        <v>0</v>
      </c>
      <c r="S343">
        <v>0</v>
      </c>
      <c r="T343">
        <v>1099.8468247999999</v>
      </c>
      <c r="U343">
        <v>0</v>
      </c>
      <c r="V343">
        <v>404.83335561331899</v>
      </c>
      <c r="W343">
        <v>350</v>
      </c>
      <c r="X343">
        <v>506.80249447818602</v>
      </c>
      <c r="Y343">
        <v>-511.87047618349402</v>
      </c>
      <c r="Z343" t="s">
        <v>52</v>
      </c>
    </row>
    <row r="344" spans="1:26">
      <c r="A344" t="s">
        <v>13</v>
      </c>
      <c r="B344">
        <v>2030</v>
      </c>
      <c r="C344" t="s">
        <v>458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2484.9912474916</v>
      </c>
      <c r="M344">
        <v>47.416545105576603</v>
      </c>
      <c r="N344">
        <v>57.599999999999902</v>
      </c>
      <c r="O344" s="1">
        <v>770.34529192214404</v>
      </c>
      <c r="P344" s="1">
        <v>0</v>
      </c>
      <c r="Q344">
        <v>2532.4077925971701</v>
      </c>
      <c r="R344">
        <v>0</v>
      </c>
      <c r="S344">
        <v>0</v>
      </c>
      <c r="T344">
        <v>1176.55759683</v>
      </c>
      <c r="U344">
        <v>0</v>
      </c>
      <c r="V344">
        <v>404.83335561331899</v>
      </c>
      <c r="W344">
        <v>350</v>
      </c>
      <c r="X344">
        <v>601.01684015385899</v>
      </c>
      <c r="Y344">
        <v>-511.87047618349402</v>
      </c>
      <c r="Z344" t="s">
        <v>52</v>
      </c>
    </row>
    <row r="345" spans="1:26">
      <c r="A345" t="s">
        <v>13</v>
      </c>
      <c r="B345">
        <v>2030</v>
      </c>
      <c r="C345" t="s">
        <v>459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1523.9349430197401</v>
      </c>
      <c r="M345">
        <v>74.868363060577295</v>
      </c>
      <c r="N345">
        <v>57.599999999999902</v>
      </c>
      <c r="O345" s="1">
        <v>1879.1135301972899</v>
      </c>
      <c r="P345">
        <v>0</v>
      </c>
      <c r="Q345">
        <v>1598.80330608031</v>
      </c>
      <c r="R345">
        <v>0</v>
      </c>
      <c r="S345">
        <v>0</v>
      </c>
      <c r="T345">
        <v>1205.67135781</v>
      </c>
      <c r="U345">
        <v>0</v>
      </c>
      <c r="V345">
        <v>404.83335561331899</v>
      </c>
      <c r="W345">
        <v>350</v>
      </c>
      <c r="X345">
        <v>-361.701407342999</v>
      </c>
      <c r="Y345">
        <v>-511.87047618349402</v>
      </c>
      <c r="Z345" t="s">
        <v>52</v>
      </c>
    </row>
    <row r="346" spans="1:26">
      <c r="A346" t="s">
        <v>13</v>
      </c>
      <c r="B346">
        <v>2030</v>
      </c>
      <c r="C346" t="s">
        <v>460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2901.39889144893</v>
      </c>
      <c r="M346">
        <v>63.186849549910001</v>
      </c>
      <c r="N346">
        <v>57.599999999999902</v>
      </c>
      <c r="O346" s="1">
        <v>506.38812434441502</v>
      </c>
      <c r="P346" s="1">
        <v>6.7855238284444503</v>
      </c>
      <c r="Q346">
        <v>2964.5857409988398</v>
      </c>
      <c r="R346">
        <v>0</v>
      </c>
      <c r="S346">
        <v>0</v>
      </c>
      <c r="T346">
        <v>1215.7921272000001</v>
      </c>
      <c r="U346">
        <v>0</v>
      </c>
      <c r="V346">
        <v>404.83335561331899</v>
      </c>
      <c r="W346">
        <v>350</v>
      </c>
      <c r="X346">
        <v>993.960258185523</v>
      </c>
      <c r="Y346">
        <v>-511.87047618349402</v>
      </c>
      <c r="Z346" t="s">
        <v>52</v>
      </c>
    </row>
    <row r="347" spans="1:26">
      <c r="A347" t="s">
        <v>13</v>
      </c>
      <c r="B347">
        <v>2030</v>
      </c>
      <c r="C347" t="s">
        <v>461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1534.2304448919399</v>
      </c>
      <c r="M347">
        <v>48.947489741375399</v>
      </c>
      <c r="N347">
        <v>57.599999999999902</v>
      </c>
      <c r="O347" s="1">
        <v>1648.27766328384</v>
      </c>
      <c r="P347" s="1">
        <v>6.3464500063916303</v>
      </c>
      <c r="Q347">
        <v>1583.1779346333101</v>
      </c>
      <c r="R347">
        <v>0</v>
      </c>
      <c r="S347">
        <v>0</v>
      </c>
      <c r="T347">
        <v>1183.3493986000001</v>
      </c>
      <c r="U347">
        <v>0</v>
      </c>
      <c r="V347">
        <v>404.83335561331899</v>
      </c>
      <c r="W347">
        <v>350</v>
      </c>
      <c r="X347">
        <v>-355.00481958</v>
      </c>
      <c r="Y347">
        <v>-511.87047618349402</v>
      </c>
      <c r="Z347" t="s">
        <v>52</v>
      </c>
    </row>
    <row r="348" spans="1:26">
      <c r="A348" t="s">
        <v>13</v>
      </c>
      <c r="B348">
        <v>2030</v>
      </c>
      <c r="C348" t="s">
        <v>462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1742.2086134941201</v>
      </c>
      <c r="M348" s="1">
        <v>74.627322847629401</v>
      </c>
      <c r="N348">
        <v>57.599999999999902</v>
      </c>
      <c r="O348" s="1">
        <v>761.775823704142</v>
      </c>
      <c r="P348" s="1">
        <v>0</v>
      </c>
      <c r="Q348">
        <v>1816.8359363417401</v>
      </c>
      <c r="R348">
        <v>0</v>
      </c>
      <c r="S348">
        <v>0</v>
      </c>
      <c r="T348">
        <v>1121.7929090299999</v>
      </c>
      <c r="U348">
        <v>0</v>
      </c>
      <c r="V348">
        <v>404.83335561331899</v>
      </c>
      <c r="W348">
        <v>350</v>
      </c>
      <c r="X348">
        <v>-59.790328301568898</v>
      </c>
      <c r="Y348">
        <v>-511.87047618349402</v>
      </c>
      <c r="Z348" t="s">
        <v>52</v>
      </c>
    </row>
    <row r="349" spans="1:26">
      <c r="A349" t="s">
        <v>13</v>
      </c>
      <c r="B349">
        <v>2030</v>
      </c>
      <c r="C349" t="s">
        <v>463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57.599999999999902</v>
      </c>
      <c r="L349">
        <v>0</v>
      </c>
      <c r="M349">
        <v>42.282845335298802</v>
      </c>
      <c r="N349">
        <v>0</v>
      </c>
      <c r="O349" s="1">
        <v>0</v>
      </c>
      <c r="P349" s="1">
        <v>0</v>
      </c>
      <c r="Q349">
        <v>99.882845335298796</v>
      </c>
      <c r="R349">
        <v>404.83335561331899</v>
      </c>
      <c r="S349">
        <v>250.988803826381</v>
      </c>
      <c r="T349">
        <v>1079.57857825</v>
      </c>
      <c r="U349">
        <v>0</v>
      </c>
      <c r="V349">
        <v>0</v>
      </c>
      <c r="W349">
        <v>0</v>
      </c>
      <c r="X349">
        <v>-323.873573475</v>
      </c>
      <c r="Y349">
        <v>0</v>
      </c>
      <c r="Z349" t="s">
        <v>52</v>
      </c>
    </row>
    <row r="350" spans="1:26">
      <c r="A350" t="s">
        <v>13</v>
      </c>
      <c r="B350">
        <v>2030</v>
      </c>
      <c r="C350" t="s">
        <v>464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57.599999999999902</v>
      </c>
      <c r="L350">
        <v>0</v>
      </c>
      <c r="M350">
        <v>47.2304817072201</v>
      </c>
      <c r="N350">
        <v>0</v>
      </c>
      <c r="O350">
        <v>0</v>
      </c>
      <c r="P350" s="1">
        <v>0</v>
      </c>
      <c r="Q350">
        <v>104.83048170722</v>
      </c>
      <c r="R350">
        <v>404.83335561331899</v>
      </c>
      <c r="S350">
        <v>148.68983464856001</v>
      </c>
      <c r="T350">
        <v>797.64810281300004</v>
      </c>
      <c r="U350">
        <v>0</v>
      </c>
      <c r="V350">
        <v>0</v>
      </c>
      <c r="W350">
        <v>100</v>
      </c>
      <c r="X350">
        <v>-239.29443084389999</v>
      </c>
      <c r="Y350">
        <v>0</v>
      </c>
      <c r="Z350" t="s">
        <v>52</v>
      </c>
    </row>
    <row r="351" spans="1:26">
      <c r="A351" t="s">
        <v>13</v>
      </c>
      <c r="B351">
        <v>2030</v>
      </c>
      <c r="C351" t="s">
        <v>525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57.599999999999902</v>
      </c>
      <c r="L351">
        <v>0</v>
      </c>
      <c r="M351">
        <v>48.380591485535099</v>
      </c>
      <c r="N351">
        <v>0</v>
      </c>
      <c r="O351">
        <v>0</v>
      </c>
      <c r="P351" s="1">
        <v>0</v>
      </c>
      <c r="Q351">
        <v>105.980591485535</v>
      </c>
      <c r="R351">
        <v>0</v>
      </c>
      <c r="S351">
        <v>350</v>
      </c>
      <c r="T351">
        <v>564.36567858800004</v>
      </c>
      <c r="U351">
        <v>0</v>
      </c>
      <c r="V351">
        <v>0</v>
      </c>
      <c r="W351">
        <v>60.924616473934996</v>
      </c>
      <c r="X351">
        <v>-169.30970357640001</v>
      </c>
      <c r="Y351">
        <v>0</v>
      </c>
      <c r="Z351" t="s">
        <v>51</v>
      </c>
    </row>
    <row r="352" spans="1:26">
      <c r="A352" t="s">
        <v>13</v>
      </c>
      <c r="B352">
        <v>2030</v>
      </c>
      <c r="C352" t="s">
        <v>526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57.599999999999902</v>
      </c>
      <c r="L352">
        <v>0</v>
      </c>
      <c r="M352">
        <v>74.206969320156006</v>
      </c>
      <c r="N352">
        <v>0</v>
      </c>
      <c r="O352">
        <v>0</v>
      </c>
      <c r="P352" s="1">
        <v>0</v>
      </c>
      <c r="Q352">
        <v>131.80696932015601</v>
      </c>
      <c r="R352">
        <v>0</v>
      </c>
      <c r="S352">
        <v>310.31407052224301</v>
      </c>
      <c r="T352">
        <v>488.74434263199998</v>
      </c>
      <c r="U352">
        <v>0</v>
      </c>
      <c r="V352">
        <v>0</v>
      </c>
      <c r="W352">
        <v>100</v>
      </c>
      <c r="X352">
        <v>-146.62330278959999</v>
      </c>
      <c r="Y352">
        <v>0</v>
      </c>
      <c r="Z352" t="s">
        <v>51</v>
      </c>
    </row>
    <row r="353" spans="1:26">
      <c r="A353" t="s">
        <v>13</v>
      </c>
      <c r="B353">
        <v>2030</v>
      </c>
      <c r="C353" t="s">
        <v>527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57.599999999999902</v>
      </c>
      <c r="L353">
        <v>0</v>
      </c>
      <c r="M353">
        <v>63.248886647553498</v>
      </c>
      <c r="N353">
        <v>0</v>
      </c>
      <c r="O353">
        <v>0</v>
      </c>
      <c r="P353" s="1">
        <v>0</v>
      </c>
      <c r="Q353">
        <v>120.848886647553</v>
      </c>
      <c r="R353">
        <v>0</v>
      </c>
      <c r="S353">
        <v>350</v>
      </c>
      <c r="T353">
        <v>568.45921572199995</v>
      </c>
      <c r="U353">
        <v>0</v>
      </c>
      <c r="V353">
        <v>0</v>
      </c>
      <c r="W353">
        <v>72.927435642153597</v>
      </c>
      <c r="X353">
        <v>-170.53776471659901</v>
      </c>
      <c r="Y353">
        <v>0</v>
      </c>
      <c r="Z353" t="s">
        <v>51</v>
      </c>
    </row>
    <row r="354" spans="1:26">
      <c r="A354" t="s">
        <v>13</v>
      </c>
      <c r="B354">
        <v>2030</v>
      </c>
      <c r="C354" t="s">
        <v>528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57.599999999999902</v>
      </c>
      <c r="L354">
        <v>721.68944553173503</v>
      </c>
      <c r="M354">
        <v>59.1239730862182</v>
      </c>
      <c r="N354">
        <v>0</v>
      </c>
      <c r="O354" s="1">
        <v>0</v>
      </c>
      <c r="P354" s="1">
        <v>0</v>
      </c>
      <c r="Q354">
        <v>838.41341861795399</v>
      </c>
      <c r="R354">
        <v>0</v>
      </c>
      <c r="S354">
        <v>4.66605774274643</v>
      </c>
      <c r="T354">
        <v>847.25639480100006</v>
      </c>
      <c r="U354">
        <v>0</v>
      </c>
      <c r="V354">
        <v>0</v>
      </c>
      <c r="W354">
        <v>250</v>
      </c>
      <c r="X354">
        <v>-254.1769184403</v>
      </c>
      <c r="Y354">
        <v>0</v>
      </c>
      <c r="Z354" t="s">
        <v>51</v>
      </c>
    </row>
    <row r="355" spans="1:26">
      <c r="A355" t="s">
        <v>13</v>
      </c>
      <c r="B355">
        <v>2030</v>
      </c>
      <c r="C355" t="s">
        <v>529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1129.64219856823</v>
      </c>
      <c r="M355">
        <v>21.584040844238299</v>
      </c>
      <c r="N355">
        <v>57.599999999999902</v>
      </c>
      <c r="O355" s="1">
        <v>1076.5914035675401</v>
      </c>
      <c r="P355" s="1">
        <v>18.702001963771</v>
      </c>
      <c r="Q355">
        <v>1151.22623941247</v>
      </c>
      <c r="R355">
        <v>0</v>
      </c>
      <c r="S355">
        <v>0</v>
      </c>
      <c r="T355">
        <v>1044.7695615299999</v>
      </c>
      <c r="U355">
        <v>0</v>
      </c>
      <c r="V355">
        <v>0</v>
      </c>
      <c r="W355">
        <v>350</v>
      </c>
      <c r="X355">
        <v>-243.54332211752299</v>
      </c>
      <c r="Y355">
        <v>-17.351541565542099</v>
      </c>
      <c r="Z355" t="s">
        <v>51</v>
      </c>
    </row>
    <row r="356" spans="1:26">
      <c r="A356" t="s">
        <v>13</v>
      </c>
      <c r="B356">
        <v>2030</v>
      </c>
      <c r="C356" t="s">
        <v>530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1991.4783480849901</v>
      </c>
      <c r="M356" s="1">
        <v>22.092031181465</v>
      </c>
      <c r="N356">
        <v>57.599999999999902</v>
      </c>
      <c r="O356" s="1">
        <v>1047.7117964613899</v>
      </c>
      <c r="P356">
        <v>21.319573720938202</v>
      </c>
      <c r="Q356">
        <v>2013.5703792664599</v>
      </c>
      <c r="R356">
        <v>0</v>
      </c>
      <c r="S356">
        <v>0</v>
      </c>
      <c r="T356">
        <v>1144.63814252</v>
      </c>
      <c r="U356">
        <v>0</v>
      </c>
      <c r="V356">
        <v>0</v>
      </c>
      <c r="W356">
        <v>350</v>
      </c>
      <c r="X356">
        <v>518.93223674646299</v>
      </c>
      <c r="Y356">
        <v>-17.351541565542099</v>
      </c>
      <c r="Z356" t="s">
        <v>51</v>
      </c>
    </row>
    <row r="357" spans="1:26">
      <c r="A357" t="s">
        <v>13</v>
      </c>
      <c r="B357">
        <v>2030</v>
      </c>
      <c r="C357" t="s">
        <v>531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1143.49519458328</v>
      </c>
      <c r="M357" s="1">
        <v>18.391986696717701</v>
      </c>
      <c r="N357">
        <v>57.599999999999902</v>
      </c>
      <c r="O357" s="1">
        <v>2077.5481844554402</v>
      </c>
      <c r="P357">
        <v>24.183417669111002</v>
      </c>
      <c r="Q357">
        <v>1161.88718128</v>
      </c>
      <c r="R357">
        <v>0</v>
      </c>
      <c r="S357">
        <v>0</v>
      </c>
      <c r="T357">
        <v>1159.8388304</v>
      </c>
      <c r="U357">
        <v>0</v>
      </c>
      <c r="V357">
        <v>0</v>
      </c>
      <c r="W357">
        <v>350</v>
      </c>
      <c r="X357">
        <v>-347.95164912000001</v>
      </c>
      <c r="Y357">
        <v>-17.351541565542099</v>
      </c>
      <c r="Z357" t="s">
        <v>51</v>
      </c>
    </row>
    <row r="358" spans="1:26">
      <c r="A358" t="s">
        <v>13</v>
      </c>
      <c r="B358">
        <v>2030</v>
      </c>
      <c r="C358" t="s">
        <v>532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2413.5302284460799</v>
      </c>
      <c r="M358" s="1">
        <v>37.5178217914046</v>
      </c>
      <c r="N358">
        <v>57.599999999999902</v>
      </c>
      <c r="O358" s="1">
        <v>694.07309594737399</v>
      </c>
      <c r="P358">
        <v>9.1680737678011006</v>
      </c>
      <c r="Q358">
        <v>2451.0480502374899</v>
      </c>
      <c r="R358">
        <v>0</v>
      </c>
      <c r="S358">
        <v>0</v>
      </c>
      <c r="T358">
        <v>1155.1994549999999</v>
      </c>
      <c r="U358">
        <v>0</v>
      </c>
      <c r="V358">
        <v>0</v>
      </c>
      <c r="W358">
        <v>350</v>
      </c>
      <c r="X358">
        <v>945.84859523749003</v>
      </c>
      <c r="Y358">
        <v>-17.351541565542099</v>
      </c>
      <c r="Z358" t="s">
        <v>51</v>
      </c>
    </row>
    <row r="359" spans="1:26">
      <c r="A359" t="s">
        <v>13</v>
      </c>
      <c r="B359">
        <v>2030</v>
      </c>
      <c r="C359" t="s">
        <v>533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2221.0307921472199</v>
      </c>
      <c r="M359" s="1">
        <v>71.459500910325104</v>
      </c>
      <c r="N359">
        <v>57.599999999999902</v>
      </c>
      <c r="O359" s="1">
        <v>219.289835858598</v>
      </c>
      <c r="P359">
        <v>17.7852047330225</v>
      </c>
      <c r="Q359">
        <v>2292.4902930575399</v>
      </c>
      <c r="R359">
        <v>0</v>
      </c>
      <c r="S359">
        <v>0</v>
      </c>
      <c r="T359">
        <v>1119.85871767</v>
      </c>
      <c r="U359">
        <v>0</v>
      </c>
      <c r="V359">
        <v>77.087777398299295</v>
      </c>
      <c r="W359">
        <v>350</v>
      </c>
      <c r="X359">
        <v>745.54379798924697</v>
      </c>
      <c r="Y359">
        <v>-17.351541565542099</v>
      </c>
      <c r="Z359" t="s">
        <v>51</v>
      </c>
    </row>
    <row r="360" spans="1:26">
      <c r="A360" t="s">
        <v>13</v>
      </c>
      <c r="B360">
        <v>2030</v>
      </c>
      <c r="C360" t="s">
        <v>534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1401.0674475692199</v>
      </c>
      <c r="M360" s="1">
        <v>101.907962943218</v>
      </c>
      <c r="N360">
        <v>57.599999999999902</v>
      </c>
      <c r="O360" s="1">
        <v>695.45550749918698</v>
      </c>
      <c r="P360" s="1">
        <v>36.148671664710399</v>
      </c>
      <c r="Q360">
        <v>1502.97541051244</v>
      </c>
      <c r="R360">
        <v>0</v>
      </c>
      <c r="S360">
        <v>0</v>
      </c>
      <c r="T360">
        <v>1066.0968966600001</v>
      </c>
      <c r="U360">
        <v>0</v>
      </c>
      <c r="V360">
        <v>404.83335561331899</v>
      </c>
      <c r="W360">
        <v>350</v>
      </c>
      <c r="X360">
        <v>-317.95484176087803</v>
      </c>
      <c r="Y360">
        <v>-17.351541565542099</v>
      </c>
      <c r="Z360" t="s">
        <v>51</v>
      </c>
    </row>
    <row r="361" spans="1:26">
      <c r="A361" t="s">
        <v>13</v>
      </c>
      <c r="B361">
        <v>2030</v>
      </c>
      <c r="C361" t="s">
        <v>535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57.599999999999902</v>
      </c>
      <c r="L361">
        <v>0</v>
      </c>
      <c r="M361">
        <v>73.066990357479298</v>
      </c>
      <c r="N361">
        <v>0</v>
      </c>
      <c r="O361">
        <v>0</v>
      </c>
      <c r="P361" s="1">
        <v>0</v>
      </c>
      <c r="Q361">
        <v>130.66699035747899</v>
      </c>
      <c r="R361">
        <v>264.76029301251998</v>
      </c>
      <c r="S361">
        <v>350</v>
      </c>
      <c r="T361">
        <v>1064.8961191000001</v>
      </c>
      <c r="U361">
        <v>0</v>
      </c>
      <c r="V361">
        <v>0</v>
      </c>
      <c r="W361">
        <v>0</v>
      </c>
      <c r="X361">
        <v>-319.46883573000002</v>
      </c>
      <c r="Y361">
        <v>66.651367690388199</v>
      </c>
      <c r="Z361" t="s">
        <v>51</v>
      </c>
    </row>
    <row r="362" spans="1:26">
      <c r="A362" t="s">
        <v>13</v>
      </c>
      <c r="B362">
        <v>2030</v>
      </c>
      <c r="C362" t="s">
        <v>536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57.599999999999902</v>
      </c>
      <c r="L362">
        <v>0</v>
      </c>
      <c r="M362">
        <v>57.488790604906697</v>
      </c>
      <c r="N362">
        <v>0</v>
      </c>
      <c r="O362" s="1">
        <v>0</v>
      </c>
      <c r="P362" s="1">
        <v>0</v>
      </c>
      <c r="Q362">
        <v>115.08879060490599</v>
      </c>
      <c r="R362">
        <v>96.680556746193105</v>
      </c>
      <c r="S362">
        <v>350</v>
      </c>
      <c r="T362">
        <v>802.52763907300005</v>
      </c>
      <c r="U362">
        <v>0</v>
      </c>
      <c r="V362">
        <v>0</v>
      </c>
      <c r="W362">
        <v>0</v>
      </c>
      <c r="X362">
        <v>-240.75829172190001</v>
      </c>
      <c r="Y362">
        <v>66.651367690388199</v>
      </c>
      <c r="Z362" t="s">
        <v>51</v>
      </c>
    </row>
    <row r="363" spans="1:26">
      <c r="A363" t="s">
        <v>13</v>
      </c>
      <c r="B363">
        <v>2030</v>
      </c>
      <c r="C363" t="s">
        <v>537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57.599999999999902</v>
      </c>
      <c r="L363">
        <v>0</v>
      </c>
      <c r="M363">
        <v>73.810449773488699</v>
      </c>
      <c r="N363">
        <v>0</v>
      </c>
      <c r="O363" s="1">
        <v>0</v>
      </c>
      <c r="P363">
        <v>0</v>
      </c>
      <c r="Q363">
        <v>131.41044977348801</v>
      </c>
      <c r="R363">
        <v>0</v>
      </c>
      <c r="S363">
        <v>262.41333324981099</v>
      </c>
      <c r="T363">
        <v>562.60540431899994</v>
      </c>
      <c r="U363">
        <v>0</v>
      </c>
      <c r="V363">
        <v>0</v>
      </c>
      <c r="W363">
        <v>0</v>
      </c>
      <c r="X363">
        <v>-168.78162129569901</v>
      </c>
      <c r="Y363">
        <v>67.036957502955801</v>
      </c>
      <c r="Z363" t="s">
        <v>51</v>
      </c>
    </row>
    <row r="364" spans="1:26">
      <c r="A364" t="s">
        <v>13</v>
      </c>
      <c r="B364">
        <v>2030</v>
      </c>
      <c r="C364" t="s">
        <v>538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57.599999999999902</v>
      </c>
      <c r="L364">
        <v>0</v>
      </c>
      <c r="M364">
        <v>72.191018039086003</v>
      </c>
      <c r="N364">
        <v>0</v>
      </c>
      <c r="O364">
        <v>0</v>
      </c>
      <c r="P364" s="1">
        <v>0</v>
      </c>
      <c r="Q364">
        <v>129.791018039086</v>
      </c>
      <c r="R364">
        <v>0</v>
      </c>
      <c r="S364">
        <v>216.38944612821399</v>
      </c>
      <c r="T364">
        <v>494.54352023899997</v>
      </c>
      <c r="U364">
        <v>0</v>
      </c>
      <c r="V364">
        <v>0</v>
      </c>
      <c r="W364">
        <v>0</v>
      </c>
      <c r="X364">
        <v>-148.36305607169999</v>
      </c>
      <c r="Y364">
        <v>67.036957502955801</v>
      </c>
      <c r="Z364" t="s">
        <v>51</v>
      </c>
    </row>
    <row r="365" spans="1:26">
      <c r="A365" t="s">
        <v>13</v>
      </c>
      <c r="B365">
        <v>2030</v>
      </c>
      <c r="C365" t="s">
        <v>539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57.599999999999902</v>
      </c>
      <c r="L365">
        <v>0</v>
      </c>
      <c r="M365">
        <v>74.7009069643495</v>
      </c>
      <c r="N365">
        <v>0</v>
      </c>
      <c r="O365" s="1">
        <v>0</v>
      </c>
      <c r="P365" s="1">
        <v>0</v>
      </c>
      <c r="Q365">
        <v>132.300906964349</v>
      </c>
      <c r="R365">
        <v>0</v>
      </c>
      <c r="S365">
        <v>265.11428196585001</v>
      </c>
      <c r="T365">
        <v>567.735984186</v>
      </c>
      <c r="U365">
        <v>0</v>
      </c>
      <c r="V365">
        <v>0</v>
      </c>
      <c r="W365">
        <v>0</v>
      </c>
      <c r="X365">
        <v>-170.32079525579999</v>
      </c>
      <c r="Y365">
        <v>67.036957502955801</v>
      </c>
      <c r="Z365" t="s">
        <v>51</v>
      </c>
    </row>
    <row r="366" spans="1:26">
      <c r="A366" t="s">
        <v>13</v>
      </c>
      <c r="B366">
        <v>2030</v>
      </c>
      <c r="C366" t="s">
        <v>540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57.599999999999902</v>
      </c>
      <c r="L366">
        <v>292.80173569390701</v>
      </c>
      <c r="M366">
        <v>57.565235307344402</v>
      </c>
      <c r="N366">
        <v>0</v>
      </c>
      <c r="O366" s="1">
        <v>0</v>
      </c>
      <c r="P366" s="1">
        <v>0</v>
      </c>
      <c r="Q366">
        <v>407.96697100125198</v>
      </c>
      <c r="R366">
        <v>0</v>
      </c>
      <c r="S366">
        <v>199.51625604804701</v>
      </c>
      <c r="T366">
        <v>867.83318149900003</v>
      </c>
      <c r="U366">
        <v>0</v>
      </c>
      <c r="V366">
        <v>0</v>
      </c>
      <c r="W366">
        <v>0</v>
      </c>
      <c r="X366">
        <v>-260.34995444970002</v>
      </c>
      <c r="Y366">
        <v>67.036957502955801</v>
      </c>
      <c r="Z366" t="s">
        <v>51</v>
      </c>
    </row>
    <row r="367" spans="1:26">
      <c r="A367" t="s">
        <v>13</v>
      </c>
      <c r="B367">
        <v>2030</v>
      </c>
      <c r="C367" t="s">
        <v>541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1679.3338383543501</v>
      </c>
      <c r="M367">
        <v>17.938158880185899</v>
      </c>
      <c r="N367">
        <v>57.599999999999902</v>
      </c>
      <c r="O367" s="1">
        <v>1104.20035945775</v>
      </c>
      <c r="P367">
        <v>0</v>
      </c>
      <c r="Q367">
        <v>1697.2719972345401</v>
      </c>
      <c r="R367">
        <v>0</v>
      </c>
      <c r="S367">
        <v>0</v>
      </c>
      <c r="T367">
        <v>1063.3132381</v>
      </c>
      <c r="U367">
        <v>0</v>
      </c>
      <c r="V367">
        <v>0</v>
      </c>
      <c r="W367">
        <v>350</v>
      </c>
      <c r="X367">
        <v>283.95875913454398</v>
      </c>
      <c r="Y367">
        <v>-17.062349206116401</v>
      </c>
      <c r="Z367" t="s">
        <v>51</v>
      </c>
    </row>
    <row r="368" spans="1:26">
      <c r="A368" t="s">
        <v>13</v>
      </c>
      <c r="B368">
        <v>2030</v>
      </c>
      <c r="C368" t="s">
        <v>542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2405.8914446716599</v>
      </c>
      <c r="M368">
        <v>13.778057048922999</v>
      </c>
      <c r="N368">
        <v>57.599999999999902</v>
      </c>
      <c r="O368" s="1">
        <v>549.53666342316501</v>
      </c>
      <c r="P368">
        <v>0</v>
      </c>
      <c r="Q368">
        <v>2419.6695017205898</v>
      </c>
      <c r="R368">
        <v>0</v>
      </c>
      <c r="S368">
        <v>0</v>
      </c>
      <c r="T368">
        <v>1150.27358531</v>
      </c>
      <c r="U368">
        <v>0</v>
      </c>
      <c r="V368">
        <v>0</v>
      </c>
      <c r="W368">
        <v>350</v>
      </c>
      <c r="X368">
        <v>919.39591641059098</v>
      </c>
      <c r="Y368">
        <v>-17.062349206116401</v>
      </c>
      <c r="Z368" t="s">
        <v>51</v>
      </c>
    </row>
    <row r="369" spans="1:26">
      <c r="A369" t="s">
        <v>13</v>
      </c>
      <c r="B369">
        <v>2030</v>
      </c>
      <c r="C369" t="s">
        <v>543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1567.26881994613</v>
      </c>
      <c r="M369" s="1">
        <v>13.922394035180901</v>
      </c>
      <c r="N369">
        <v>57.599999999999902</v>
      </c>
      <c r="O369" s="1">
        <v>1057.29542365102</v>
      </c>
      <c r="P369" s="1">
        <v>5.6281148260581899</v>
      </c>
      <c r="Q369">
        <v>1581.1912139813201</v>
      </c>
      <c r="R369">
        <v>0</v>
      </c>
      <c r="S369">
        <v>0</v>
      </c>
      <c r="T369">
        <v>1180.51122624</v>
      </c>
      <c r="U369">
        <v>0</v>
      </c>
      <c r="V369">
        <v>404.83335561331899</v>
      </c>
      <c r="W369">
        <v>350</v>
      </c>
      <c r="X369">
        <v>-354.15336787199999</v>
      </c>
      <c r="Y369">
        <v>-17.062349206116401</v>
      </c>
      <c r="Z369" t="s">
        <v>51</v>
      </c>
    </row>
    <row r="370" spans="1:26">
      <c r="A370" t="s">
        <v>13</v>
      </c>
      <c r="B370">
        <v>2030</v>
      </c>
      <c r="C370" t="s">
        <v>544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1907.8612024589399</v>
      </c>
      <c r="M370">
        <v>21.691316571014202</v>
      </c>
      <c r="N370">
        <v>57.599999999999902</v>
      </c>
      <c r="O370" s="1">
        <v>569.68581624969704</v>
      </c>
      <c r="P370" s="1">
        <v>0.13206770832985401</v>
      </c>
      <c r="Q370">
        <v>1929.55251902996</v>
      </c>
      <c r="R370">
        <v>0</v>
      </c>
      <c r="S370">
        <v>0</v>
      </c>
      <c r="T370">
        <v>1189.3532398</v>
      </c>
      <c r="U370">
        <v>0</v>
      </c>
      <c r="V370">
        <v>404.83335561331899</v>
      </c>
      <c r="W370">
        <v>350</v>
      </c>
      <c r="X370">
        <v>-14.6340763833579</v>
      </c>
      <c r="Y370">
        <v>-17.062349206116401</v>
      </c>
      <c r="Z370" t="s">
        <v>51</v>
      </c>
    </row>
    <row r="371" spans="1:26">
      <c r="A371" t="s">
        <v>13</v>
      </c>
      <c r="B371">
        <v>2030</v>
      </c>
      <c r="C371" t="s">
        <v>545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2475.8785558009899</v>
      </c>
      <c r="M371" s="1">
        <v>21.503540143224399</v>
      </c>
      <c r="N371">
        <v>57.599999999999902</v>
      </c>
      <c r="O371" s="1">
        <v>577.492628753497</v>
      </c>
      <c r="P371" s="1">
        <v>4.6870768808033096</v>
      </c>
      <c r="Q371">
        <v>2497.3820959442201</v>
      </c>
      <c r="R371">
        <v>0</v>
      </c>
      <c r="S371">
        <v>0</v>
      </c>
      <c r="T371">
        <v>1166.53863282</v>
      </c>
      <c r="U371">
        <v>0</v>
      </c>
      <c r="V371">
        <v>177.98889173250399</v>
      </c>
      <c r="W371">
        <v>350</v>
      </c>
      <c r="X371">
        <v>802.85457139172104</v>
      </c>
      <c r="Y371">
        <v>-17.062349206116401</v>
      </c>
      <c r="Z371" t="s">
        <v>51</v>
      </c>
    </row>
    <row r="372" spans="1:26">
      <c r="A372" t="s">
        <v>13</v>
      </c>
      <c r="B372">
        <v>2030</v>
      </c>
      <c r="C372" t="s">
        <v>546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57.599999999999902</v>
      </c>
      <c r="L372">
        <v>424.85751899711698</v>
      </c>
      <c r="M372" s="1">
        <v>60.506768044721099</v>
      </c>
      <c r="N372">
        <v>0</v>
      </c>
      <c r="O372" s="1">
        <v>8.8817841970012504E-16</v>
      </c>
      <c r="P372" s="1">
        <v>0</v>
      </c>
      <c r="Q372">
        <v>542.96428704183802</v>
      </c>
      <c r="R372">
        <v>87.651008887161396</v>
      </c>
      <c r="S372">
        <v>150</v>
      </c>
      <c r="T372">
        <v>1115.1647084700001</v>
      </c>
      <c r="U372">
        <v>0</v>
      </c>
      <c r="V372">
        <v>0</v>
      </c>
      <c r="W372">
        <v>0</v>
      </c>
      <c r="X372">
        <v>-334.54941254099998</v>
      </c>
      <c r="Y372">
        <v>67.036957502955801</v>
      </c>
      <c r="Z372" t="s">
        <v>51</v>
      </c>
    </row>
    <row r="373" spans="1:26">
      <c r="A373" t="s">
        <v>13</v>
      </c>
      <c r="B373">
        <v>2030</v>
      </c>
      <c r="C373" t="s">
        <v>547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57.599999999999902</v>
      </c>
      <c r="L373">
        <v>0</v>
      </c>
      <c r="M373">
        <v>76.473862220918704</v>
      </c>
      <c r="N373">
        <v>0</v>
      </c>
      <c r="O373" s="1">
        <v>0</v>
      </c>
      <c r="P373">
        <v>0</v>
      </c>
      <c r="Q373">
        <v>134.07386222091799</v>
      </c>
      <c r="R373">
        <v>404.83335561331899</v>
      </c>
      <c r="S373">
        <v>207.780823670762</v>
      </c>
      <c r="T373">
        <v>1066.6972021500001</v>
      </c>
      <c r="U373">
        <v>0</v>
      </c>
      <c r="V373">
        <v>0</v>
      </c>
      <c r="W373">
        <v>0</v>
      </c>
      <c r="X373">
        <v>-320.00916064500001</v>
      </c>
      <c r="Y373">
        <v>67.036957502955801</v>
      </c>
      <c r="Z373" t="s">
        <v>51</v>
      </c>
    </row>
    <row r="374" spans="1:26">
      <c r="A374" t="s">
        <v>13</v>
      </c>
      <c r="B374">
        <v>2030</v>
      </c>
      <c r="C374" t="s">
        <v>548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57.599999999999902</v>
      </c>
      <c r="L374">
        <v>0</v>
      </c>
      <c r="M374">
        <v>76.301675663208897</v>
      </c>
      <c r="N374">
        <v>0</v>
      </c>
      <c r="O374" s="1">
        <v>0</v>
      </c>
      <c r="P374" s="1">
        <v>0</v>
      </c>
      <c r="Q374">
        <v>133.90167566320801</v>
      </c>
      <c r="R374">
        <v>248.25733771887599</v>
      </c>
      <c r="S374">
        <v>166.285858937314</v>
      </c>
      <c r="T374">
        <v>783.49267474199996</v>
      </c>
      <c r="U374">
        <v>0</v>
      </c>
      <c r="V374">
        <v>0</v>
      </c>
      <c r="W374">
        <v>0</v>
      </c>
      <c r="X374">
        <v>-235.04780242259901</v>
      </c>
      <c r="Y374">
        <v>67.036957502955801</v>
      </c>
      <c r="Z374" t="s">
        <v>51</v>
      </c>
    </row>
    <row r="375" spans="1:26">
      <c r="A375" t="s">
        <v>13</v>
      </c>
      <c r="B375">
        <v>2030</v>
      </c>
      <c r="C375" t="s">
        <v>465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57.599999999999902</v>
      </c>
      <c r="L375">
        <v>0</v>
      </c>
      <c r="M375">
        <v>26.895580546584501</v>
      </c>
      <c r="N375">
        <v>0</v>
      </c>
      <c r="O375" s="1">
        <v>0</v>
      </c>
      <c r="P375" s="1">
        <v>0</v>
      </c>
      <c r="Q375">
        <v>84.495580546584506</v>
      </c>
      <c r="R375">
        <v>238.83345635325</v>
      </c>
      <c r="S375">
        <v>100.541241548565</v>
      </c>
      <c r="T375">
        <v>605.52896921199999</v>
      </c>
      <c r="U375">
        <v>0</v>
      </c>
      <c r="V375">
        <v>0</v>
      </c>
      <c r="W375">
        <v>0</v>
      </c>
      <c r="X375">
        <v>-181.65869076359999</v>
      </c>
      <c r="Y375">
        <v>0</v>
      </c>
      <c r="Z375" t="s">
        <v>52</v>
      </c>
    </row>
    <row r="376" spans="1:26">
      <c r="A376" t="s">
        <v>13</v>
      </c>
      <c r="B376">
        <v>2030</v>
      </c>
      <c r="C376" t="s">
        <v>466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57.599999999999902</v>
      </c>
      <c r="L376">
        <v>0</v>
      </c>
      <c r="M376">
        <v>42.0148617484273</v>
      </c>
      <c r="N376">
        <v>0</v>
      </c>
      <c r="O376">
        <v>0</v>
      </c>
      <c r="P376" s="1">
        <v>0</v>
      </c>
      <c r="Q376">
        <v>99.614861748427302</v>
      </c>
      <c r="R376">
        <v>34.581451261253598</v>
      </c>
      <c r="S376">
        <v>238.767034484818</v>
      </c>
      <c r="T376">
        <v>532.80478213499998</v>
      </c>
      <c r="U376">
        <v>0</v>
      </c>
      <c r="V376">
        <v>0</v>
      </c>
      <c r="W376">
        <v>0</v>
      </c>
      <c r="X376">
        <v>-159.84143464049899</v>
      </c>
      <c r="Y376">
        <v>0</v>
      </c>
      <c r="Z376" t="s">
        <v>52</v>
      </c>
    </row>
    <row r="377" spans="1:26">
      <c r="A377" t="s">
        <v>13</v>
      </c>
      <c r="B377">
        <v>2030</v>
      </c>
      <c r="C377" t="s">
        <v>467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57.599999999999902</v>
      </c>
      <c r="L377">
        <v>0</v>
      </c>
      <c r="M377">
        <v>50.882234744127899</v>
      </c>
      <c r="N377">
        <v>0</v>
      </c>
      <c r="O377">
        <v>0</v>
      </c>
      <c r="P377">
        <v>0</v>
      </c>
      <c r="Q377">
        <v>108.482234744127</v>
      </c>
      <c r="R377">
        <v>0</v>
      </c>
      <c r="S377">
        <v>318.96793325667102</v>
      </c>
      <c r="T377">
        <v>610.64309714399997</v>
      </c>
      <c r="U377">
        <v>0</v>
      </c>
      <c r="V377">
        <v>0</v>
      </c>
      <c r="W377">
        <v>0</v>
      </c>
      <c r="X377">
        <v>-183.19292914319999</v>
      </c>
      <c r="Y377">
        <v>0</v>
      </c>
      <c r="Z377" t="s">
        <v>52</v>
      </c>
    </row>
    <row r="378" spans="1:26">
      <c r="A378" t="s">
        <v>13</v>
      </c>
      <c r="B378">
        <v>2030</v>
      </c>
      <c r="C378" t="s">
        <v>468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57.599999999999902</v>
      </c>
      <c r="L378">
        <v>124.535238625635</v>
      </c>
      <c r="M378" s="1">
        <v>43.502218785021299</v>
      </c>
      <c r="N378">
        <v>0</v>
      </c>
      <c r="O378" s="1">
        <v>4.4408920985006202E-16</v>
      </c>
      <c r="P378">
        <v>0</v>
      </c>
      <c r="Q378">
        <v>225.63745741065699</v>
      </c>
      <c r="R378">
        <v>69.130254580542598</v>
      </c>
      <c r="S378">
        <v>350</v>
      </c>
      <c r="T378">
        <v>921.09673141600001</v>
      </c>
      <c r="U378">
        <v>0</v>
      </c>
      <c r="V378">
        <v>0</v>
      </c>
      <c r="W378">
        <v>0</v>
      </c>
      <c r="X378">
        <v>-276.32901942479998</v>
      </c>
      <c r="Y378">
        <v>0</v>
      </c>
      <c r="Z378" t="s">
        <v>52</v>
      </c>
    </row>
    <row r="379" spans="1:26">
      <c r="A379" t="s">
        <v>13</v>
      </c>
      <c r="B379">
        <v>2030</v>
      </c>
      <c r="C379" t="s">
        <v>469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2247.4959877269198</v>
      </c>
      <c r="M379">
        <v>25.594362253623</v>
      </c>
      <c r="N379">
        <v>57.599999999999902</v>
      </c>
      <c r="O379" s="1">
        <v>116.817367455143</v>
      </c>
      <c r="P379">
        <v>0.39786874872196998</v>
      </c>
      <c r="Q379">
        <v>2273.0903499805399</v>
      </c>
      <c r="R379">
        <v>0</v>
      </c>
      <c r="S379">
        <v>0</v>
      </c>
      <c r="T379">
        <v>1105.6455236199999</v>
      </c>
      <c r="U379">
        <v>0</v>
      </c>
      <c r="V379">
        <v>404.83335561331899</v>
      </c>
      <c r="W379">
        <v>350</v>
      </c>
      <c r="X379">
        <v>412.61147074722402</v>
      </c>
      <c r="Y379">
        <v>-511.87047618349402</v>
      </c>
      <c r="Z379" t="s">
        <v>52</v>
      </c>
    </row>
    <row r="380" spans="1:26">
      <c r="A380" t="s">
        <v>13</v>
      </c>
      <c r="B380">
        <v>2030</v>
      </c>
      <c r="C380" t="s">
        <v>470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2462.9622900214999</v>
      </c>
      <c r="M380">
        <v>18.557176376770698</v>
      </c>
      <c r="N380">
        <v>57.599999999999902</v>
      </c>
      <c r="O380" s="1">
        <v>623.483764945193</v>
      </c>
      <c r="P380">
        <v>10.7345185581666</v>
      </c>
      <c r="Q380">
        <v>2481.5194663982702</v>
      </c>
      <c r="R380">
        <v>0</v>
      </c>
      <c r="S380">
        <v>0</v>
      </c>
      <c r="T380">
        <v>1201.4299020999999</v>
      </c>
      <c r="U380">
        <v>0</v>
      </c>
      <c r="V380">
        <v>404.83335561331899</v>
      </c>
      <c r="W380">
        <v>350</v>
      </c>
      <c r="X380">
        <v>525.256208684954</v>
      </c>
      <c r="Y380">
        <v>-511.87047618349402</v>
      </c>
      <c r="Z380" t="s">
        <v>52</v>
      </c>
    </row>
    <row r="381" spans="1:26">
      <c r="A381" t="s">
        <v>13</v>
      </c>
      <c r="B381">
        <v>2030</v>
      </c>
      <c r="C381" t="s">
        <v>471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1594.8881220850701</v>
      </c>
      <c r="M381" s="1">
        <v>21.654630930239701</v>
      </c>
      <c r="N381">
        <v>57.599999999999902</v>
      </c>
      <c r="O381" s="1">
        <v>1575.50606092058</v>
      </c>
      <c r="P381" s="1">
        <v>17.396399628292698</v>
      </c>
      <c r="Q381">
        <v>1616.5427530153099</v>
      </c>
      <c r="R381">
        <v>0</v>
      </c>
      <c r="S381">
        <v>0</v>
      </c>
      <c r="T381">
        <v>1231.01342486</v>
      </c>
      <c r="U381">
        <v>0</v>
      </c>
      <c r="V381">
        <v>404.83335561331899</v>
      </c>
      <c r="W381">
        <v>350</v>
      </c>
      <c r="X381">
        <v>-369.30402745800001</v>
      </c>
      <c r="Y381">
        <v>-511.87047618349402</v>
      </c>
      <c r="Z381" t="s">
        <v>52</v>
      </c>
    </row>
    <row r="382" spans="1:26">
      <c r="A382" t="s">
        <v>13</v>
      </c>
      <c r="B382">
        <v>2030</v>
      </c>
      <c r="C382" t="s">
        <v>472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2654.2026720796598</v>
      </c>
      <c r="M382">
        <v>40.906097560892199</v>
      </c>
      <c r="N382">
        <v>57.599999999999902</v>
      </c>
      <c r="O382" s="1">
        <v>514.17558396432003</v>
      </c>
      <c r="P382" s="1">
        <v>3.9626299686184199</v>
      </c>
      <c r="Q382">
        <v>2695.1087696405498</v>
      </c>
      <c r="R382">
        <v>0</v>
      </c>
      <c r="S382">
        <v>0</v>
      </c>
      <c r="T382">
        <v>1241</v>
      </c>
      <c r="U382">
        <v>0</v>
      </c>
      <c r="V382">
        <v>404.83335561331899</v>
      </c>
      <c r="W382">
        <v>350</v>
      </c>
      <c r="X382">
        <v>699.27541402724</v>
      </c>
      <c r="Y382">
        <v>-511.87047618349402</v>
      </c>
      <c r="Z382" t="s">
        <v>52</v>
      </c>
    </row>
    <row r="383" spans="1:26">
      <c r="A383" t="s">
        <v>13</v>
      </c>
      <c r="B383">
        <v>2030</v>
      </c>
      <c r="C383" t="s">
        <v>473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2365.8410790753201</v>
      </c>
      <c r="M383">
        <v>48.079896774877398</v>
      </c>
      <c r="N383">
        <v>57.599999999999902</v>
      </c>
      <c r="O383" s="1">
        <v>593.49414317248602</v>
      </c>
      <c r="P383" s="1">
        <v>0</v>
      </c>
      <c r="Q383">
        <v>2413.9209758501902</v>
      </c>
      <c r="R383">
        <v>0</v>
      </c>
      <c r="S383">
        <v>0</v>
      </c>
      <c r="T383">
        <v>1195.1076982500001</v>
      </c>
      <c r="U383">
        <v>0</v>
      </c>
      <c r="V383">
        <v>404.83335561331899</v>
      </c>
      <c r="W383">
        <v>350</v>
      </c>
      <c r="X383">
        <v>463.97992198688002</v>
      </c>
      <c r="Y383">
        <v>-511.87047618349402</v>
      </c>
      <c r="Z383" t="s">
        <v>52</v>
      </c>
    </row>
    <row r="384" spans="1:26">
      <c r="A384" t="s">
        <v>13</v>
      </c>
      <c r="B384">
        <v>2030</v>
      </c>
      <c r="C384" t="s">
        <v>474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57.599999999999902</v>
      </c>
      <c r="L384">
        <v>273.13919741952998</v>
      </c>
      <c r="M384">
        <v>84.229130883208001</v>
      </c>
      <c r="N384">
        <v>0</v>
      </c>
      <c r="O384" s="1">
        <v>0</v>
      </c>
      <c r="P384" s="1">
        <v>0</v>
      </c>
      <c r="Q384">
        <v>414.96832830273797</v>
      </c>
      <c r="R384">
        <v>365.91321012826199</v>
      </c>
      <c r="S384">
        <v>200</v>
      </c>
      <c r="T384">
        <v>1186.9736263299999</v>
      </c>
      <c r="U384">
        <v>0</v>
      </c>
      <c r="V384">
        <v>0</v>
      </c>
      <c r="W384">
        <v>150</v>
      </c>
      <c r="X384">
        <v>-356.09208789899998</v>
      </c>
      <c r="Y384">
        <v>0</v>
      </c>
      <c r="Z384" t="s">
        <v>52</v>
      </c>
    </row>
    <row r="385" spans="1:26">
      <c r="A385" t="s">
        <v>13</v>
      </c>
      <c r="B385">
        <v>2030</v>
      </c>
      <c r="C385" t="s">
        <v>475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57.599999999999902</v>
      </c>
      <c r="L385">
        <v>0</v>
      </c>
      <c r="M385">
        <v>71.618364345551697</v>
      </c>
      <c r="N385">
        <v>0</v>
      </c>
      <c r="O385" s="1">
        <v>0</v>
      </c>
      <c r="P385">
        <v>0</v>
      </c>
      <c r="Q385">
        <v>129.21836434555101</v>
      </c>
      <c r="R385">
        <v>404.83335561331899</v>
      </c>
      <c r="S385">
        <v>335</v>
      </c>
      <c r="T385">
        <v>1106.5581755600001</v>
      </c>
      <c r="U385">
        <v>0</v>
      </c>
      <c r="V385">
        <v>0</v>
      </c>
      <c r="W385">
        <v>94.460997066871201</v>
      </c>
      <c r="X385">
        <v>-331.96745266800002</v>
      </c>
      <c r="Y385">
        <v>0</v>
      </c>
      <c r="Z385" t="s">
        <v>52</v>
      </c>
    </row>
    <row r="386" spans="1:26">
      <c r="A386" t="s">
        <v>13</v>
      </c>
      <c r="B386">
        <v>2030</v>
      </c>
      <c r="C386" t="s">
        <v>476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57.599999999999902</v>
      </c>
      <c r="L386">
        <v>0</v>
      </c>
      <c r="M386">
        <v>52.7526733648264</v>
      </c>
      <c r="N386">
        <v>0</v>
      </c>
      <c r="O386">
        <v>0</v>
      </c>
      <c r="P386">
        <v>0</v>
      </c>
      <c r="Q386">
        <v>110.352673364826</v>
      </c>
      <c r="R386">
        <v>404.83335561331899</v>
      </c>
      <c r="S386">
        <v>51.201175736654299</v>
      </c>
      <c r="T386">
        <v>809.12457816400001</v>
      </c>
      <c r="U386">
        <v>0</v>
      </c>
      <c r="V386">
        <v>0</v>
      </c>
      <c r="W386">
        <v>0</v>
      </c>
      <c r="X386">
        <v>-242.73737344919999</v>
      </c>
      <c r="Y386">
        <v>0</v>
      </c>
      <c r="Z386" t="s">
        <v>52</v>
      </c>
    </row>
    <row r="387" spans="1:26">
      <c r="A387" t="s">
        <v>13</v>
      </c>
      <c r="B387">
        <v>2030</v>
      </c>
      <c r="C387" t="s">
        <v>477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57.599999999999902</v>
      </c>
      <c r="L387">
        <v>0</v>
      </c>
      <c r="M387">
        <v>4.5580144798718596</v>
      </c>
      <c r="N387">
        <v>0</v>
      </c>
      <c r="O387">
        <v>0</v>
      </c>
      <c r="P387" s="1">
        <v>0</v>
      </c>
      <c r="Q387">
        <v>62.158014479871802</v>
      </c>
      <c r="R387">
        <v>115.211502094868</v>
      </c>
      <c r="S387">
        <v>194.372376549959</v>
      </c>
      <c r="T387">
        <v>531.05984732100001</v>
      </c>
      <c r="U387">
        <v>0</v>
      </c>
      <c r="V387">
        <v>0</v>
      </c>
      <c r="W387">
        <v>0</v>
      </c>
      <c r="X387">
        <v>-159.31795419630001</v>
      </c>
      <c r="Y387">
        <v>25224.1647000271</v>
      </c>
      <c r="Z387" t="s">
        <v>52</v>
      </c>
    </row>
    <row r="388" spans="1:26">
      <c r="A388" t="s">
        <v>13</v>
      </c>
      <c r="B388">
        <v>2030</v>
      </c>
      <c r="C388" t="s">
        <v>478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57.599999999999902</v>
      </c>
      <c r="L388">
        <v>0</v>
      </c>
      <c r="M388">
        <v>0.46238310143275002</v>
      </c>
      <c r="N388">
        <v>0</v>
      </c>
      <c r="O388" s="1">
        <v>0</v>
      </c>
      <c r="P388" s="1">
        <v>0</v>
      </c>
      <c r="Q388">
        <v>58.062383101432701</v>
      </c>
      <c r="R388">
        <v>0</v>
      </c>
      <c r="S388">
        <v>269.68794113556697</v>
      </c>
      <c r="T388">
        <v>468.21474891000003</v>
      </c>
      <c r="U388">
        <v>0</v>
      </c>
      <c r="V388">
        <v>0</v>
      </c>
      <c r="W388">
        <v>0</v>
      </c>
      <c r="X388">
        <v>-140.464424673</v>
      </c>
      <c r="Y388">
        <v>25224.1647000271</v>
      </c>
      <c r="Z388" t="s">
        <v>52</v>
      </c>
    </row>
    <row r="389" spans="1:26">
      <c r="A389" t="s">
        <v>13</v>
      </c>
      <c r="B389">
        <v>2030</v>
      </c>
      <c r="C389" t="s">
        <v>479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178.2</v>
      </c>
      <c r="J389">
        <v>0</v>
      </c>
      <c r="K389">
        <v>57.599999999999902</v>
      </c>
      <c r="L389">
        <v>0</v>
      </c>
      <c r="M389">
        <v>0.48803388983964902</v>
      </c>
      <c r="N389">
        <v>0</v>
      </c>
      <c r="O389" s="1">
        <v>0</v>
      </c>
      <c r="P389">
        <v>0</v>
      </c>
      <c r="Q389">
        <v>236.288033889839</v>
      </c>
      <c r="R389">
        <v>0</v>
      </c>
      <c r="S389">
        <v>154.04836437175999</v>
      </c>
      <c r="T389">
        <v>557.62342608799997</v>
      </c>
      <c r="U389">
        <v>0</v>
      </c>
      <c r="V389">
        <v>0</v>
      </c>
      <c r="W389">
        <v>0</v>
      </c>
      <c r="X389">
        <v>-167.28702782639999</v>
      </c>
      <c r="Y389">
        <v>25224.1647000271</v>
      </c>
      <c r="Z389" t="s">
        <v>52</v>
      </c>
    </row>
    <row r="390" spans="1:26">
      <c r="A390" t="s">
        <v>13</v>
      </c>
      <c r="B390">
        <v>2030</v>
      </c>
      <c r="C390" t="s">
        <v>480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57.599999999999902</v>
      </c>
      <c r="L390">
        <v>0.11672022870755699</v>
      </c>
      <c r="M390" s="1">
        <v>0.492940463071315</v>
      </c>
      <c r="N390">
        <v>0</v>
      </c>
      <c r="O390" s="1">
        <v>0</v>
      </c>
      <c r="P390" s="1">
        <v>0</v>
      </c>
      <c r="Q390">
        <v>58.209660691778801</v>
      </c>
      <c r="R390">
        <v>188.41351461512099</v>
      </c>
      <c r="S390">
        <v>350</v>
      </c>
      <c r="T390">
        <v>852.318821867</v>
      </c>
      <c r="U390">
        <v>0</v>
      </c>
      <c r="V390">
        <v>0</v>
      </c>
      <c r="W390">
        <v>0</v>
      </c>
      <c r="X390">
        <v>-255.69564656009999</v>
      </c>
      <c r="Y390">
        <v>25224.1647000271</v>
      </c>
      <c r="Z390" t="s">
        <v>52</v>
      </c>
    </row>
    <row r="391" spans="1:26">
      <c r="A391" t="s">
        <v>13</v>
      </c>
      <c r="B391">
        <v>2030</v>
      </c>
      <c r="C391" t="s">
        <v>481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57.599999999999902</v>
      </c>
      <c r="L391">
        <v>2096.1705754998802</v>
      </c>
      <c r="M391" s="1">
        <v>0.60444302116241899</v>
      </c>
      <c r="N391">
        <v>0</v>
      </c>
      <c r="O391" s="1">
        <v>0</v>
      </c>
      <c r="P391" s="1">
        <v>0</v>
      </c>
      <c r="Q391">
        <v>2154.3750185210401</v>
      </c>
      <c r="R391">
        <v>0</v>
      </c>
      <c r="S391">
        <v>0</v>
      </c>
      <c r="T391">
        <v>1053.5385045099999</v>
      </c>
      <c r="U391">
        <v>0</v>
      </c>
      <c r="V391">
        <v>404.83335561331899</v>
      </c>
      <c r="W391">
        <v>350</v>
      </c>
      <c r="X391">
        <v>346.00315839772401</v>
      </c>
      <c r="Y391">
        <v>15893.9708422151</v>
      </c>
      <c r="Z391" t="s">
        <v>52</v>
      </c>
    </row>
    <row r="392" spans="1:26">
      <c r="A392" t="s">
        <v>13</v>
      </c>
      <c r="B392">
        <v>2030</v>
      </c>
      <c r="C392" t="s">
        <v>482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57.599999999999902</v>
      </c>
      <c r="L392">
        <v>2298.97880225874</v>
      </c>
      <c r="M392" s="1">
        <v>4.4643270016849304</v>
      </c>
      <c r="N392">
        <v>0</v>
      </c>
      <c r="O392" s="1">
        <v>0</v>
      </c>
      <c r="P392" s="1">
        <v>0</v>
      </c>
      <c r="Q392">
        <v>2361.0431292604198</v>
      </c>
      <c r="R392">
        <v>0</v>
      </c>
      <c r="S392">
        <v>0</v>
      </c>
      <c r="T392">
        <v>1149.1483813100001</v>
      </c>
      <c r="U392">
        <v>0</v>
      </c>
      <c r="V392">
        <v>404.83335561331899</v>
      </c>
      <c r="W392">
        <v>350</v>
      </c>
      <c r="X392">
        <v>457.06139233711099</v>
      </c>
      <c r="Y392">
        <v>15893.9708422151</v>
      </c>
      <c r="Z392" t="s">
        <v>52</v>
      </c>
    </row>
    <row r="393" spans="1:26">
      <c r="A393" t="s">
        <v>13</v>
      </c>
      <c r="B393">
        <v>2030</v>
      </c>
      <c r="C393" t="s">
        <v>483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57.599999999999902</v>
      </c>
      <c r="L393">
        <v>2138.9833299829702</v>
      </c>
      <c r="M393">
        <v>12.698853745817599</v>
      </c>
      <c r="N393">
        <v>0</v>
      </c>
      <c r="O393" s="1">
        <v>0</v>
      </c>
      <c r="P393" s="1">
        <v>0</v>
      </c>
      <c r="Q393">
        <v>2209.2821837287902</v>
      </c>
      <c r="R393">
        <v>0</v>
      </c>
      <c r="S393">
        <v>0</v>
      </c>
      <c r="T393">
        <v>1189.8461041200001</v>
      </c>
      <c r="U393">
        <v>0</v>
      </c>
      <c r="V393">
        <v>404.83335561331899</v>
      </c>
      <c r="W393">
        <v>350</v>
      </c>
      <c r="X393">
        <v>264.60272399547102</v>
      </c>
      <c r="Y393">
        <v>15893.9708422151</v>
      </c>
      <c r="Z393" t="s">
        <v>52</v>
      </c>
    </row>
    <row r="394" spans="1:26">
      <c r="A394" t="s">
        <v>13</v>
      </c>
      <c r="B394">
        <v>2030</v>
      </c>
      <c r="C394" t="s">
        <v>484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57.599999999999902</v>
      </c>
      <c r="L394">
        <v>2204.8527263713199</v>
      </c>
      <c r="M394" s="1">
        <v>10.9883493011396</v>
      </c>
      <c r="N394">
        <v>0</v>
      </c>
      <c r="O394" s="1">
        <v>0</v>
      </c>
      <c r="P394" s="1">
        <v>0</v>
      </c>
      <c r="Q394">
        <v>2273.4410756724601</v>
      </c>
      <c r="R394">
        <v>0</v>
      </c>
      <c r="S394">
        <v>0</v>
      </c>
      <c r="T394">
        <v>1192.51720862</v>
      </c>
      <c r="U394">
        <v>0</v>
      </c>
      <c r="V394">
        <v>404.83335561331899</v>
      </c>
      <c r="W394">
        <v>350</v>
      </c>
      <c r="X394">
        <v>326.09051143914502</v>
      </c>
      <c r="Y394">
        <v>15893.9708422151</v>
      </c>
      <c r="Z394" t="s">
        <v>52</v>
      </c>
    </row>
    <row r="395" spans="1:26">
      <c r="A395" t="s">
        <v>13</v>
      </c>
      <c r="B395">
        <v>2030</v>
      </c>
      <c r="C395" t="s">
        <v>485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57.599999999999902</v>
      </c>
      <c r="L395">
        <v>2075.5102505319101</v>
      </c>
      <c r="M395" s="1">
        <v>12.4866370710551</v>
      </c>
      <c r="N395">
        <v>0</v>
      </c>
      <c r="O395" s="1">
        <v>0</v>
      </c>
      <c r="P395" s="1">
        <v>0</v>
      </c>
      <c r="Q395">
        <v>2145.5968876029601</v>
      </c>
      <c r="R395">
        <v>0</v>
      </c>
      <c r="S395">
        <v>0</v>
      </c>
      <c r="T395">
        <v>1155.6316510199999</v>
      </c>
      <c r="U395">
        <v>0</v>
      </c>
      <c r="V395">
        <v>404.83335561331899</v>
      </c>
      <c r="W395">
        <v>350</v>
      </c>
      <c r="X395">
        <v>235.13188096964601</v>
      </c>
      <c r="Y395">
        <v>15893.9708422151</v>
      </c>
      <c r="Z395" t="s">
        <v>52</v>
      </c>
    </row>
    <row r="396" spans="1:26">
      <c r="A396" t="s">
        <v>13</v>
      </c>
      <c r="B396">
        <v>2030</v>
      </c>
      <c r="C396" t="s">
        <v>486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87.531637346286601</v>
      </c>
      <c r="J396">
        <v>0</v>
      </c>
      <c r="K396">
        <v>57.599999999999902</v>
      </c>
      <c r="L396">
        <v>26.8057173918289</v>
      </c>
      <c r="M396">
        <v>28.471355024341499</v>
      </c>
      <c r="N396">
        <v>0</v>
      </c>
      <c r="O396" s="1">
        <v>-1.11022302462515E-16</v>
      </c>
      <c r="P396" s="1">
        <v>0</v>
      </c>
      <c r="Q396">
        <v>200.40870976245699</v>
      </c>
      <c r="R396">
        <v>404.83335561331899</v>
      </c>
      <c r="S396">
        <v>249.664716059223</v>
      </c>
      <c r="T396">
        <v>1221.2954020499999</v>
      </c>
      <c r="U396">
        <v>0</v>
      </c>
      <c r="V396">
        <v>0</v>
      </c>
      <c r="W396">
        <v>0</v>
      </c>
      <c r="X396">
        <v>-366.38862061499998</v>
      </c>
      <c r="Y396">
        <v>25224.1647000271</v>
      </c>
      <c r="Z396" t="s">
        <v>52</v>
      </c>
    </row>
    <row r="397" spans="1:26">
      <c r="A397" t="s">
        <v>13</v>
      </c>
      <c r="B397">
        <v>2030</v>
      </c>
      <c r="C397" t="s">
        <v>487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57.599999999999902</v>
      </c>
      <c r="L397">
        <v>0</v>
      </c>
      <c r="M397">
        <v>43.614363130494603</v>
      </c>
      <c r="N397">
        <v>0</v>
      </c>
      <c r="O397">
        <v>0</v>
      </c>
      <c r="P397">
        <v>0</v>
      </c>
      <c r="Q397">
        <v>101.21436313049399</v>
      </c>
      <c r="R397">
        <v>404.83335561331899</v>
      </c>
      <c r="S397">
        <v>224.83330052318601</v>
      </c>
      <c r="T397">
        <v>1044.1157418099999</v>
      </c>
      <c r="U397">
        <v>0</v>
      </c>
      <c r="V397">
        <v>0</v>
      </c>
      <c r="W397">
        <v>0</v>
      </c>
      <c r="X397">
        <v>-313.23472254299998</v>
      </c>
      <c r="Y397">
        <v>25224.1647000271</v>
      </c>
      <c r="Z397" t="s">
        <v>52</v>
      </c>
    </row>
    <row r="398" spans="1:26">
      <c r="A398" t="s">
        <v>13</v>
      </c>
      <c r="B398">
        <v>2030</v>
      </c>
      <c r="C398" t="s">
        <v>488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57.599999999999902</v>
      </c>
      <c r="L398">
        <v>0</v>
      </c>
      <c r="M398">
        <v>41.176308052076898</v>
      </c>
      <c r="N398">
        <v>0</v>
      </c>
      <c r="O398">
        <v>0</v>
      </c>
      <c r="P398" s="1">
        <v>0</v>
      </c>
      <c r="Q398">
        <v>98.776308052076899</v>
      </c>
      <c r="R398">
        <v>404.83335561331899</v>
      </c>
      <c r="S398">
        <v>24.893301360303699</v>
      </c>
      <c r="T398">
        <v>755.00423575100001</v>
      </c>
      <c r="U398">
        <v>0</v>
      </c>
      <c r="V398">
        <v>0</v>
      </c>
      <c r="W398">
        <v>0</v>
      </c>
      <c r="X398">
        <v>-226.5012707253</v>
      </c>
      <c r="Y398">
        <v>25224.1647000271</v>
      </c>
      <c r="Z398" t="s">
        <v>52</v>
      </c>
    </row>
    <row r="399" spans="1:26">
      <c r="A399" t="s">
        <v>13</v>
      </c>
      <c r="B399">
        <v>2030</v>
      </c>
      <c r="C399" t="s">
        <v>549</v>
      </c>
      <c r="D399" s="1">
        <v>1.84741111297626E-13</v>
      </c>
      <c r="E399">
        <v>72.657441697282195</v>
      </c>
      <c r="F399">
        <v>0</v>
      </c>
      <c r="G399">
        <v>0</v>
      </c>
      <c r="H399">
        <v>0</v>
      </c>
      <c r="I399">
        <v>178.2</v>
      </c>
      <c r="J399">
        <v>0</v>
      </c>
      <c r="K399">
        <v>57.599999999999902</v>
      </c>
      <c r="L399">
        <v>0</v>
      </c>
      <c r="M399">
        <v>19.7302061011403</v>
      </c>
      <c r="N399">
        <v>0</v>
      </c>
      <c r="O399">
        <v>0</v>
      </c>
      <c r="P399" s="1">
        <v>0</v>
      </c>
      <c r="Q399">
        <v>328.18764779842201</v>
      </c>
      <c r="R399">
        <v>0</v>
      </c>
      <c r="S399">
        <v>26.875838588277201</v>
      </c>
      <c r="T399">
        <v>507.23355198100001</v>
      </c>
      <c r="U399">
        <v>0</v>
      </c>
      <c r="V399">
        <v>0</v>
      </c>
      <c r="W399">
        <v>0</v>
      </c>
      <c r="X399">
        <v>-152.17006559429899</v>
      </c>
      <c r="Y399">
        <v>1205.42580969151</v>
      </c>
      <c r="Z399" t="s">
        <v>51</v>
      </c>
    </row>
    <row r="400" spans="1:26">
      <c r="A400" t="s">
        <v>13</v>
      </c>
      <c r="B400">
        <v>2030</v>
      </c>
      <c r="C400" t="s">
        <v>550</v>
      </c>
      <c r="D400">
        <v>0</v>
      </c>
      <c r="E400">
        <v>0</v>
      </c>
      <c r="F400">
        <v>0</v>
      </c>
      <c r="G400" s="1">
        <v>0</v>
      </c>
      <c r="H400">
        <v>0</v>
      </c>
      <c r="I400">
        <v>178.2</v>
      </c>
      <c r="J400">
        <v>0</v>
      </c>
      <c r="K400">
        <v>57.599999999999902</v>
      </c>
      <c r="L400">
        <v>0</v>
      </c>
      <c r="M400">
        <v>19.091285848527601</v>
      </c>
      <c r="N400">
        <v>0</v>
      </c>
      <c r="O400">
        <v>0</v>
      </c>
      <c r="P400" s="1">
        <v>0</v>
      </c>
      <c r="Q400">
        <v>254.89128584852699</v>
      </c>
      <c r="R400">
        <v>0</v>
      </c>
      <c r="S400">
        <v>59.501528274272303</v>
      </c>
      <c r="T400">
        <v>449.13259160400003</v>
      </c>
      <c r="U400">
        <v>0</v>
      </c>
      <c r="V400">
        <v>0</v>
      </c>
      <c r="W400">
        <v>0</v>
      </c>
      <c r="X400">
        <v>-134.73977748120001</v>
      </c>
      <c r="Y400">
        <v>1205.42580969151</v>
      </c>
      <c r="Z400" t="s">
        <v>51</v>
      </c>
    </row>
    <row r="401" spans="1:26">
      <c r="A401" t="s">
        <v>13</v>
      </c>
      <c r="B401">
        <v>2030</v>
      </c>
      <c r="C401" t="s">
        <v>551</v>
      </c>
      <c r="D401">
        <v>0</v>
      </c>
      <c r="E401">
        <v>74.687999999999903</v>
      </c>
      <c r="F401">
        <v>0</v>
      </c>
      <c r="G401" s="1">
        <v>0</v>
      </c>
      <c r="H401">
        <v>0</v>
      </c>
      <c r="I401">
        <v>178.2</v>
      </c>
      <c r="J401">
        <v>0</v>
      </c>
      <c r="K401">
        <v>57.599999999999902</v>
      </c>
      <c r="L401">
        <v>0</v>
      </c>
      <c r="M401">
        <v>0.11251259394263</v>
      </c>
      <c r="N401">
        <v>0</v>
      </c>
      <c r="O401">
        <v>0</v>
      </c>
      <c r="P401" s="1">
        <v>0</v>
      </c>
      <c r="Q401">
        <v>310.60051259394203</v>
      </c>
      <c r="R401">
        <v>0</v>
      </c>
      <c r="S401">
        <v>70.395496559257396</v>
      </c>
      <c r="T401">
        <v>544.28001307600005</v>
      </c>
      <c r="U401">
        <v>0</v>
      </c>
      <c r="V401">
        <v>0</v>
      </c>
      <c r="W401">
        <v>0</v>
      </c>
      <c r="X401">
        <v>-163.2840039228</v>
      </c>
      <c r="Y401">
        <v>1205.42580969151</v>
      </c>
      <c r="Z401" t="s">
        <v>51</v>
      </c>
    </row>
    <row r="402" spans="1:26">
      <c r="A402" t="s">
        <v>13</v>
      </c>
      <c r="B402">
        <v>2030</v>
      </c>
      <c r="C402" t="s">
        <v>552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178.2</v>
      </c>
      <c r="J402">
        <v>0</v>
      </c>
      <c r="K402">
        <v>57.599999999999902</v>
      </c>
      <c r="L402">
        <v>0</v>
      </c>
      <c r="M402" s="1">
        <v>17.9221722572263</v>
      </c>
      <c r="N402">
        <v>0</v>
      </c>
      <c r="O402" s="1">
        <v>0</v>
      </c>
      <c r="P402" s="1">
        <v>0</v>
      </c>
      <c r="Q402">
        <v>253.72217225722599</v>
      </c>
      <c r="R402">
        <v>0</v>
      </c>
      <c r="S402">
        <v>343.15881693397301</v>
      </c>
      <c r="T402">
        <v>852.68712741599995</v>
      </c>
      <c r="U402">
        <v>0</v>
      </c>
      <c r="V402">
        <v>0</v>
      </c>
      <c r="W402">
        <v>0</v>
      </c>
      <c r="X402">
        <v>-255.80613822479901</v>
      </c>
      <c r="Y402">
        <v>1205.42580969151</v>
      </c>
      <c r="Z402" t="s">
        <v>51</v>
      </c>
    </row>
    <row r="403" spans="1:26">
      <c r="A403" t="s">
        <v>13</v>
      </c>
      <c r="B403">
        <v>2030</v>
      </c>
      <c r="C403" t="s">
        <v>553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43.836793887724298</v>
      </c>
      <c r="J403">
        <v>0</v>
      </c>
      <c r="K403">
        <v>57.599999999999902</v>
      </c>
      <c r="L403">
        <v>566.00615380404497</v>
      </c>
      <c r="M403" s="1">
        <v>5.5641987310299799</v>
      </c>
      <c r="N403">
        <v>0</v>
      </c>
      <c r="O403" s="1">
        <v>0</v>
      </c>
      <c r="P403" s="1">
        <v>0</v>
      </c>
      <c r="Q403">
        <v>673.00714642280002</v>
      </c>
      <c r="R403">
        <v>0</v>
      </c>
      <c r="S403">
        <v>0</v>
      </c>
      <c r="T403">
        <v>961.43878060400004</v>
      </c>
      <c r="U403">
        <v>0</v>
      </c>
      <c r="V403">
        <v>0</v>
      </c>
      <c r="W403">
        <v>0</v>
      </c>
      <c r="X403">
        <v>-288.43163418120002</v>
      </c>
      <c r="Y403">
        <v>992.73690374747002</v>
      </c>
      <c r="Z403" t="s">
        <v>51</v>
      </c>
    </row>
    <row r="404" spans="1:26">
      <c r="A404" t="s">
        <v>13</v>
      </c>
      <c r="B404">
        <v>2030</v>
      </c>
      <c r="C404" t="s">
        <v>554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57.599999999999902</v>
      </c>
      <c r="L404">
        <v>2113.9952562224998</v>
      </c>
      <c r="M404" s="1">
        <v>2.5467477229925102</v>
      </c>
      <c r="N404">
        <v>0</v>
      </c>
      <c r="O404" s="1">
        <v>-1.4210854715202001E-14</v>
      </c>
      <c r="P404" s="1">
        <v>0</v>
      </c>
      <c r="Q404">
        <v>2174.1420039454902</v>
      </c>
      <c r="R404">
        <v>0</v>
      </c>
      <c r="S404">
        <v>0</v>
      </c>
      <c r="T404">
        <v>1049.31332778</v>
      </c>
      <c r="U404">
        <v>0</v>
      </c>
      <c r="V404">
        <v>0</v>
      </c>
      <c r="W404">
        <v>350</v>
      </c>
      <c r="X404">
        <v>774.828676165498</v>
      </c>
      <c r="Y404">
        <v>836.72928993529899</v>
      </c>
      <c r="Z404" t="s">
        <v>51</v>
      </c>
    </row>
    <row r="405" spans="1:26">
      <c r="A405" t="s">
        <v>13</v>
      </c>
      <c r="B405">
        <v>2030</v>
      </c>
      <c r="C405" t="s">
        <v>555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57.599999999999902</v>
      </c>
      <c r="L405">
        <v>2289.7895621010498</v>
      </c>
      <c r="M405">
        <v>7.4074543723842297</v>
      </c>
      <c r="N405">
        <v>0</v>
      </c>
      <c r="O405">
        <v>0</v>
      </c>
      <c r="P405" s="1">
        <v>0</v>
      </c>
      <c r="Q405">
        <v>2354.7970164734402</v>
      </c>
      <c r="R405">
        <v>0</v>
      </c>
      <c r="S405">
        <v>0</v>
      </c>
      <c r="T405">
        <v>1065.67381787</v>
      </c>
      <c r="U405">
        <v>0</v>
      </c>
      <c r="V405">
        <v>404.83335561331899</v>
      </c>
      <c r="W405">
        <v>350</v>
      </c>
      <c r="X405">
        <v>534.289842990122</v>
      </c>
      <c r="Y405">
        <v>836.72928993529899</v>
      </c>
      <c r="Z405" t="s">
        <v>51</v>
      </c>
    </row>
    <row r="406" spans="1:26">
      <c r="A406" t="s">
        <v>13</v>
      </c>
      <c r="B406">
        <v>2030</v>
      </c>
      <c r="C406" t="s">
        <v>556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57.599999999999902</v>
      </c>
      <c r="L406">
        <v>1873.8659507493401</v>
      </c>
      <c r="M406">
        <v>3.06963378242139</v>
      </c>
      <c r="N406">
        <v>0</v>
      </c>
      <c r="O406" s="1">
        <v>0</v>
      </c>
      <c r="P406" s="1">
        <v>0</v>
      </c>
      <c r="Q406">
        <v>1934.5355845317599</v>
      </c>
      <c r="R406">
        <v>0</v>
      </c>
      <c r="S406">
        <v>0</v>
      </c>
      <c r="T406">
        <v>1058.57842013</v>
      </c>
      <c r="U406">
        <v>0</v>
      </c>
      <c r="V406">
        <v>0</v>
      </c>
      <c r="W406">
        <v>350</v>
      </c>
      <c r="X406">
        <v>525.95716440176295</v>
      </c>
      <c r="Y406">
        <v>836.72928993529899</v>
      </c>
      <c r="Z406" t="s">
        <v>51</v>
      </c>
    </row>
    <row r="407" spans="1:26">
      <c r="A407" t="s">
        <v>13</v>
      </c>
      <c r="B407">
        <v>2030</v>
      </c>
      <c r="C407" t="s">
        <v>557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57.599999999999902</v>
      </c>
      <c r="L407">
        <v>1387.71395555203</v>
      </c>
      <c r="M407">
        <v>5.5424765103162601</v>
      </c>
      <c r="N407">
        <v>0</v>
      </c>
      <c r="O407" s="1">
        <v>0</v>
      </c>
      <c r="P407">
        <v>0</v>
      </c>
      <c r="Q407">
        <v>1450.85643206235</v>
      </c>
      <c r="R407">
        <v>0</v>
      </c>
      <c r="S407">
        <v>0</v>
      </c>
      <c r="T407">
        <v>1045.9839975299999</v>
      </c>
      <c r="U407">
        <v>0</v>
      </c>
      <c r="V407">
        <v>52.285771288540502</v>
      </c>
      <c r="W407">
        <v>350</v>
      </c>
      <c r="X407">
        <v>2.5866632438160102</v>
      </c>
      <c r="Y407">
        <v>836.72928993529899</v>
      </c>
      <c r="Z407" t="s">
        <v>51</v>
      </c>
    </row>
    <row r="408" spans="1:26">
      <c r="A408" t="s">
        <v>13</v>
      </c>
      <c r="B408">
        <v>2030</v>
      </c>
      <c r="C408" t="s">
        <v>558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178.2</v>
      </c>
      <c r="J408">
        <v>0</v>
      </c>
      <c r="K408">
        <v>57.599999999999902</v>
      </c>
      <c r="L408">
        <v>18.602452428254299</v>
      </c>
      <c r="M408" s="1">
        <v>76.664073325206104</v>
      </c>
      <c r="N408">
        <v>0</v>
      </c>
      <c r="O408" s="1">
        <v>0</v>
      </c>
      <c r="P408" s="1">
        <v>0</v>
      </c>
      <c r="Q408">
        <v>331.06652575345998</v>
      </c>
      <c r="R408">
        <v>117.34338076453901</v>
      </c>
      <c r="S408">
        <v>350</v>
      </c>
      <c r="T408">
        <v>1140.5855807400001</v>
      </c>
      <c r="U408">
        <v>0</v>
      </c>
      <c r="V408">
        <v>0</v>
      </c>
      <c r="W408">
        <v>0</v>
      </c>
      <c r="X408">
        <v>-342.175674222</v>
      </c>
      <c r="Y408">
        <v>1205.42580969151</v>
      </c>
      <c r="Z408" t="s">
        <v>51</v>
      </c>
    </row>
    <row r="409" spans="1:26">
      <c r="A409" t="s">
        <v>13</v>
      </c>
      <c r="B409">
        <v>2030</v>
      </c>
      <c r="C409" t="s">
        <v>559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178.2</v>
      </c>
      <c r="J409">
        <v>0</v>
      </c>
      <c r="K409">
        <v>57.599999999999902</v>
      </c>
      <c r="L409">
        <v>0</v>
      </c>
      <c r="M409">
        <v>68.5790368352949</v>
      </c>
      <c r="N409">
        <v>0</v>
      </c>
      <c r="O409">
        <v>0</v>
      </c>
      <c r="P409" s="1">
        <v>0</v>
      </c>
      <c r="Q409">
        <v>304.37903683529498</v>
      </c>
      <c r="R409">
        <v>225.495964411855</v>
      </c>
      <c r="S409">
        <v>149.627212435449</v>
      </c>
      <c r="T409">
        <v>970.71744811799999</v>
      </c>
      <c r="U409">
        <v>0</v>
      </c>
      <c r="V409">
        <v>0</v>
      </c>
      <c r="W409">
        <v>0</v>
      </c>
      <c r="X409">
        <v>-291.215234435399</v>
      </c>
      <c r="Y409">
        <v>1205.42580969151</v>
      </c>
      <c r="Z409" t="s">
        <v>51</v>
      </c>
    </row>
    <row r="410" spans="1:26">
      <c r="A410" t="s">
        <v>13</v>
      </c>
      <c r="B410">
        <v>2030</v>
      </c>
      <c r="C410" t="s">
        <v>560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178.2</v>
      </c>
      <c r="J410">
        <v>0</v>
      </c>
      <c r="K410">
        <v>57.599999999999902</v>
      </c>
      <c r="L410">
        <v>0</v>
      </c>
      <c r="M410">
        <v>55.385136516730398</v>
      </c>
      <c r="N410">
        <v>0</v>
      </c>
      <c r="O410" s="1">
        <v>0</v>
      </c>
      <c r="P410">
        <v>0</v>
      </c>
      <c r="Q410">
        <v>291.18513651672998</v>
      </c>
      <c r="R410">
        <v>0</v>
      </c>
      <c r="S410">
        <v>198.44110720876901</v>
      </c>
      <c r="T410">
        <v>699.46606246500005</v>
      </c>
      <c r="U410">
        <v>0</v>
      </c>
      <c r="V410">
        <v>0</v>
      </c>
      <c r="W410">
        <v>0</v>
      </c>
      <c r="X410">
        <v>-209.8398187395</v>
      </c>
      <c r="Y410">
        <v>1205.42580969151</v>
      </c>
      <c r="Z410" t="s">
        <v>51</v>
      </c>
    </row>
    <row r="411" spans="1:26">
      <c r="A411" t="s">
        <v>13</v>
      </c>
      <c r="B411">
        <v>2030</v>
      </c>
      <c r="C411" t="s">
        <v>489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57.599999999999902</v>
      </c>
      <c r="L411">
        <v>0</v>
      </c>
      <c r="M411">
        <v>14.2371182492187</v>
      </c>
      <c r="N411">
        <v>0</v>
      </c>
      <c r="O411">
        <v>0</v>
      </c>
      <c r="P411" s="1">
        <v>0</v>
      </c>
      <c r="Q411">
        <v>71.837118249218705</v>
      </c>
      <c r="R411">
        <v>226.71485258930699</v>
      </c>
      <c r="S411">
        <v>75.942911488773703</v>
      </c>
      <c r="T411">
        <v>534.99268903899997</v>
      </c>
      <c r="U411">
        <v>0</v>
      </c>
      <c r="V411">
        <v>0</v>
      </c>
      <c r="W411">
        <v>0</v>
      </c>
      <c r="X411">
        <v>-160.49780671169901</v>
      </c>
      <c r="Y411">
        <v>11045.3566156863</v>
      </c>
      <c r="Z411" t="s">
        <v>52</v>
      </c>
    </row>
    <row r="412" spans="1:26">
      <c r="A412" t="s">
        <v>13</v>
      </c>
      <c r="B412">
        <v>2030</v>
      </c>
      <c r="C412" t="s">
        <v>490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57.599999999999902</v>
      </c>
      <c r="L412">
        <v>0</v>
      </c>
      <c r="M412">
        <v>38.732354253900603</v>
      </c>
      <c r="N412">
        <v>0</v>
      </c>
      <c r="O412">
        <v>0</v>
      </c>
      <c r="P412">
        <v>0</v>
      </c>
      <c r="Q412">
        <v>96.332354253900604</v>
      </c>
      <c r="R412">
        <v>116.63651882631299</v>
      </c>
      <c r="S412">
        <v>117.919704008785</v>
      </c>
      <c r="T412">
        <v>472.69796726999999</v>
      </c>
      <c r="U412">
        <v>0</v>
      </c>
      <c r="V412">
        <v>0</v>
      </c>
      <c r="W412">
        <v>0</v>
      </c>
      <c r="X412">
        <v>-141.809390181</v>
      </c>
      <c r="Y412">
        <v>11045.3566156863</v>
      </c>
      <c r="Z412" t="s">
        <v>52</v>
      </c>
    </row>
    <row r="413" spans="1:26">
      <c r="A413" t="s">
        <v>13</v>
      </c>
      <c r="B413">
        <v>2030</v>
      </c>
      <c r="C413" t="s">
        <v>491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57.599999999999902</v>
      </c>
      <c r="L413">
        <v>0</v>
      </c>
      <c r="M413">
        <v>55.984884555197198</v>
      </c>
      <c r="N413">
        <v>0</v>
      </c>
      <c r="O413" s="1">
        <v>0</v>
      </c>
      <c r="P413" s="1">
        <v>0</v>
      </c>
      <c r="Q413">
        <v>113.58488455519699</v>
      </c>
      <c r="R413">
        <v>46.595631065202802</v>
      </c>
      <c r="S413">
        <v>250</v>
      </c>
      <c r="T413">
        <v>585.97216517200002</v>
      </c>
      <c r="U413">
        <v>0</v>
      </c>
      <c r="V413">
        <v>0</v>
      </c>
      <c r="W413">
        <v>0</v>
      </c>
      <c r="X413">
        <v>-175.79164955159999</v>
      </c>
      <c r="Y413">
        <v>11045.3566156863</v>
      </c>
      <c r="Z413" t="s">
        <v>52</v>
      </c>
    </row>
    <row r="414" spans="1:26">
      <c r="A414" t="s">
        <v>13</v>
      </c>
      <c r="B414">
        <v>2030</v>
      </c>
      <c r="C414" t="s">
        <v>492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57.599999999999902</v>
      </c>
      <c r="L414">
        <v>0</v>
      </c>
      <c r="M414">
        <v>83.954545877880605</v>
      </c>
      <c r="N414">
        <v>0</v>
      </c>
      <c r="O414">
        <v>0</v>
      </c>
      <c r="P414" s="1">
        <v>0</v>
      </c>
      <c r="Q414">
        <v>141.55454587788</v>
      </c>
      <c r="R414">
        <v>178.971472862019</v>
      </c>
      <c r="S414">
        <v>335</v>
      </c>
      <c r="T414">
        <v>936.46574105699995</v>
      </c>
      <c r="U414">
        <v>0</v>
      </c>
      <c r="V414">
        <v>0</v>
      </c>
      <c r="W414">
        <v>0</v>
      </c>
      <c r="X414">
        <v>-280.93972231709898</v>
      </c>
      <c r="Y414">
        <v>11045.3566156863</v>
      </c>
      <c r="Z414" t="s">
        <v>52</v>
      </c>
    </row>
    <row r="415" spans="1:26">
      <c r="A415" t="s">
        <v>13</v>
      </c>
      <c r="B415">
        <v>2030</v>
      </c>
      <c r="C415" t="s">
        <v>493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1674.7535998388901</v>
      </c>
      <c r="M415" s="1">
        <v>114.381584778011</v>
      </c>
      <c r="N415">
        <v>57.599999999999902</v>
      </c>
      <c r="O415" s="1">
        <v>3.5527136788005001E-15</v>
      </c>
      <c r="P415">
        <v>0</v>
      </c>
      <c r="Q415">
        <v>1789.1351846169</v>
      </c>
      <c r="R415">
        <v>0</v>
      </c>
      <c r="S415">
        <v>0</v>
      </c>
      <c r="T415">
        <v>1049.73993896</v>
      </c>
      <c r="U415">
        <v>0</v>
      </c>
      <c r="V415">
        <v>404.83335561331899</v>
      </c>
      <c r="W415">
        <v>350</v>
      </c>
      <c r="X415">
        <v>-15.4381099564102</v>
      </c>
      <c r="Y415">
        <v>-505.72797618349398</v>
      </c>
      <c r="Z415" t="s">
        <v>52</v>
      </c>
    </row>
    <row r="416" spans="1:26">
      <c r="A416" t="s">
        <v>13</v>
      </c>
      <c r="B416">
        <v>2030</v>
      </c>
      <c r="C416" t="s">
        <v>494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2053.6205192103698</v>
      </c>
      <c r="M416" s="1">
        <v>135.52143887093601</v>
      </c>
      <c r="N416">
        <v>57.599999999999902</v>
      </c>
      <c r="O416" s="1">
        <v>0</v>
      </c>
      <c r="P416" s="1">
        <v>0</v>
      </c>
      <c r="Q416">
        <v>2189.1419580812999</v>
      </c>
      <c r="R416">
        <v>0</v>
      </c>
      <c r="S416">
        <v>0</v>
      </c>
      <c r="T416">
        <v>1121.51108473</v>
      </c>
      <c r="U416">
        <v>0</v>
      </c>
      <c r="V416">
        <v>404.83335561331899</v>
      </c>
      <c r="W416">
        <v>350</v>
      </c>
      <c r="X416">
        <v>312.79751773798802</v>
      </c>
      <c r="Y416">
        <v>-505.72797618349398</v>
      </c>
      <c r="Z416" t="s">
        <v>52</v>
      </c>
    </row>
    <row r="417" spans="1:26">
      <c r="A417" t="s">
        <v>13</v>
      </c>
      <c r="B417">
        <v>2030</v>
      </c>
      <c r="C417" t="s">
        <v>495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2037.72676772197</v>
      </c>
      <c r="M417">
        <v>159.112301256801</v>
      </c>
      <c r="N417">
        <v>57.599999999999902</v>
      </c>
      <c r="O417" s="1">
        <v>0</v>
      </c>
      <c r="P417" s="1">
        <v>0</v>
      </c>
      <c r="Q417">
        <v>2196.8390689787698</v>
      </c>
      <c r="R417">
        <v>0</v>
      </c>
      <c r="S417">
        <v>0</v>
      </c>
      <c r="T417">
        <v>1130.5714082699999</v>
      </c>
      <c r="U417">
        <v>0</v>
      </c>
      <c r="V417">
        <v>404.83335561331899</v>
      </c>
      <c r="W417">
        <v>350</v>
      </c>
      <c r="X417">
        <v>311.43430509545902</v>
      </c>
      <c r="Y417">
        <v>-505.72797618349398</v>
      </c>
      <c r="Z417" t="s">
        <v>52</v>
      </c>
    </row>
    <row r="418" spans="1:26">
      <c r="A418" t="s">
        <v>13</v>
      </c>
      <c r="B418">
        <v>2030</v>
      </c>
      <c r="C418" t="s">
        <v>496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2399.12351713116</v>
      </c>
      <c r="M418">
        <v>167.27724225742</v>
      </c>
      <c r="N418">
        <v>57.599999999999902</v>
      </c>
      <c r="O418" s="1">
        <v>-7.1054273576010003E-15</v>
      </c>
      <c r="P418" s="1">
        <v>0</v>
      </c>
      <c r="Q418">
        <v>2566.4007593885799</v>
      </c>
      <c r="R418">
        <v>0</v>
      </c>
      <c r="S418">
        <v>0</v>
      </c>
      <c r="T418">
        <v>1114.0078404599999</v>
      </c>
      <c r="U418">
        <v>0</v>
      </c>
      <c r="V418">
        <v>404.83335561331899</v>
      </c>
      <c r="W418">
        <v>350</v>
      </c>
      <c r="X418">
        <v>697.55956331526602</v>
      </c>
      <c r="Y418">
        <v>-505.72797618349398</v>
      </c>
      <c r="Z418" t="s">
        <v>52</v>
      </c>
    </row>
    <row r="419" spans="1:26">
      <c r="A419" t="s">
        <v>13</v>
      </c>
      <c r="B419">
        <v>2030</v>
      </c>
      <c r="C419" t="s">
        <v>497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43.502350856619898</v>
      </c>
      <c r="L419">
        <v>2061.99726398349</v>
      </c>
      <c r="M419" s="1">
        <v>149.68819593129601</v>
      </c>
      <c r="N419">
        <v>14.09764914338</v>
      </c>
      <c r="O419" s="1">
        <v>7.1054273576010003E-15</v>
      </c>
      <c r="P419" s="1">
        <v>0</v>
      </c>
      <c r="Q419">
        <v>2255.1878107714101</v>
      </c>
      <c r="R419">
        <v>0</v>
      </c>
      <c r="S419">
        <v>0</v>
      </c>
      <c r="T419">
        <v>1121.7527654600001</v>
      </c>
      <c r="U419">
        <v>0</v>
      </c>
      <c r="V419">
        <v>404.83335561331899</v>
      </c>
      <c r="W419">
        <v>350</v>
      </c>
      <c r="X419">
        <v>378.60168969809399</v>
      </c>
      <c r="Y419">
        <v>-505.72797618349398</v>
      </c>
      <c r="Z419" t="s">
        <v>52</v>
      </c>
    </row>
    <row r="420" spans="1:26">
      <c r="A420" t="s">
        <v>13</v>
      </c>
      <c r="B420">
        <v>2030</v>
      </c>
      <c r="C420" t="s">
        <v>498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57.599999999999902</v>
      </c>
      <c r="L420">
        <v>0</v>
      </c>
      <c r="M420">
        <v>140.059296535454</v>
      </c>
      <c r="N420">
        <v>0</v>
      </c>
      <c r="O420" s="1">
        <v>0</v>
      </c>
      <c r="P420" s="1">
        <v>0</v>
      </c>
      <c r="Q420">
        <v>197.65929653545399</v>
      </c>
      <c r="R420">
        <v>404.83335561331899</v>
      </c>
      <c r="S420">
        <v>259.05708851122603</v>
      </c>
      <c r="T420">
        <v>1230.7853438</v>
      </c>
      <c r="U420">
        <v>0</v>
      </c>
      <c r="V420">
        <v>0</v>
      </c>
      <c r="W420">
        <v>0</v>
      </c>
      <c r="X420">
        <v>-369.235603139999</v>
      </c>
      <c r="Y420">
        <v>11045.3566156863</v>
      </c>
      <c r="Z420" t="s">
        <v>52</v>
      </c>
    </row>
    <row r="421" spans="1:26">
      <c r="A421" t="s">
        <v>13</v>
      </c>
      <c r="B421">
        <v>2030</v>
      </c>
      <c r="C421" t="s">
        <v>499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57.599999999999902</v>
      </c>
      <c r="L421">
        <v>0</v>
      </c>
      <c r="M421">
        <v>104.24843676446601</v>
      </c>
      <c r="N421">
        <v>0</v>
      </c>
      <c r="O421">
        <v>0</v>
      </c>
      <c r="P421" s="1">
        <v>0</v>
      </c>
      <c r="Q421">
        <v>161.84843676446599</v>
      </c>
      <c r="R421">
        <v>404.83335561331899</v>
      </c>
      <c r="S421">
        <v>179.580295991214</v>
      </c>
      <c r="T421">
        <v>1066.0886976700001</v>
      </c>
      <c r="U421">
        <v>0</v>
      </c>
      <c r="V421">
        <v>0</v>
      </c>
      <c r="W421">
        <v>0</v>
      </c>
      <c r="X421">
        <v>-319.82660930100002</v>
      </c>
      <c r="Y421">
        <v>11045.3566156863</v>
      </c>
      <c r="Z421" t="s">
        <v>52</v>
      </c>
    </row>
    <row r="422" spans="1:26">
      <c r="A422" t="s">
        <v>13</v>
      </c>
      <c r="B422">
        <v>2030</v>
      </c>
      <c r="C422" t="s">
        <v>500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57.599999999999902</v>
      </c>
      <c r="L422">
        <v>0</v>
      </c>
      <c r="M422">
        <v>105.519867291534</v>
      </c>
      <c r="N422">
        <v>0</v>
      </c>
      <c r="O422">
        <v>0</v>
      </c>
      <c r="P422" s="1">
        <v>0</v>
      </c>
      <c r="Q422">
        <v>163.11986729153401</v>
      </c>
      <c r="R422">
        <v>139.53989698046499</v>
      </c>
      <c r="S422">
        <v>250</v>
      </c>
      <c r="T422">
        <v>789.51394895999999</v>
      </c>
      <c r="U422">
        <v>0</v>
      </c>
      <c r="V422">
        <v>0</v>
      </c>
      <c r="W422">
        <v>0</v>
      </c>
      <c r="X422">
        <v>-236.85418468799901</v>
      </c>
      <c r="Y422">
        <v>11045.3566156863</v>
      </c>
      <c r="Z422" t="s">
        <v>52</v>
      </c>
    </row>
    <row r="423" spans="1:26">
      <c r="A423" t="s">
        <v>13</v>
      </c>
      <c r="B423">
        <v>2030</v>
      </c>
      <c r="C423" t="s">
        <v>561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19.904206881511801</v>
      </c>
      <c r="J423">
        <v>0</v>
      </c>
      <c r="K423">
        <v>57.599999999999902</v>
      </c>
      <c r="L423">
        <v>0</v>
      </c>
      <c r="M423">
        <v>49.015111421567802</v>
      </c>
      <c r="N423">
        <v>0</v>
      </c>
      <c r="O423">
        <v>0</v>
      </c>
      <c r="P423" s="1">
        <v>0</v>
      </c>
      <c r="Q423">
        <v>126.519318303079</v>
      </c>
      <c r="R423">
        <v>0</v>
      </c>
      <c r="S423">
        <v>201.88565710661999</v>
      </c>
      <c r="T423">
        <v>469.14996487100001</v>
      </c>
      <c r="U423">
        <v>0</v>
      </c>
      <c r="V423">
        <v>0</v>
      </c>
      <c r="W423">
        <v>0</v>
      </c>
      <c r="X423">
        <v>-140.74498946130001</v>
      </c>
      <c r="Y423">
        <v>992.73690374747002</v>
      </c>
      <c r="Z423" t="s">
        <v>51</v>
      </c>
    </row>
    <row r="424" spans="1:26">
      <c r="A424" t="s">
        <v>13</v>
      </c>
      <c r="B424">
        <v>2030</v>
      </c>
      <c r="C424" t="s">
        <v>562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178.2</v>
      </c>
      <c r="J424">
        <v>0</v>
      </c>
      <c r="K424">
        <v>57.599999999999902</v>
      </c>
      <c r="L424">
        <v>0</v>
      </c>
      <c r="M424">
        <v>28.715505182703499</v>
      </c>
      <c r="N424">
        <v>0</v>
      </c>
      <c r="O424" s="1">
        <v>0</v>
      </c>
      <c r="P424" s="1">
        <v>0</v>
      </c>
      <c r="Q424">
        <v>264.51550518270301</v>
      </c>
      <c r="R424">
        <v>0</v>
      </c>
      <c r="S424">
        <v>22.4260582460964</v>
      </c>
      <c r="T424">
        <v>409.91651918399998</v>
      </c>
      <c r="U424">
        <v>0</v>
      </c>
      <c r="V424">
        <v>0</v>
      </c>
      <c r="W424">
        <v>0</v>
      </c>
      <c r="X424">
        <v>-122.97495575519901</v>
      </c>
      <c r="Y424">
        <v>992.73690374747002</v>
      </c>
      <c r="Z424" t="s">
        <v>51</v>
      </c>
    </row>
    <row r="425" spans="1:26">
      <c r="A425" t="s">
        <v>13</v>
      </c>
      <c r="B425">
        <v>2030</v>
      </c>
      <c r="C425" t="s">
        <v>563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178.2</v>
      </c>
      <c r="J425">
        <v>0</v>
      </c>
      <c r="K425">
        <v>57.599999999999902</v>
      </c>
      <c r="L425">
        <v>0</v>
      </c>
      <c r="M425">
        <v>78.586151038464706</v>
      </c>
      <c r="N425">
        <v>0</v>
      </c>
      <c r="O425" s="1">
        <v>0</v>
      </c>
      <c r="P425" s="1">
        <v>0</v>
      </c>
      <c r="Q425">
        <v>314.38615103846399</v>
      </c>
      <c r="R425">
        <v>0</v>
      </c>
      <c r="S425">
        <v>39.082178403735199</v>
      </c>
      <c r="T425">
        <v>504.95475634600001</v>
      </c>
      <c r="U425">
        <v>0</v>
      </c>
      <c r="V425">
        <v>0</v>
      </c>
      <c r="W425">
        <v>0</v>
      </c>
      <c r="X425">
        <v>-151.48642690380001</v>
      </c>
      <c r="Y425">
        <v>992.73690374747002</v>
      </c>
      <c r="Z425" t="s">
        <v>51</v>
      </c>
    </row>
    <row r="426" spans="1:26">
      <c r="A426" t="s">
        <v>13</v>
      </c>
      <c r="B426">
        <v>2030</v>
      </c>
      <c r="C426" t="s">
        <v>564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178.2</v>
      </c>
      <c r="J426">
        <v>0</v>
      </c>
      <c r="K426">
        <v>57.599999999999902</v>
      </c>
      <c r="L426">
        <v>0</v>
      </c>
      <c r="M426" s="1">
        <v>82.208164191389301</v>
      </c>
      <c r="N426">
        <v>0</v>
      </c>
      <c r="O426" s="1">
        <v>0</v>
      </c>
      <c r="P426">
        <v>0</v>
      </c>
      <c r="Q426">
        <v>318.00816419138903</v>
      </c>
      <c r="R426">
        <v>9.5786083140106193</v>
      </c>
      <c r="S426">
        <v>250</v>
      </c>
      <c r="T426">
        <v>825.12396072199999</v>
      </c>
      <c r="U426">
        <v>0</v>
      </c>
      <c r="V426">
        <v>0</v>
      </c>
      <c r="W426">
        <v>0</v>
      </c>
      <c r="X426">
        <v>-247.53718821659999</v>
      </c>
      <c r="Y426">
        <v>992.73690374747002</v>
      </c>
      <c r="Z426" t="s">
        <v>51</v>
      </c>
    </row>
    <row r="427" spans="1:26">
      <c r="A427" t="s">
        <v>13</v>
      </c>
      <c r="B427">
        <v>2030</v>
      </c>
      <c r="C427" t="s">
        <v>565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57.599999999999902</v>
      </c>
      <c r="L427">
        <v>1570.3032656384601</v>
      </c>
      <c r="M427" s="1">
        <v>56.758142808009197</v>
      </c>
      <c r="N427">
        <v>0</v>
      </c>
      <c r="O427" s="1">
        <v>0</v>
      </c>
      <c r="P427" s="1">
        <v>0</v>
      </c>
      <c r="Q427">
        <v>1684.66140844647</v>
      </c>
      <c r="R427">
        <v>0</v>
      </c>
      <c r="S427">
        <v>0</v>
      </c>
      <c r="T427">
        <v>926.38445428</v>
      </c>
      <c r="U427">
        <v>0</v>
      </c>
      <c r="V427">
        <v>0</v>
      </c>
      <c r="W427">
        <v>350</v>
      </c>
      <c r="X427">
        <v>408.27695416647498</v>
      </c>
      <c r="Y427">
        <v>677.21261047726898</v>
      </c>
      <c r="Z427" t="s">
        <v>51</v>
      </c>
    </row>
    <row r="428" spans="1:26">
      <c r="A428" t="s">
        <v>13</v>
      </c>
      <c r="B428">
        <v>2030</v>
      </c>
      <c r="C428" t="s">
        <v>566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57.599999999999902</v>
      </c>
      <c r="L428">
        <v>2062.7907429064799</v>
      </c>
      <c r="M428" s="1">
        <v>20.2609527928043</v>
      </c>
      <c r="N428">
        <v>0</v>
      </c>
      <c r="O428" s="1">
        <v>0</v>
      </c>
      <c r="P428">
        <v>0</v>
      </c>
      <c r="Q428">
        <v>2140.65169569929</v>
      </c>
      <c r="R428">
        <v>0</v>
      </c>
      <c r="S428">
        <v>0</v>
      </c>
      <c r="T428">
        <v>1014.29989352</v>
      </c>
      <c r="U428">
        <v>0</v>
      </c>
      <c r="V428">
        <v>0</v>
      </c>
      <c r="W428">
        <v>350</v>
      </c>
      <c r="X428">
        <v>776.35180217928996</v>
      </c>
      <c r="Y428">
        <v>677.21261047726898</v>
      </c>
      <c r="Z428" t="s">
        <v>51</v>
      </c>
    </row>
    <row r="429" spans="1:26">
      <c r="A429" t="s">
        <v>13</v>
      </c>
      <c r="B429">
        <v>2030</v>
      </c>
      <c r="C429" t="s">
        <v>567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57.599999999999902</v>
      </c>
      <c r="L429">
        <v>2099.98786022065</v>
      </c>
      <c r="M429" s="1">
        <v>6.4852610499024497</v>
      </c>
      <c r="N429">
        <v>0</v>
      </c>
      <c r="O429" s="1">
        <v>7.1054273576010003E-15</v>
      </c>
      <c r="P429" s="1">
        <v>0</v>
      </c>
      <c r="Q429">
        <v>2164.07312127055</v>
      </c>
      <c r="R429">
        <v>0</v>
      </c>
      <c r="S429">
        <v>0</v>
      </c>
      <c r="T429">
        <v>1045.1106896199999</v>
      </c>
      <c r="U429">
        <v>0</v>
      </c>
      <c r="V429">
        <v>34.0149088389037</v>
      </c>
      <c r="W429">
        <v>350</v>
      </c>
      <c r="X429">
        <v>734.94752281165097</v>
      </c>
      <c r="Y429">
        <v>677.21261047726898</v>
      </c>
      <c r="Z429" t="s">
        <v>51</v>
      </c>
    </row>
    <row r="430" spans="1:26">
      <c r="A430" t="s">
        <v>13</v>
      </c>
      <c r="B430">
        <v>2030</v>
      </c>
      <c r="C430" t="s">
        <v>568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57.599999999999902</v>
      </c>
      <c r="L430">
        <v>1578.1028530426199</v>
      </c>
      <c r="M430" s="1">
        <v>5.5815003796759299</v>
      </c>
      <c r="N430">
        <v>0</v>
      </c>
      <c r="O430" s="1">
        <v>0</v>
      </c>
      <c r="P430">
        <v>0</v>
      </c>
      <c r="Q430">
        <v>1641.2843534223</v>
      </c>
      <c r="R430">
        <v>0</v>
      </c>
      <c r="S430">
        <v>0</v>
      </c>
      <c r="T430">
        <v>1021.28619023</v>
      </c>
      <c r="U430">
        <v>0</v>
      </c>
      <c r="V430">
        <v>404.83335561331899</v>
      </c>
      <c r="W430">
        <v>350</v>
      </c>
      <c r="X430">
        <v>-134.83519242101701</v>
      </c>
      <c r="Y430">
        <v>677.21261047726898</v>
      </c>
      <c r="Z430" t="s">
        <v>51</v>
      </c>
    </row>
    <row r="431" spans="1:26">
      <c r="A431" t="s">
        <v>13</v>
      </c>
      <c r="B431">
        <v>2030</v>
      </c>
      <c r="C431" t="s">
        <v>569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57.599999999999902</v>
      </c>
      <c r="L431">
        <v>746.22357645050795</v>
      </c>
      <c r="M431" s="1">
        <v>12.118950358623101</v>
      </c>
      <c r="N431">
        <v>0</v>
      </c>
      <c r="O431" s="1">
        <v>0</v>
      </c>
      <c r="P431" s="1">
        <v>0</v>
      </c>
      <c r="Q431">
        <v>815.94252680913098</v>
      </c>
      <c r="R431">
        <v>0</v>
      </c>
      <c r="S431">
        <v>0</v>
      </c>
      <c r="T431">
        <v>1011.83021273</v>
      </c>
      <c r="U431">
        <v>0</v>
      </c>
      <c r="V431">
        <v>0</v>
      </c>
      <c r="W431">
        <v>107.66137789813099</v>
      </c>
      <c r="X431">
        <v>-303.549063818999</v>
      </c>
      <c r="Y431">
        <v>764.40741588555204</v>
      </c>
      <c r="Z431" t="s">
        <v>51</v>
      </c>
    </row>
    <row r="432" spans="1:26">
      <c r="A432" t="s">
        <v>13</v>
      </c>
      <c r="B432">
        <v>2030</v>
      </c>
      <c r="C432" t="s">
        <v>570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178.2</v>
      </c>
      <c r="J432">
        <v>0</v>
      </c>
      <c r="K432">
        <v>57.599999999999902</v>
      </c>
      <c r="L432">
        <v>0</v>
      </c>
      <c r="M432">
        <v>34.781104883319998</v>
      </c>
      <c r="N432">
        <v>0</v>
      </c>
      <c r="O432" s="1">
        <v>0</v>
      </c>
      <c r="P432" s="1">
        <v>0</v>
      </c>
      <c r="Q432">
        <v>270.58110488331999</v>
      </c>
      <c r="R432">
        <v>277.69278797525999</v>
      </c>
      <c r="S432">
        <v>221.40488300041901</v>
      </c>
      <c r="T432">
        <v>1099.5411083700001</v>
      </c>
      <c r="U432">
        <v>0</v>
      </c>
      <c r="V432">
        <v>0</v>
      </c>
      <c r="W432">
        <v>0</v>
      </c>
      <c r="X432">
        <v>-329.86233251099998</v>
      </c>
      <c r="Y432">
        <v>992.73690374747002</v>
      </c>
      <c r="Z432" t="s">
        <v>51</v>
      </c>
    </row>
    <row r="433" spans="1:26">
      <c r="A433" t="s">
        <v>13</v>
      </c>
      <c r="B433">
        <v>2030</v>
      </c>
      <c r="C433" t="s">
        <v>571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178.2</v>
      </c>
      <c r="J433">
        <v>0</v>
      </c>
      <c r="K433">
        <v>57.599999999999902</v>
      </c>
      <c r="L433">
        <v>0</v>
      </c>
      <c r="M433">
        <v>35.981801118603798</v>
      </c>
      <c r="N433">
        <v>0</v>
      </c>
      <c r="O433" s="1">
        <v>0</v>
      </c>
      <c r="P433" s="1">
        <v>0</v>
      </c>
      <c r="Q433">
        <v>271.78180111860303</v>
      </c>
      <c r="R433">
        <v>41.864802049895999</v>
      </c>
      <c r="S433">
        <v>350</v>
      </c>
      <c r="T433">
        <v>948.06657595499996</v>
      </c>
      <c r="U433">
        <v>0</v>
      </c>
      <c r="V433">
        <v>0</v>
      </c>
      <c r="W433">
        <v>0</v>
      </c>
      <c r="X433">
        <v>-284.41997278649899</v>
      </c>
      <c r="Y433">
        <v>992.73690374747002</v>
      </c>
      <c r="Z433" t="s">
        <v>51</v>
      </c>
    </row>
    <row r="434" spans="1:26">
      <c r="A434" t="s">
        <v>13</v>
      </c>
      <c r="B434">
        <v>2030</v>
      </c>
      <c r="C434" t="s">
        <v>572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178.2</v>
      </c>
      <c r="J434">
        <v>0</v>
      </c>
      <c r="K434">
        <v>57.599999999999902</v>
      </c>
      <c r="L434">
        <v>0</v>
      </c>
      <c r="M434">
        <v>44.4872161023101</v>
      </c>
      <c r="N434">
        <v>0</v>
      </c>
      <c r="O434" s="1">
        <v>0</v>
      </c>
      <c r="P434" s="1">
        <v>0</v>
      </c>
      <c r="Q434">
        <v>280.28721610231003</v>
      </c>
      <c r="R434">
        <v>0</v>
      </c>
      <c r="S434">
        <v>196.10048422468901</v>
      </c>
      <c r="T434">
        <v>680.55385761000002</v>
      </c>
      <c r="U434">
        <v>0</v>
      </c>
      <c r="V434">
        <v>0</v>
      </c>
      <c r="W434">
        <v>0</v>
      </c>
      <c r="X434">
        <v>-204.16615728299999</v>
      </c>
      <c r="Y434">
        <v>992.73690374747002</v>
      </c>
      <c r="Z434" t="s">
        <v>51</v>
      </c>
    </row>
    <row r="435" spans="1:26">
      <c r="A435" t="s">
        <v>13</v>
      </c>
      <c r="B435">
        <v>2035</v>
      </c>
      <c r="C435" t="s">
        <v>657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57.599999999999902</v>
      </c>
      <c r="L435">
        <v>0</v>
      </c>
      <c r="M435">
        <v>177.50992810907701</v>
      </c>
      <c r="N435">
        <v>0</v>
      </c>
      <c r="O435">
        <v>0</v>
      </c>
      <c r="P435" s="1">
        <v>0</v>
      </c>
      <c r="Q435">
        <v>235.109928109077</v>
      </c>
      <c r="R435">
        <v>104.956047276422</v>
      </c>
      <c r="S435">
        <v>0</v>
      </c>
      <c r="T435">
        <v>485.80853626499999</v>
      </c>
      <c r="U435">
        <v>0</v>
      </c>
      <c r="V435">
        <v>0</v>
      </c>
      <c r="W435">
        <v>0</v>
      </c>
      <c r="X435">
        <v>-145.74256087949999</v>
      </c>
      <c r="Y435">
        <v>89.786756444444407</v>
      </c>
      <c r="Z435" t="s">
        <v>52</v>
      </c>
    </row>
    <row r="436" spans="1:26">
      <c r="A436" t="s">
        <v>13</v>
      </c>
      <c r="B436">
        <v>2035</v>
      </c>
      <c r="C436" t="s">
        <v>658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170.115339907758</v>
      </c>
      <c r="N436">
        <v>0</v>
      </c>
      <c r="O436">
        <v>0</v>
      </c>
      <c r="P436" s="1">
        <v>0</v>
      </c>
      <c r="Q436">
        <v>227.71533990775799</v>
      </c>
      <c r="R436">
        <v>0</v>
      </c>
      <c r="S436">
        <v>73.911036567441002</v>
      </c>
      <c r="T436">
        <v>430.89482353599999</v>
      </c>
      <c r="U436">
        <v>0</v>
      </c>
      <c r="V436">
        <v>0</v>
      </c>
      <c r="W436">
        <v>0</v>
      </c>
      <c r="X436">
        <v>-129.26844706079899</v>
      </c>
      <c r="Y436">
        <v>89.786756444444407</v>
      </c>
      <c r="Z436" t="s">
        <v>52</v>
      </c>
    </row>
    <row r="437" spans="1:26">
      <c r="A437" t="s">
        <v>13</v>
      </c>
      <c r="B437">
        <v>2035</v>
      </c>
      <c r="C437" t="s">
        <v>659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57.599999999999902</v>
      </c>
      <c r="L437">
        <v>0</v>
      </c>
      <c r="M437">
        <v>140.25989690914199</v>
      </c>
      <c r="N437">
        <v>0</v>
      </c>
      <c r="O437">
        <v>0</v>
      </c>
      <c r="P437">
        <v>0</v>
      </c>
      <c r="Q437">
        <v>197.85989690914201</v>
      </c>
      <c r="R437">
        <v>0</v>
      </c>
      <c r="S437">
        <v>178.87008834275699</v>
      </c>
      <c r="T437">
        <v>538.18569321699999</v>
      </c>
      <c r="U437">
        <v>0</v>
      </c>
      <c r="V437">
        <v>0</v>
      </c>
      <c r="W437">
        <v>0</v>
      </c>
      <c r="X437">
        <v>-161.4557079651</v>
      </c>
      <c r="Y437">
        <v>89.786756444444407</v>
      </c>
      <c r="Z437" t="s">
        <v>52</v>
      </c>
    </row>
    <row r="438" spans="1:26">
      <c r="A438" t="s">
        <v>13</v>
      </c>
      <c r="B438">
        <v>2035</v>
      </c>
      <c r="C438" t="s">
        <v>660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57.599999999999902</v>
      </c>
      <c r="L438">
        <v>0</v>
      </c>
      <c r="M438">
        <v>167.05115810497699</v>
      </c>
      <c r="N438">
        <v>0</v>
      </c>
      <c r="O438" s="1">
        <v>0</v>
      </c>
      <c r="P438" s="1">
        <v>0</v>
      </c>
      <c r="Q438">
        <v>224.65115810497699</v>
      </c>
      <c r="R438">
        <v>96.021438850221003</v>
      </c>
      <c r="S438">
        <v>294.71887508980097</v>
      </c>
      <c r="T438">
        <v>879.13067435000005</v>
      </c>
      <c r="U438">
        <v>0</v>
      </c>
      <c r="V438">
        <v>0</v>
      </c>
      <c r="W438">
        <v>0</v>
      </c>
      <c r="X438">
        <v>-263.73920230499999</v>
      </c>
      <c r="Y438">
        <v>89.786756444444407</v>
      </c>
      <c r="Z438" t="s">
        <v>52</v>
      </c>
    </row>
    <row r="439" spans="1:26">
      <c r="A439" t="s">
        <v>13</v>
      </c>
      <c r="B439">
        <v>2035</v>
      </c>
      <c r="C439" t="s">
        <v>661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1060.87315375908</v>
      </c>
      <c r="M439" s="1">
        <v>72.297988759771798</v>
      </c>
      <c r="N439">
        <v>57.599999999999902</v>
      </c>
      <c r="O439">
        <v>610.56351260295605</v>
      </c>
      <c r="P439" s="1">
        <v>77.275217408029306</v>
      </c>
      <c r="Q439">
        <v>1133.1711425188601</v>
      </c>
      <c r="R439">
        <v>0</v>
      </c>
      <c r="S439">
        <v>0</v>
      </c>
      <c r="T439">
        <v>958.18995440799995</v>
      </c>
      <c r="U439">
        <v>0</v>
      </c>
      <c r="V439">
        <v>0</v>
      </c>
      <c r="W439">
        <v>350</v>
      </c>
      <c r="X439">
        <v>-175.018811889137</v>
      </c>
      <c r="Y439">
        <v>0</v>
      </c>
      <c r="Z439" t="s">
        <v>52</v>
      </c>
    </row>
    <row r="440" spans="1:26">
      <c r="A440" t="s">
        <v>13</v>
      </c>
      <c r="B440">
        <v>2035</v>
      </c>
      <c r="C440" t="s">
        <v>662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1605.6103254570501</v>
      </c>
      <c r="M440" s="1">
        <v>124.038302774982</v>
      </c>
      <c r="N440">
        <v>57.599999999999902</v>
      </c>
      <c r="O440">
        <v>805.84173613349799</v>
      </c>
      <c r="P440" s="1">
        <v>4.9463374857640003</v>
      </c>
      <c r="Q440">
        <v>1729.64862823203</v>
      </c>
      <c r="R440">
        <v>0</v>
      </c>
      <c r="S440">
        <v>0</v>
      </c>
      <c r="T440">
        <v>1036.8241877200001</v>
      </c>
      <c r="U440">
        <v>0</v>
      </c>
      <c r="V440">
        <v>404.83335561331899</v>
      </c>
      <c r="W440">
        <v>350</v>
      </c>
      <c r="X440">
        <v>-62.008915101282497</v>
      </c>
      <c r="Y440">
        <v>0</v>
      </c>
      <c r="Z440" t="s">
        <v>52</v>
      </c>
    </row>
    <row r="441" spans="1:26">
      <c r="A441" t="s">
        <v>13</v>
      </c>
      <c r="B441">
        <v>2035</v>
      </c>
      <c r="C441" t="s">
        <v>663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2655.1248370654898</v>
      </c>
      <c r="M441" s="1">
        <v>105.97018924115601</v>
      </c>
      <c r="N441">
        <v>57.599999999999902</v>
      </c>
      <c r="O441" s="1">
        <v>0.36127639504600401</v>
      </c>
      <c r="P441">
        <v>0</v>
      </c>
      <c r="Q441">
        <v>2761.0950263066502</v>
      </c>
      <c r="R441">
        <v>0</v>
      </c>
      <c r="S441">
        <v>0</v>
      </c>
      <c r="T441">
        <v>1044.33811702</v>
      </c>
      <c r="U441">
        <v>0</v>
      </c>
      <c r="V441">
        <v>271.424321770804</v>
      </c>
      <c r="W441">
        <v>350</v>
      </c>
      <c r="X441">
        <v>1095.33258751584</v>
      </c>
      <c r="Y441">
        <v>0</v>
      </c>
      <c r="Z441" t="s">
        <v>52</v>
      </c>
    </row>
    <row r="442" spans="1:26">
      <c r="A442" t="s">
        <v>13</v>
      </c>
      <c r="B442">
        <v>2035</v>
      </c>
      <c r="C442" t="s">
        <v>664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1405.5873529037001</v>
      </c>
      <c r="M442">
        <v>88.901584815610505</v>
      </c>
      <c r="N442">
        <v>57.599999999999902</v>
      </c>
      <c r="O442" s="1">
        <v>1040.8157421281301</v>
      </c>
      <c r="P442">
        <v>19.6761302518556</v>
      </c>
      <c r="Q442">
        <v>1494.4889377193099</v>
      </c>
      <c r="R442">
        <v>0</v>
      </c>
      <c r="S442">
        <v>0</v>
      </c>
      <c r="T442">
        <v>1056.6508315799999</v>
      </c>
      <c r="U442">
        <v>0</v>
      </c>
      <c r="V442">
        <v>404.83335561331899</v>
      </c>
      <c r="W442">
        <v>350</v>
      </c>
      <c r="X442">
        <v>-316.99524947399999</v>
      </c>
      <c r="Y442">
        <v>0</v>
      </c>
      <c r="Z442" t="s">
        <v>52</v>
      </c>
    </row>
    <row r="443" spans="1:26">
      <c r="A443" t="s">
        <v>13</v>
      </c>
      <c r="B443">
        <v>2035</v>
      </c>
      <c r="C443" t="s">
        <v>665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2348.2743589510101</v>
      </c>
      <c r="M443">
        <v>83.587108022557402</v>
      </c>
      <c r="N443">
        <v>57.599999999999902</v>
      </c>
      <c r="O443" s="1">
        <v>8.0636358674698201</v>
      </c>
      <c r="P443">
        <v>0</v>
      </c>
      <c r="Q443">
        <v>2431.8614669735698</v>
      </c>
      <c r="R443">
        <v>0</v>
      </c>
      <c r="S443">
        <v>0</v>
      </c>
      <c r="T443">
        <v>1049.7677355799999</v>
      </c>
      <c r="U443">
        <v>0</v>
      </c>
      <c r="V443">
        <v>0</v>
      </c>
      <c r="W443">
        <v>350</v>
      </c>
      <c r="X443">
        <v>1032.0937313935699</v>
      </c>
      <c r="Y443">
        <v>0</v>
      </c>
      <c r="Z443" t="s">
        <v>52</v>
      </c>
    </row>
    <row r="444" spans="1:26">
      <c r="A444" t="s">
        <v>13</v>
      </c>
      <c r="B444">
        <v>2035</v>
      </c>
      <c r="C444" t="s">
        <v>666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57.599999999999902</v>
      </c>
      <c r="L444">
        <v>6.0338113830843803</v>
      </c>
      <c r="M444">
        <v>123.34008108340601</v>
      </c>
      <c r="N444">
        <v>0</v>
      </c>
      <c r="O444" s="1">
        <v>-2.7755575615628901E-17</v>
      </c>
      <c r="P444" s="1">
        <v>0</v>
      </c>
      <c r="Q444">
        <v>186.97389246649101</v>
      </c>
      <c r="R444">
        <v>266.93001130850803</v>
      </c>
      <c r="S444">
        <v>350</v>
      </c>
      <c r="T444">
        <v>1148.4341482499999</v>
      </c>
      <c r="U444">
        <v>0</v>
      </c>
      <c r="V444">
        <v>0</v>
      </c>
      <c r="W444">
        <v>0</v>
      </c>
      <c r="X444">
        <v>-344.53024447499899</v>
      </c>
      <c r="Y444">
        <v>89.786756444444407</v>
      </c>
      <c r="Z444" t="s">
        <v>52</v>
      </c>
    </row>
    <row r="445" spans="1:26">
      <c r="A445" t="s">
        <v>13</v>
      </c>
      <c r="B445">
        <v>2035</v>
      </c>
      <c r="C445" t="s">
        <v>667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57.599999999999902</v>
      </c>
      <c r="L445">
        <v>0</v>
      </c>
      <c r="M445">
        <v>93.919376654042594</v>
      </c>
      <c r="N445">
        <v>0</v>
      </c>
      <c r="O445" s="1">
        <v>0</v>
      </c>
      <c r="P445" s="1">
        <v>0</v>
      </c>
      <c r="Q445">
        <v>151.51937665404199</v>
      </c>
      <c r="R445">
        <v>228.143222618957</v>
      </c>
      <c r="S445">
        <v>335</v>
      </c>
      <c r="T445">
        <v>1020.94657039</v>
      </c>
      <c r="U445">
        <v>0</v>
      </c>
      <c r="V445">
        <v>0</v>
      </c>
      <c r="W445">
        <v>0</v>
      </c>
      <c r="X445">
        <v>-306.28397111700002</v>
      </c>
      <c r="Y445">
        <v>89.786756444444407</v>
      </c>
      <c r="Z445" t="s">
        <v>52</v>
      </c>
    </row>
    <row r="446" spans="1:26">
      <c r="A446" t="s">
        <v>13</v>
      </c>
      <c r="B446">
        <v>2035</v>
      </c>
      <c r="C446" t="s">
        <v>668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57.599999999999902</v>
      </c>
      <c r="L446">
        <v>0</v>
      </c>
      <c r="M446">
        <v>111.526598805427</v>
      </c>
      <c r="N446">
        <v>0</v>
      </c>
      <c r="O446">
        <v>0</v>
      </c>
      <c r="P446" s="1">
        <v>0</v>
      </c>
      <c r="Q446">
        <v>169.12659880542699</v>
      </c>
      <c r="R446">
        <v>114.767554693972</v>
      </c>
      <c r="S446">
        <v>235</v>
      </c>
      <c r="T446">
        <v>741.27736214200002</v>
      </c>
      <c r="U446">
        <v>0</v>
      </c>
      <c r="V446">
        <v>0</v>
      </c>
      <c r="W446">
        <v>0</v>
      </c>
      <c r="X446">
        <v>-222.38320864260001</v>
      </c>
      <c r="Y446">
        <v>89.786756444444407</v>
      </c>
      <c r="Z446" t="s">
        <v>52</v>
      </c>
    </row>
    <row r="447" spans="1:26">
      <c r="A447" t="s">
        <v>13</v>
      </c>
      <c r="B447">
        <v>2035</v>
      </c>
      <c r="C447" t="s">
        <v>669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57.599999999999902</v>
      </c>
      <c r="L447">
        <v>0</v>
      </c>
      <c r="M447">
        <v>1.0248683399598</v>
      </c>
      <c r="N447">
        <v>0</v>
      </c>
      <c r="O447">
        <v>0</v>
      </c>
      <c r="P447" s="1">
        <v>0</v>
      </c>
      <c r="Q447">
        <v>58.624868339959797</v>
      </c>
      <c r="R447">
        <v>179.236201102325</v>
      </c>
      <c r="S447">
        <v>88.307099269414394</v>
      </c>
      <c r="T447">
        <v>465.95452673099999</v>
      </c>
      <c r="U447">
        <v>0</v>
      </c>
      <c r="V447">
        <v>0</v>
      </c>
      <c r="W447">
        <v>0</v>
      </c>
      <c r="X447">
        <v>-139.7863580193</v>
      </c>
      <c r="Y447">
        <v>89.786756444444407</v>
      </c>
      <c r="Z447" t="s">
        <v>51</v>
      </c>
    </row>
    <row r="448" spans="1:26">
      <c r="A448" t="s">
        <v>13</v>
      </c>
      <c r="B448">
        <v>2035</v>
      </c>
      <c r="C448" t="s">
        <v>670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57.599999999999902</v>
      </c>
      <c r="L448">
        <v>0</v>
      </c>
      <c r="M448">
        <v>5.8443284914689402</v>
      </c>
      <c r="N448">
        <v>0</v>
      </c>
      <c r="O448">
        <v>0</v>
      </c>
      <c r="P448" s="1">
        <v>0</v>
      </c>
      <c r="Q448">
        <v>63.444328491468902</v>
      </c>
      <c r="R448">
        <v>223.046132619231</v>
      </c>
      <c r="S448">
        <v>0</v>
      </c>
      <c r="T448">
        <v>409.272087301</v>
      </c>
      <c r="U448">
        <v>0</v>
      </c>
      <c r="V448">
        <v>0</v>
      </c>
      <c r="W448">
        <v>0</v>
      </c>
      <c r="X448">
        <v>-122.78162619029899</v>
      </c>
      <c r="Y448">
        <v>89.786756444444407</v>
      </c>
      <c r="Z448" t="s">
        <v>51</v>
      </c>
    </row>
    <row r="449" spans="1:26">
      <c r="A449" t="s">
        <v>13</v>
      </c>
      <c r="B449">
        <v>2035</v>
      </c>
      <c r="C449" t="s">
        <v>671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57.599999999999902</v>
      </c>
      <c r="L449">
        <v>0</v>
      </c>
      <c r="M449">
        <v>0.27629510447834199</v>
      </c>
      <c r="N449">
        <v>0</v>
      </c>
      <c r="O449">
        <v>0</v>
      </c>
      <c r="P449" s="1">
        <v>0</v>
      </c>
      <c r="Q449">
        <v>57.876295104478302</v>
      </c>
      <c r="R449">
        <v>0</v>
      </c>
      <c r="S449">
        <v>311.981557165021</v>
      </c>
      <c r="T449">
        <v>528.36836038499996</v>
      </c>
      <c r="U449">
        <v>0</v>
      </c>
      <c r="V449">
        <v>0</v>
      </c>
      <c r="W449">
        <v>0</v>
      </c>
      <c r="X449">
        <v>-158.51050811549999</v>
      </c>
      <c r="Y449">
        <v>89.786756444444407</v>
      </c>
      <c r="Z449" t="s">
        <v>51</v>
      </c>
    </row>
    <row r="450" spans="1:26">
      <c r="A450" t="s">
        <v>13</v>
      </c>
      <c r="B450">
        <v>2035</v>
      </c>
      <c r="C450" t="s">
        <v>672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57.599999999999902</v>
      </c>
      <c r="L450">
        <v>1.37797679197429</v>
      </c>
      <c r="M450" s="1">
        <v>6.5890433220897302</v>
      </c>
      <c r="N450">
        <v>0</v>
      </c>
      <c r="O450" s="1">
        <v>-3.46944695195361E-18</v>
      </c>
      <c r="P450" s="1">
        <v>0</v>
      </c>
      <c r="Q450">
        <v>65.567020114063993</v>
      </c>
      <c r="R450">
        <v>174.102077509835</v>
      </c>
      <c r="S450">
        <v>350</v>
      </c>
      <c r="T450">
        <v>842.38442517700003</v>
      </c>
      <c r="U450">
        <v>0</v>
      </c>
      <c r="V450">
        <v>0</v>
      </c>
      <c r="W450">
        <v>0</v>
      </c>
      <c r="X450">
        <v>-252.7153275531</v>
      </c>
      <c r="Y450">
        <v>89.786756444444407</v>
      </c>
      <c r="Z450" t="s">
        <v>51</v>
      </c>
    </row>
    <row r="451" spans="1:26">
      <c r="A451" t="s">
        <v>13</v>
      </c>
      <c r="B451">
        <v>2035</v>
      </c>
      <c r="C451" t="s">
        <v>673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1433.2707189130999</v>
      </c>
      <c r="M451">
        <v>1.61525047781813</v>
      </c>
      <c r="N451">
        <v>57.599999999999902</v>
      </c>
      <c r="O451" s="1">
        <v>618.42532760809604</v>
      </c>
      <c r="P451" s="1">
        <v>2.7336827059868298</v>
      </c>
      <c r="Q451">
        <v>1434.8859693909101</v>
      </c>
      <c r="R451">
        <v>0</v>
      </c>
      <c r="S451">
        <v>0</v>
      </c>
      <c r="T451">
        <v>971.50373396800001</v>
      </c>
      <c r="U451">
        <v>0</v>
      </c>
      <c r="V451">
        <v>404.83335561331899</v>
      </c>
      <c r="W451">
        <v>350</v>
      </c>
      <c r="X451">
        <v>-291.45112019039999</v>
      </c>
      <c r="Y451">
        <v>0</v>
      </c>
      <c r="Z451" t="s">
        <v>51</v>
      </c>
    </row>
    <row r="452" spans="1:26">
      <c r="A452" t="s">
        <v>13</v>
      </c>
      <c r="B452">
        <v>2035</v>
      </c>
      <c r="C452" t="s">
        <v>674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2211.9397950907301</v>
      </c>
      <c r="M452">
        <v>7.4903051656930799</v>
      </c>
      <c r="N452">
        <v>57.599999999999902</v>
      </c>
      <c r="O452">
        <v>403.62080993509397</v>
      </c>
      <c r="P452" s="1">
        <v>0.27806077590616202</v>
      </c>
      <c r="Q452">
        <v>2219.4301002564198</v>
      </c>
      <c r="R452">
        <v>0</v>
      </c>
      <c r="S452">
        <v>0</v>
      </c>
      <c r="T452">
        <v>1013.96756899</v>
      </c>
      <c r="U452">
        <v>0</v>
      </c>
      <c r="V452">
        <v>404.83335561331899</v>
      </c>
      <c r="W452">
        <v>350</v>
      </c>
      <c r="X452">
        <v>450.62917565310698</v>
      </c>
      <c r="Y452">
        <v>0</v>
      </c>
      <c r="Z452" t="s">
        <v>51</v>
      </c>
    </row>
    <row r="453" spans="1:26">
      <c r="A453" t="s">
        <v>13</v>
      </c>
      <c r="B453">
        <v>2035</v>
      </c>
      <c r="C453" t="s">
        <v>675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2360.1358431888698</v>
      </c>
      <c r="M453">
        <v>14.049897932788801</v>
      </c>
      <c r="N453">
        <v>57.599999999999902</v>
      </c>
      <c r="O453" s="1">
        <v>400.40232609626298</v>
      </c>
      <c r="P453" s="1">
        <v>0.59770931296038199</v>
      </c>
      <c r="Q453">
        <v>2374.1857411216502</v>
      </c>
      <c r="R453">
        <v>0</v>
      </c>
      <c r="S453">
        <v>0</v>
      </c>
      <c r="T453">
        <v>1028.4877816799999</v>
      </c>
      <c r="U453">
        <v>0</v>
      </c>
      <c r="V453">
        <v>404.83335561331899</v>
      </c>
      <c r="W453">
        <v>350</v>
      </c>
      <c r="X453">
        <v>590.86460382834196</v>
      </c>
      <c r="Y453">
        <v>0</v>
      </c>
      <c r="Z453" t="s">
        <v>51</v>
      </c>
    </row>
    <row r="454" spans="1:26">
      <c r="A454" t="s">
        <v>13</v>
      </c>
      <c r="B454">
        <v>2035</v>
      </c>
      <c r="C454" t="s">
        <v>676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2627.57438812904</v>
      </c>
      <c r="M454">
        <v>9.10651702724385</v>
      </c>
      <c r="N454">
        <v>57.599999999999902</v>
      </c>
      <c r="O454" s="1">
        <v>273.90037745696702</v>
      </c>
      <c r="P454" s="1">
        <v>3.0640378549215601</v>
      </c>
      <c r="Q454">
        <v>2636.68090515629</v>
      </c>
      <c r="R454">
        <v>0</v>
      </c>
      <c r="S454">
        <v>0</v>
      </c>
      <c r="T454">
        <v>1028.3507022199999</v>
      </c>
      <c r="U454">
        <v>0</v>
      </c>
      <c r="V454">
        <v>387.55219419289102</v>
      </c>
      <c r="W454">
        <v>350</v>
      </c>
      <c r="X454">
        <v>870.77800874340005</v>
      </c>
      <c r="Y454">
        <v>0</v>
      </c>
      <c r="Z454" t="s">
        <v>51</v>
      </c>
    </row>
    <row r="455" spans="1:26">
      <c r="A455" t="s">
        <v>13</v>
      </c>
      <c r="B455">
        <v>2035</v>
      </c>
      <c r="C455" t="s">
        <v>677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1633.3697038530199</v>
      </c>
      <c r="M455">
        <v>1.5806608406404501</v>
      </c>
      <c r="N455">
        <v>57.599999999999902</v>
      </c>
      <c r="O455" s="1">
        <v>1143.8468430590899</v>
      </c>
      <c r="P455" s="1">
        <v>0.66579257896417299</v>
      </c>
      <c r="Q455">
        <v>1634.9503646936701</v>
      </c>
      <c r="R455">
        <v>0</v>
      </c>
      <c r="S455">
        <v>0</v>
      </c>
      <c r="T455">
        <v>1019.49326034</v>
      </c>
      <c r="U455">
        <v>0</v>
      </c>
      <c r="V455">
        <v>404.83335561331899</v>
      </c>
      <c r="W455">
        <v>350</v>
      </c>
      <c r="X455">
        <v>-139.37625125964999</v>
      </c>
      <c r="Y455">
        <v>0</v>
      </c>
      <c r="Z455" t="s">
        <v>51</v>
      </c>
    </row>
    <row r="456" spans="1:26">
      <c r="A456" t="s">
        <v>13</v>
      </c>
      <c r="B456">
        <v>2035</v>
      </c>
      <c r="C456" t="s">
        <v>678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57.599999999999902</v>
      </c>
      <c r="L456">
        <v>53.550812854818098</v>
      </c>
      <c r="M456">
        <v>1.5297939612987199</v>
      </c>
      <c r="N456">
        <v>0</v>
      </c>
      <c r="O456" s="1">
        <v>0</v>
      </c>
      <c r="P456" s="1">
        <v>0</v>
      </c>
      <c r="Q456">
        <v>112.680606816116</v>
      </c>
      <c r="R456">
        <v>404.83335561331899</v>
      </c>
      <c r="S456">
        <v>247.211343565563</v>
      </c>
      <c r="T456">
        <v>1092.46472285</v>
      </c>
      <c r="U456">
        <v>0</v>
      </c>
      <c r="V456">
        <v>0</v>
      </c>
      <c r="W456">
        <v>0</v>
      </c>
      <c r="X456">
        <v>-327.739416855</v>
      </c>
      <c r="Y456">
        <v>89.786756444444407</v>
      </c>
      <c r="Z456" t="s">
        <v>51</v>
      </c>
    </row>
    <row r="457" spans="1:26">
      <c r="A457" t="s">
        <v>13</v>
      </c>
      <c r="B457">
        <v>2035</v>
      </c>
      <c r="C457" t="s">
        <v>679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57.599999999999902</v>
      </c>
      <c r="L457">
        <v>0</v>
      </c>
      <c r="M457">
        <v>8.0874456696204504</v>
      </c>
      <c r="N457">
        <v>0</v>
      </c>
      <c r="O457" s="1">
        <v>0</v>
      </c>
      <c r="P457">
        <v>0</v>
      </c>
      <c r="Q457">
        <v>65.687445669620402</v>
      </c>
      <c r="R457">
        <v>276.24425968137899</v>
      </c>
      <c r="S457">
        <v>320</v>
      </c>
      <c r="T457">
        <v>945.61672193000004</v>
      </c>
      <c r="U457">
        <v>0</v>
      </c>
      <c r="V457">
        <v>0</v>
      </c>
      <c r="W457">
        <v>0</v>
      </c>
      <c r="X457">
        <v>-283.68501657899998</v>
      </c>
      <c r="Y457">
        <v>89.786756444444407</v>
      </c>
      <c r="Z457" t="s">
        <v>51</v>
      </c>
    </row>
    <row r="458" spans="1:26">
      <c r="A458" t="s">
        <v>13</v>
      </c>
      <c r="B458">
        <v>2035</v>
      </c>
      <c r="C458" t="s">
        <v>680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57.599999999999902</v>
      </c>
      <c r="L458">
        <v>0</v>
      </c>
      <c r="M458">
        <v>2.5588621208651499</v>
      </c>
      <c r="N458">
        <v>0</v>
      </c>
      <c r="O458">
        <v>0</v>
      </c>
      <c r="P458" s="1">
        <v>0</v>
      </c>
      <c r="Q458">
        <v>60.158862120865102</v>
      </c>
      <c r="R458">
        <v>247.70218595853399</v>
      </c>
      <c r="S458">
        <v>150</v>
      </c>
      <c r="T458">
        <v>654.08721154199998</v>
      </c>
      <c r="U458">
        <v>0</v>
      </c>
      <c r="V458">
        <v>0</v>
      </c>
      <c r="W458">
        <v>0</v>
      </c>
      <c r="X458">
        <v>-196.2261634626</v>
      </c>
      <c r="Y458">
        <v>89.786756444444407</v>
      </c>
      <c r="Z458" t="s">
        <v>51</v>
      </c>
    </row>
    <row r="459" spans="1:26">
      <c r="A459" t="s">
        <v>13</v>
      </c>
      <c r="B459">
        <v>2035</v>
      </c>
      <c r="C459" t="s">
        <v>681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57.599999999999902</v>
      </c>
      <c r="L459">
        <v>0</v>
      </c>
      <c r="M459">
        <v>24.835108702174999</v>
      </c>
      <c r="N459">
        <v>0</v>
      </c>
      <c r="O459" s="1">
        <v>0</v>
      </c>
      <c r="P459" s="1">
        <v>0</v>
      </c>
      <c r="Q459">
        <v>82.435108702175</v>
      </c>
      <c r="R459">
        <v>0</v>
      </c>
      <c r="S459">
        <v>237.85914666772399</v>
      </c>
      <c r="T459">
        <v>457.563221957</v>
      </c>
      <c r="U459">
        <v>0</v>
      </c>
      <c r="V459">
        <v>0</v>
      </c>
      <c r="W459">
        <v>0</v>
      </c>
      <c r="X459">
        <v>-137.26896658709899</v>
      </c>
      <c r="Y459">
        <v>13.6718112973739</v>
      </c>
      <c r="Z459" t="s">
        <v>51</v>
      </c>
    </row>
    <row r="460" spans="1:26">
      <c r="A460" t="s">
        <v>13</v>
      </c>
      <c r="B460">
        <v>2035</v>
      </c>
      <c r="C460" t="s">
        <v>682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50.711998900025499</v>
      </c>
      <c r="N460">
        <v>0</v>
      </c>
      <c r="O460" s="1">
        <v>0</v>
      </c>
      <c r="P460" s="1">
        <v>0</v>
      </c>
      <c r="Q460">
        <v>108.311998900025</v>
      </c>
      <c r="R460">
        <v>0</v>
      </c>
      <c r="S460">
        <v>157.13026297217399</v>
      </c>
      <c r="T460">
        <v>379.20323124599997</v>
      </c>
      <c r="U460">
        <v>0</v>
      </c>
      <c r="V460">
        <v>0</v>
      </c>
      <c r="W460">
        <v>0</v>
      </c>
      <c r="X460">
        <v>-113.76096937379999</v>
      </c>
      <c r="Y460">
        <v>13.6718112973739</v>
      </c>
      <c r="Z460" t="s">
        <v>51</v>
      </c>
    </row>
    <row r="461" spans="1:26">
      <c r="A461" t="s">
        <v>13</v>
      </c>
      <c r="B461">
        <v>2035</v>
      </c>
      <c r="C461" t="s">
        <v>683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57.599999999999902</v>
      </c>
      <c r="L461">
        <v>0</v>
      </c>
      <c r="M461">
        <v>77.351011559719893</v>
      </c>
      <c r="N461">
        <v>0</v>
      </c>
      <c r="O461">
        <v>0</v>
      </c>
      <c r="P461" s="1">
        <v>0</v>
      </c>
      <c r="Q461">
        <v>134.95101155971901</v>
      </c>
      <c r="R461">
        <v>0</v>
      </c>
      <c r="S461">
        <v>150.09015648127999</v>
      </c>
      <c r="T461">
        <v>407.20166862999997</v>
      </c>
      <c r="U461">
        <v>0</v>
      </c>
      <c r="V461">
        <v>0</v>
      </c>
      <c r="W461">
        <v>0</v>
      </c>
      <c r="X461">
        <v>-122.160500588999</v>
      </c>
      <c r="Y461">
        <v>13.6718112973739</v>
      </c>
      <c r="Z461" t="s">
        <v>51</v>
      </c>
    </row>
    <row r="462" spans="1:26">
      <c r="A462" t="s">
        <v>13</v>
      </c>
      <c r="B462">
        <v>2035</v>
      </c>
      <c r="C462" t="s">
        <v>684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57.599999999999902</v>
      </c>
      <c r="L462">
        <v>97.796045960297803</v>
      </c>
      <c r="M462" s="1">
        <v>101.582354211104</v>
      </c>
      <c r="N462">
        <v>0</v>
      </c>
      <c r="O462" s="1">
        <v>2.2204460492503101E-16</v>
      </c>
      <c r="P462" s="1">
        <v>0</v>
      </c>
      <c r="Q462">
        <v>256.97840017140101</v>
      </c>
      <c r="R462">
        <v>0</v>
      </c>
      <c r="S462">
        <v>147.61427363209799</v>
      </c>
      <c r="T462">
        <v>577.989534005</v>
      </c>
      <c r="U462">
        <v>0</v>
      </c>
      <c r="V462">
        <v>0</v>
      </c>
      <c r="W462">
        <v>0</v>
      </c>
      <c r="X462">
        <v>-173.3968602015</v>
      </c>
      <c r="Y462">
        <v>13.6718112973739</v>
      </c>
      <c r="Z462" t="s">
        <v>51</v>
      </c>
    </row>
    <row r="463" spans="1:26">
      <c r="A463" t="s">
        <v>13</v>
      </c>
      <c r="B463">
        <v>2035</v>
      </c>
      <c r="C463" t="s">
        <v>685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852.95452246609204</v>
      </c>
      <c r="M463">
        <v>63.324484689307397</v>
      </c>
      <c r="N463">
        <v>57.599999999999902</v>
      </c>
      <c r="O463" s="1">
        <v>1683.7006148497301</v>
      </c>
      <c r="P463">
        <v>36.704693660675296</v>
      </c>
      <c r="Q463">
        <v>916.2790071554</v>
      </c>
      <c r="R463">
        <v>0</v>
      </c>
      <c r="S463">
        <v>0</v>
      </c>
      <c r="T463">
        <v>808.97001022200004</v>
      </c>
      <c r="U463">
        <v>0</v>
      </c>
      <c r="V463">
        <v>0</v>
      </c>
      <c r="W463">
        <v>350</v>
      </c>
      <c r="X463">
        <v>-242.69100306659999</v>
      </c>
      <c r="Y463">
        <v>0</v>
      </c>
      <c r="Z463" t="s">
        <v>51</v>
      </c>
    </row>
    <row r="464" spans="1:26">
      <c r="A464" t="s">
        <v>13</v>
      </c>
      <c r="B464">
        <v>2035</v>
      </c>
      <c r="C464" t="s">
        <v>686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910.25903782483897</v>
      </c>
      <c r="M464">
        <v>49.364083777060699</v>
      </c>
      <c r="N464">
        <v>57.599999999999902</v>
      </c>
      <c r="O464" s="1">
        <v>2259.5523302401498</v>
      </c>
      <c r="P464" s="1">
        <v>55.132724493208997</v>
      </c>
      <c r="Q464">
        <v>959.62312160190004</v>
      </c>
      <c r="R464">
        <v>0</v>
      </c>
      <c r="S464">
        <v>0</v>
      </c>
      <c r="T464">
        <v>870.89017371700004</v>
      </c>
      <c r="U464">
        <v>0</v>
      </c>
      <c r="V464">
        <v>0</v>
      </c>
      <c r="W464">
        <v>350</v>
      </c>
      <c r="X464">
        <v>-261.2670521151</v>
      </c>
      <c r="Y464">
        <v>0</v>
      </c>
      <c r="Z464" t="s">
        <v>51</v>
      </c>
    </row>
    <row r="465" spans="1:26">
      <c r="A465" t="s">
        <v>13</v>
      </c>
      <c r="B465">
        <v>2035</v>
      </c>
      <c r="C465" t="s">
        <v>687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2249.5512783612098</v>
      </c>
      <c r="M465">
        <v>96.6368993418115</v>
      </c>
      <c r="N465">
        <v>57.599999999999902</v>
      </c>
      <c r="O465" s="1">
        <v>1050.88766824958</v>
      </c>
      <c r="P465" s="1">
        <v>0</v>
      </c>
      <c r="Q465">
        <v>2346.1881777030299</v>
      </c>
      <c r="R465">
        <v>0</v>
      </c>
      <c r="S465">
        <v>0</v>
      </c>
      <c r="T465">
        <v>874.15346820499997</v>
      </c>
      <c r="U465">
        <v>0</v>
      </c>
      <c r="V465">
        <v>0</v>
      </c>
      <c r="W465">
        <v>350</v>
      </c>
      <c r="X465">
        <v>1122.03470949802</v>
      </c>
      <c r="Y465">
        <v>0</v>
      </c>
      <c r="Z465" t="s">
        <v>51</v>
      </c>
    </row>
    <row r="466" spans="1:26">
      <c r="A466" t="s">
        <v>13</v>
      </c>
      <c r="B466">
        <v>2035</v>
      </c>
      <c r="C466" t="s">
        <v>688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960.01853550779595</v>
      </c>
      <c r="M466">
        <v>37.328662560360499</v>
      </c>
      <c r="N466">
        <v>57.599999999999902</v>
      </c>
      <c r="O466" s="1">
        <v>2227.1727076602601</v>
      </c>
      <c r="P466" s="1">
        <v>53.796625229098701</v>
      </c>
      <c r="Q466">
        <v>997.34719806815701</v>
      </c>
      <c r="R466">
        <v>0</v>
      </c>
      <c r="S466">
        <v>0</v>
      </c>
      <c r="T466">
        <v>847.40272168499996</v>
      </c>
      <c r="U466">
        <v>0</v>
      </c>
      <c r="V466">
        <v>54.165292888657603</v>
      </c>
      <c r="W466">
        <v>350</v>
      </c>
      <c r="X466">
        <v>-254.22081650549899</v>
      </c>
      <c r="Y466">
        <v>0</v>
      </c>
      <c r="Z466" t="s">
        <v>51</v>
      </c>
    </row>
    <row r="467" spans="1:26">
      <c r="A467" t="s">
        <v>13</v>
      </c>
      <c r="B467">
        <v>2035</v>
      </c>
      <c r="C467" t="s">
        <v>689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2062.59258945087</v>
      </c>
      <c r="M467">
        <v>60.825892702794398</v>
      </c>
      <c r="N467">
        <v>57.599999999999902</v>
      </c>
      <c r="O467" s="1">
        <v>534.235416800954</v>
      </c>
      <c r="P467">
        <v>21.4179540721039</v>
      </c>
      <c r="Q467">
        <v>2123.4184821536701</v>
      </c>
      <c r="R467">
        <v>0</v>
      </c>
      <c r="S467">
        <v>0</v>
      </c>
      <c r="T467">
        <v>861.38825753699996</v>
      </c>
      <c r="U467">
        <v>0</v>
      </c>
      <c r="V467">
        <v>0</v>
      </c>
      <c r="W467">
        <v>350</v>
      </c>
      <c r="X467">
        <v>912.03022461667001</v>
      </c>
      <c r="Y467">
        <v>0</v>
      </c>
      <c r="Z467" t="s">
        <v>51</v>
      </c>
    </row>
    <row r="468" spans="1:26">
      <c r="A468" t="s">
        <v>13</v>
      </c>
      <c r="B468">
        <v>2035</v>
      </c>
      <c r="C468" t="s">
        <v>690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57.599999999999902</v>
      </c>
      <c r="L468">
        <v>286.34399875064298</v>
      </c>
      <c r="M468" s="1">
        <v>152.269951560175</v>
      </c>
      <c r="N468">
        <v>0</v>
      </c>
      <c r="O468">
        <v>0</v>
      </c>
      <c r="P468">
        <v>0</v>
      </c>
      <c r="Q468">
        <v>496.21395031081801</v>
      </c>
      <c r="R468">
        <v>0</v>
      </c>
      <c r="S468">
        <v>151.85837747948099</v>
      </c>
      <c r="T468">
        <v>925.81761112900006</v>
      </c>
      <c r="U468">
        <v>0</v>
      </c>
      <c r="V468">
        <v>0</v>
      </c>
      <c r="W468">
        <v>0</v>
      </c>
      <c r="X468">
        <v>-277.74528333870001</v>
      </c>
      <c r="Y468">
        <v>13.6718112973739</v>
      </c>
      <c r="Z468" t="s">
        <v>51</v>
      </c>
    </row>
    <row r="469" spans="1:26">
      <c r="A469" t="s">
        <v>13</v>
      </c>
      <c r="B469">
        <v>2035</v>
      </c>
      <c r="C469" t="s">
        <v>691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57.599999999999902</v>
      </c>
      <c r="L469">
        <v>0</v>
      </c>
      <c r="M469">
        <v>146.752739112406</v>
      </c>
      <c r="N469">
        <v>0</v>
      </c>
      <c r="O469">
        <v>0</v>
      </c>
      <c r="P469" s="1">
        <v>0</v>
      </c>
      <c r="Q469">
        <v>204.352739112406</v>
      </c>
      <c r="R469">
        <v>40.623969666493203</v>
      </c>
      <c r="S469">
        <v>350</v>
      </c>
      <c r="T469">
        <v>849.966726827</v>
      </c>
      <c r="U469">
        <v>0</v>
      </c>
      <c r="V469">
        <v>0</v>
      </c>
      <c r="W469">
        <v>0</v>
      </c>
      <c r="X469">
        <v>-254.99001804809899</v>
      </c>
      <c r="Y469">
        <v>89.786756444444407</v>
      </c>
      <c r="Z469" t="s">
        <v>51</v>
      </c>
    </row>
    <row r="470" spans="1:26">
      <c r="A470" t="s">
        <v>13</v>
      </c>
      <c r="B470">
        <v>2035</v>
      </c>
      <c r="C470" t="s">
        <v>692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57.599999999999902</v>
      </c>
      <c r="L470">
        <v>0</v>
      </c>
      <c r="M470">
        <v>128.100300574459</v>
      </c>
      <c r="N470">
        <v>0</v>
      </c>
      <c r="O470">
        <v>0</v>
      </c>
      <c r="P470">
        <v>0</v>
      </c>
      <c r="Q470">
        <v>185.70030057445899</v>
      </c>
      <c r="R470">
        <v>0</v>
      </c>
      <c r="S470">
        <v>272.94778276724099</v>
      </c>
      <c r="T470">
        <v>655.21154763100003</v>
      </c>
      <c r="U470">
        <v>0</v>
      </c>
      <c r="V470">
        <v>0</v>
      </c>
      <c r="W470">
        <v>0</v>
      </c>
      <c r="X470">
        <v>-196.56346428929999</v>
      </c>
      <c r="Y470">
        <v>13.6718112973739</v>
      </c>
      <c r="Z470" t="s">
        <v>51</v>
      </c>
    </row>
    <row r="471" spans="1:26">
      <c r="A471" t="s">
        <v>13</v>
      </c>
      <c r="B471">
        <v>2035</v>
      </c>
      <c r="C471" t="s">
        <v>573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57.599999999999902</v>
      </c>
      <c r="L471">
        <v>0</v>
      </c>
      <c r="M471">
        <v>48.758166804818899</v>
      </c>
      <c r="N471">
        <v>0</v>
      </c>
      <c r="O471">
        <v>0</v>
      </c>
      <c r="P471" s="1">
        <v>0</v>
      </c>
      <c r="Q471">
        <v>106.358166804818</v>
      </c>
      <c r="R471">
        <v>0</v>
      </c>
      <c r="S471">
        <v>215.15417169708101</v>
      </c>
      <c r="T471">
        <v>459.30334071700003</v>
      </c>
      <c r="U471">
        <v>0</v>
      </c>
      <c r="V471">
        <v>0</v>
      </c>
      <c r="W471">
        <v>0</v>
      </c>
      <c r="X471">
        <v>-137.79100221510001</v>
      </c>
      <c r="Y471">
        <v>89.786756444444407</v>
      </c>
      <c r="Z471" t="s">
        <v>52</v>
      </c>
    </row>
    <row r="472" spans="1:26">
      <c r="A472" t="s">
        <v>13</v>
      </c>
      <c r="B472">
        <v>2035</v>
      </c>
      <c r="C472" t="s">
        <v>574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57.599999999999902</v>
      </c>
      <c r="L472">
        <v>0</v>
      </c>
      <c r="M472">
        <v>51.548940384827198</v>
      </c>
      <c r="N472">
        <v>0</v>
      </c>
      <c r="O472">
        <v>0</v>
      </c>
      <c r="P472" s="1">
        <v>0</v>
      </c>
      <c r="Q472">
        <v>109.148940384827</v>
      </c>
      <c r="R472">
        <v>0</v>
      </c>
      <c r="S472">
        <v>173.71953100417201</v>
      </c>
      <c r="T472">
        <v>404.09781627000001</v>
      </c>
      <c r="U472">
        <v>0</v>
      </c>
      <c r="V472">
        <v>0</v>
      </c>
      <c r="W472">
        <v>0</v>
      </c>
      <c r="X472">
        <v>-121.229344881</v>
      </c>
      <c r="Y472">
        <v>89.786756444444407</v>
      </c>
      <c r="Z472" t="s">
        <v>52</v>
      </c>
    </row>
    <row r="473" spans="1:26">
      <c r="A473" t="s">
        <v>13</v>
      </c>
      <c r="B473">
        <v>2035</v>
      </c>
      <c r="C473" t="s">
        <v>575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57.599999999999902</v>
      </c>
      <c r="L473">
        <v>0</v>
      </c>
      <c r="M473">
        <v>25.537735395918599</v>
      </c>
      <c r="N473">
        <v>0</v>
      </c>
      <c r="O473">
        <v>0</v>
      </c>
      <c r="P473" s="1">
        <v>0</v>
      </c>
      <c r="Q473">
        <v>83.137735395918597</v>
      </c>
      <c r="R473">
        <v>0</v>
      </c>
      <c r="S473">
        <v>264.98067312028098</v>
      </c>
      <c r="T473">
        <v>497.31201216599999</v>
      </c>
      <c r="U473">
        <v>0</v>
      </c>
      <c r="V473">
        <v>0</v>
      </c>
      <c r="W473">
        <v>0</v>
      </c>
      <c r="X473">
        <v>-149.1936036498</v>
      </c>
      <c r="Y473">
        <v>89.786756444444407</v>
      </c>
      <c r="Z473" t="s">
        <v>52</v>
      </c>
    </row>
    <row r="474" spans="1:26">
      <c r="A474" t="s">
        <v>13</v>
      </c>
      <c r="B474">
        <v>2035</v>
      </c>
      <c r="C474" t="s">
        <v>576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57.599999999999902</v>
      </c>
      <c r="L474">
        <v>90.438782579541893</v>
      </c>
      <c r="M474">
        <v>41.702658015124499</v>
      </c>
      <c r="N474">
        <v>0</v>
      </c>
      <c r="O474" s="1">
        <v>-2.2204460492503101E-16</v>
      </c>
      <c r="P474" s="1">
        <v>0</v>
      </c>
      <c r="Q474">
        <v>189.74144059466599</v>
      </c>
      <c r="R474">
        <v>37.115463935862401</v>
      </c>
      <c r="S474">
        <v>349.28202768867101</v>
      </c>
      <c r="T474">
        <v>823.05561745600005</v>
      </c>
      <c r="U474">
        <v>0</v>
      </c>
      <c r="V474">
        <v>0</v>
      </c>
      <c r="W474">
        <v>0</v>
      </c>
      <c r="X474">
        <v>-246.91668523679999</v>
      </c>
      <c r="Y474">
        <v>89.786756444444407</v>
      </c>
      <c r="Z474" t="s">
        <v>52</v>
      </c>
    </row>
    <row r="475" spans="1:26">
      <c r="A475" t="s">
        <v>13</v>
      </c>
      <c r="B475">
        <v>2035</v>
      </c>
      <c r="C475" t="s">
        <v>577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1173.85181513676</v>
      </c>
      <c r="M475">
        <v>16.8893734102145</v>
      </c>
      <c r="N475">
        <v>57.599999999999902</v>
      </c>
      <c r="O475">
        <v>1040.8229722537201</v>
      </c>
      <c r="P475" s="1">
        <v>23.374534897265601</v>
      </c>
      <c r="Q475">
        <v>1190.7411885469701</v>
      </c>
      <c r="R475">
        <v>0</v>
      </c>
      <c r="S475">
        <v>0</v>
      </c>
      <c r="T475">
        <v>975.88578993600004</v>
      </c>
      <c r="U475">
        <v>0</v>
      </c>
      <c r="V475">
        <v>0</v>
      </c>
      <c r="W475">
        <v>350</v>
      </c>
      <c r="X475">
        <v>-135.14460138902501</v>
      </c>
      <c r="Y475">
        <v>0</v>
      </c>
      <c r="Z475" t="s">
        <v>52</v>
      </c>
    </row>
    <row r="476" spans="1:26">
      <c r="A476" t="s">
        <v>13</v>
      </c>
      <c r="B476">
        <v>2035</v>
      </c>
      <c r="C476" t="s">
        <v>578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2793.2284516514801</v>
      </c>
      <c r="M476">
        <v>39.641910407115297</v>
      </c>
      <c r="N476">
        <v>57.599999999999902</v>
      </c>
      <c r="O476">
        <v>409.09569015710002</v>
      </c>
      <c r="P476" s="1">
        <v>9.1105871016055495</v>
      </c>
      <c r="Q476">
        <v>2832.8703620585902</v>
      </c>
      <c r="R476">
        <v>0</v>
      </c>
      <c r="S476">
        <v>0</v>
      </c>
      <c r="T476">
        <v>1058.2288284399999</v>
      </c>
      <c r="U476">
        <v>0</v>
      </c>
      <c r="V476">
        <v>404.83335561331899</v>
      </c>
      <c r="W476">
        <v>350</v>
      </c>
      <c r="X476">
        <v>1019.80817800528</v>
      </c>
      <c r="Y476">
        <v>0</v>
      </c>
      <c r="Z476" t="s">
        <v>52</v>
      </c>
    </row>
    <row r="477" spans="1:26">
      <c r="A477" t="s">
        <v>13</v>
      </c>
      <c r="B477">
        <v>2035</v>
      </c>
      <c r="C477" t="s">
        <v>579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2159.3947034102998</v>
      </c>
      <c r="M477">
        <v>54.090582264408198</v>
      </c>
      <c r="N477">
        <v>57.599999999999902</v>
      </c>
      <c r="O477" s="1">
        <v>1076.6884040331199</v>
      </c>
      <c r="P477" s="1">
        <v>2.9797424282354399</v>
      </c>
      <c r="Q477">
        <v>2213.4852856747002</v>
      </c>
      <c r="R477">
        <v>0</v>
      </c>
      <c r="S477">
        <v>0</v>
      </c>
      <c r="T477">
        <v>1086.9308902</v>
      </c>
      <c r="U477">
        <v>0</v>
      </c>
      <c r="V477">
        <v>232.545319846957</v>
      </c>
      <c r="W477">
        <v>350</v>
      </c>
      <c r="X477">
        <v>544.00907562775205</v>
      </c>
      <c r="Y477">
        <v>0</v>
      </c>
      <c r="Z477" t="s">
        <v>52</v>
      </c>
    </row>
    <row r="478" spans="1:26">
      <c r="A478" t="s">
        <v>13</v>
      </c>
      <c r="B478">
        <v>2035</v>
      </c>
      <c r="C478" t="s">
        <v>580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1628.2903463013299</v>
      </c>
      <c r="M478">
        <v>27.719442837533801</v>
      </c>
      <c r="N478">
        <v>57.599999999999902</v>
      </c>
      <c r="O478" s="1">
        <v>1626.08350173446</v>
      </c>
      <c r="P478">
        <v>36.120949861927301</v>
      </c>
      <c r="Q478">
        <v>1656.00978913886</v>
      </c>
      <c r="R478">
        <v>0</v>
      </c>
      <c r="S478">
        <v>0</v>
      </c>
      <c r="T478">
        <v>1083.24858457</v>
      </c>
      <c r="U478">
        <v>0</v>
      </c>
      <c r="V478">
        <v>0</v>
      </c>
      <c r="W478">
        <v>350</v>
      </c>
      <c r="X478">
        <v>222.761204568865</v>
      </c>
      <c r="Y478">
        <v>0</v>
      </c>
      <c r="Z478" t="s">
        <v>52</v>
      </c>
    </row>
    <row r="479" spans="1:26">
      <c r="A479" t="s">
        <v>13</v>
      </c>
      <c r="B479">
        <v>2035</v>
      </c>
      <c r="C479" t="s">
        <v>581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1612.0370861768799</v>
      </c>
      <c r="M479">
        <v>41.290439928860401</v>
      </c>
      <c r="N479">
        <v>57.599999999999902</v>
      </c>
      <c r="O479">
        <v>1319.54931225416</v>
      </c>
      <c r="P479">
        <v>6.4537478731354696</v>
      </c>
      <c r="Q479">
        <v>1653.3275261057399</v>
      </c>
      <c r="R479">
        <v>0</v>
      </c>
      <c r="S479">
        <v>0</v>
      </c>
      <c r="T479">
        <v>1053.2247454999999</v>
      </c>
      <c r="U479">
        <v>0</v>
      </c>
      <c r="V479">
        <v>404.83335561331899</v>
      </c>
      <c r="W479">
        <v>350</v>
      </c>
      <c r="X479">
        <v>-154.73057500757301</v>
      </c>
      <c r="Y479">
        <v>0</v>
      </c>
      <c r="Z479" t="s">
        <v>52</v>
      </c>
    </row>
    <row r="480" spans="1:26">
      <c r="A480" t="s">
        <v>13</v>
      </c>
      <c r="B480">
        <v>2035</v>
      </c>
      <c r="C480" t="s">
        <v>582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57.599999999999902</v>
      </c>
      <c r="L480">
        <v>307.889234220003</v>
      </c>
      <c r="M480">
        <v>79.792514254339096</v>
      </c>
      <c r="N480">
        <v>0</v>
      </c>
      <c r="O480">
        <v>0</v>
      </c>
      <c r="P480" s="1">
        <v>0</v>
      </c>
      <c r="Q480">
        <v>445.28174847434201</v>
      </c>
      <c r="R480">
        <v>173.03798234065701</v>
      </c>
      <c r="S480">
        <v>150</v>
      </c>
      <c r="T480">
        <v>1097.5996154500001</v>
      </c>
      <c r="U480">
        <v>0</v>
      </c>
      <c r="V480">
        <v>0</v>
      </c>
      <c r="W480">
        <v>0</v>
      </c>
      <c r="X480">
        <v>-329.27988463499997</v>
      </c>
      <c r="Y480">
        <v>89.786756444444407</v>
      </c>
      <c r="Z480" t="s">
        <v>52</v>
      </c>
    </row>
    <row r="481" spans="1:26">
      <c r="A481" t="s">
        <v>13</v>
      </c>
      <c r="B481">
        <v>2035</v>
      </c>
      <c r="C481" t="s">
        <v>583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57.599999999999902</v>
      </c>
      <c r="L481">
        <v>0</v>
      </c>
      <c r="M481">
        <v>91.320499408714298</v>
      </c>
      <c r="N481">
        <v>0</v>
      </c>
      <c r="O481">
        <v>0</v>
      </c>
      <c r="P481" s="1">
        <v>0</v>
      </c>
      <c r="Q481">
        <v>148.92049940871399</v>
      </c>
      <c r="R481">
        <v>404.83335561331899</v>
      </c>
      <c r="S481">
        <v>153.083127493966</v>
      </c>
      <c r="T481">
        <v>1009.76711788</v>
      </c>
      <c r="U481">
        <v>0</v>
      </c>
      <c r="V481">
        <v>0</v>
      </c>
      <c r="W481">
        <v>0</v>
      </c>
      <c r="X481">
        <v>-302.930135363999</v>
      </c>
      <c r="Y481">
        <v>89.786756444444407</v>
      </c>
      <c r="Z481" t="s">
        <v>52</v>
      </c>
    </row>
    <row r="482" spans="1:26">
      <c r="A482" t="s">
        <v>13</v>
      </c>
      <c r="B482">
        <v>2035</v>
      </c>
      <c r="C482" t="s">
        <v>584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57.599999999999902</v>
      </c>
      <c r="L482">
        <v>0</v>
      </c>
      <c r="M482">
        <v>102.96010317721399</v>
      </c>
      <c r="N482">
        <v>0</v>
      </c>
      <c r="O482" s="1">
        <v>0</v>
      </c>
      <c r="P482">
        <v>0</v>
      </c>
      <c r="Q482">
        <v>160.56010317721399</v>
      </c>
      <c r="R482">
        <v>166.672221415358</v>
      </c>
      <c r="S482">
        <v>161.28046899582699</v>
      </c>
      <c r="T482">
        <v>697.87541941200004</v>
      </c>
      <c r="U482">
        <v>0</v>
      </c>
      <c r="V482">
        <v>0</v>
      </c>
      <c r="W482">
        <v>0</v>
      </c>
      <c r="X482">
        <v>-209.36262582360001</v>
      </c>
      <c r="Y482">
        <v>89.786756444444407</v>
      </c>
      <c r="Z482" t="s">
        <v>52</v>
      </c>
    </row>
    <row r="483" spans="1:26">
      <c r="A483" t="s">
        <v>13</v>
      </c>
      <c r="B483">
        <v>2035</v>
      </c>
      <c r="C483" t="s">
        <v>693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70.785357675943203</v>
      </c>
      <c r="N483">
        <v>57.599999999999902</v>
      </c>
      <c r="O483">
        <v>0</v>
      </c>
      <c r="P483" s="1">
        <v>0</v>
      </c>
      <c r="Q483">
        <v>70.785357675943104</v>
      </c>
      <c r="R483">
        <v>0</v>
      </c>
      <c r="S483">
        <v>303.516329422556</v>
      </c>
      <c r="T483">
        <v>534.71669585500001</v>
      </c>
      <c r="U483">
        <v>0</v>
      </c>
      <c r="V483">
        <v>0</v>
      </c>
      <c r="W483">
        <v>0</v>
      </c>
      <c r="X483">
        <v>-160.41500875649999</v>
      </c>
      <c r="Y483">
        <v>0</v>
      </c>
      <c r="Z483" t="s">
        <v>51</v>
      </c>
    </row>
    <row r="484" spans="1:26">
      <c r="A484" t="s">
        <v>13</v>
      </c>
      <c r="B484">
        <v>2035</v>
      </c>
      <c r="C484" t="s">
        <v>694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65.936626392903804</v>
      </c>
      <c r="N484">
        <v>57.599999999999902</v>
      </c>
      <c r="O484" s="1">
        <v>0</v>
      </c>
      <c r="P484" s="1">
        <v>14.007369765987001</v>
      </c>
      <c r="Q484">
        <v>65.936626392903804</v>
      </c>
      <c r="R484">
        <v>0</v>
      </c>
      <c r="S484">
        <v>228.93278727669599</v>
      </c>
      <c r="T484">
        <v>421.24201952800001</v>
      </c>
      <c r="U484">
        <v>0</v>
      </c>
      <c r="V484">
        <v>0</v>
      </c>
      <c r="W484">
        <v>0</v>
      </c>
      <c r="X484">
        <v>-126.37260585839999</v>
      </c>
      <c r="Y484">
        <v>0</v>
      </c>
      <c r="Z484" t="s">
        <v>51</v>
      </c>
    </row>
    <row r="485" spans="1:26">
      <c r="A485" t="s">
        <v>13</v>
      </c>
      <c r="B485">
        <v>2035</v>
      </c>
      <c r="C485" t="s">
        <v>695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53.5940862248668</v>
      </c>
      <c r="N485">
        <v>57.599999999999902</v>
      </c>
      <c r="O485">
        <v>0</v>
      </c>
      <c r="P485" s="1">
        <v>1.43431125354004</v>
      </c>
      <c r="Q485">
        <v>53.5940862248668</v>
      </c>
      <c r="R485">
        <v>0</v>
      </c>
      <c r="S485">
        <v>235.94850173353299</v>
      </c>
      <c r="T485">
        <v>413.632268512</v>
      </c>
      <c r="U485">
        <v>0</v>
      </c>
      <c r="V485">
        <v>0</v>
      </c>
      <c r="W485">
        <v>0</v>
      </c>
      <c r="X485">
        <v>-124.089680553599</v>
      </c>
      <c r="Y485">
        <v>0</v>
      </c>
      <c r="Z485" t="s">
        <v>51</v>
      </c>
    </row>
    <row r="486" spans="1:26">
      <c r="A486" t="s">
        <v>13</v>
      </c>
      <c r="B486">
        <v>2035</v>
      </c>
      <c r="C486" t="s">
        <v>696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573.87406122599396</v>
      </c>
      <c r="M486">
        <v>78.123436259986903</v>
      </c>
      <c r="N486">
        <v>57.599999999999902</v>
      </c>
      <c r="O486" s="1">
        <v>38.604336551223398</v>
      </c>
      <c r="P486" s="1">
        <v>0</v>
      </c>
      <c r="Q486">
        <v>651.99749748598094</v>
      </c>
      <c r="R486">
        <v>0</v>
      </c>
      <c r="S486">
        <v>0</v>
      </c>
      <c r="T486">
        <v>571.21615179200001</v>
      </c>
      <c r="U486">
        <v>0</v>
      </c>
      <c r="V486">
        <v>0</v>
      </c>
      <c r="W486">
        <v>252.14619123158201</v>
      </c>
      <c r="X486">
        <v>-171.36484553759999</v>
      </c>
      <c r="Y486">
        <v>0</v>
      </c>
      <c r="Z486" t="s">
        <v>51</v>
      </c>
    </row>
    <row r="487" spans="1:26">
      <c r="A487" t="s">
        <v>13</v>
      </c>
      <c r="B487">
        <v>2035</v>
      </c>
      <c r="C487" t="s">
        <v>697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1331.4295187401499</v>
      </c>
      <c r="M487">
        <v>80.751947552151094</v>
      </c>
      <c r="N487">
        <v>57.599999999999902</v>
      </c>
      <c r="O487" s="1">
        <v>1058.8971196340899</v>
      </c>
      <c r="P487" s="1">
        <v>0</v>
      </c>
      <c r="Q487">
        <v>1412.18146629231</v>
      </c>
      <c r="R487">
        <v>0</v>
      </c>
      <c r="S487">
        <v>0</v>
      </c>
      <c r="T487">
        <v>805.52846222599999</v>
      </c>
      <c r="U487">
        <v>0</v>
      </c>
      <c r="V487">
        <v>0</v>
      </c>
      <c r="W487">
        <v>242.120502956748</v>
      </c>
      <c r="X487">
        <v>364.53250110956202</v>
      </c>
      <c r="Y487">
        <v>0</v>
      </c>
      <c r="Z487" t="s">
        <v>51</v>
      </c>
    </row>
    <row r="488" spans="1:26">
      <c r="A488" t="s">
        <v>13</v>
      </c>
      <c r="B488">
        <v>2035</v>
      </c>
      <c r="C488" t="s">
        <v>698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935.69194365456406</v>
      </c>
      <c r="M488">
        <v>54.279749740735703</v>
      </c>
      <c r="N488">
        <v>57.599999999999902</v>
      </c>
      <c r="O488">
        <v>2080.0329739130002</v>
      </c>
      <c r="P488" s="1">
        <v>18.1641541343743</v>
      </c>
      <c r="Q488">
        <v>989.97169339530001</v>
      </c>
      <c r="R488">
        <v>0</v>
      </c>
      <c r="S488">
        <v>0</v>
      </c>
      <c r="T488">
        <v>914.245276279</v>
      </c>
      <c r="U488">
        <v>0</v>
      </c>
      <c r="V488">
        <v>0</v>
      </c>
      <c r="W488">
        <v>350</v>
      </c>
      <c r="X488">
        <v>-274.27358288369999</v>
      </c>
      <c r="Y488">
        <v>0</v>
      </c>
      <c r="Z488" t="s">
        <v>51</v>
      </c>
    </row>
    <row r="489" spans="1:26">
      <c r="A489" t="s">
        <v>13</v>
      </c>
      <c r="B489">
        <v>2035</v>
      </c>
      <c r="C489" t="s">
        <v>699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1019.0585096833699</v>
      </c>
      <c r="M489">
        <v>33.415350601437098</v>
      </c>
      <c r="N489">
        <v>57.599999999999902</v>
      </c>
      <c r="O489" s="1">
        <v>2167.3567644580999</v>
      </c>
      <c r="P489">
        <v>25.4509495902001</v>
      </c>
      <c r="Q489">
        <v>1052.4738602848099</v>
      </c>
      <c r="R489">
        <v>0</v>
      </c>
      <c r="S489">
        <v>0</v>
      </c>
      <c r="T489">
        <v>921.62195874199995</v>
      </c>
      <c r="U489">
        <v>0</v>
      </c>
      <c r="V489">
        <v>0</v>
      </c>
      <c r="W489">
        <v>350</v>
      </c>
      <c r="X489">
        <v>-219.14809845718599</v>
      </c>
      <c r="Y489">
        <v>0</v>
      </c>
      <c r="Z489" t="s">
        <v>51</v>
      </c>
    </row>
    <row r="490" spans="1:26">
      <c r="A490" t="s">
        <v>13</v>
      </c>
      <c r="B490">
        <v>2035</v>
      </c>
      <c r="C490" t="s">
        <v>700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2285.1780279106802</v>
      </c>
      <c r="M490">
        <v>37.581976732169998</v>
      </c>
      <c r="N490">
        <v>57.599999999999902</v>
      </c>
      <c r="O490">
        <v>813.02999148952301</v>
      </c>
      <c r="P490" s="1">
        <v>20.917499170314699</v>
      </c>
      <c r="Q490">
        <v>2322.7600046428502</v>
      </c>
      <c r="R490">
        <v>0</v>
      </c>
      <c r="S490">
        <v>0</v>
      </c>
      <c r="T490">
        <v>943.29951002300004</v>
      </c>
      <c r="U490">
        <v>0</v>
      </c>
      <c r="V490">
        <v>0</v>
      </c>
      <c r="W490">
        <v>0</v>
      </c>
      <c r="X490">
        <v>1379.4604946198499</v>
      </c>
      <c r="Y490">
        <v>0</v>
      </c>
      <c r="Z490" t="s">
        <v>51</v>
      </c>
    </row>
    <row r="491" spans="1:26">
      <c r="A491" t="s">
        <v>13</v>
      </c>
      <c r="B491">
        <v>2035</v>
      </c>
      <c r="C491" t="s">
        <v>701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1338.0056037408399</v>
      </c>
      <c r="M491">
        <v>29.0179091205516</v>
      </c>
      <c r="N491">
        <v>57.599999999999902</v>
      </c>
      <c r="O491">
        <v>1614.8086082536099</v>
      </c>
      <c r="P491" s="1">
        <v>23.153744995476</v>
      </c>
      <c r="Q491">
        <v>1367.0235128613899</v>
      </c>
      <c r="R491">
        <v>0</v>
      </c>
      <c r="S491">
        <v>0</v>
      </c>
      <c r="T491">
        <v>962.893001637</v>
      </c>
      <c r="U491">
        <v>0</v>
      </c>
      <c r="V491">
        <v>0</v>
      </c>
      <c r="W491">
        <v>350</v>
      </c>
      <c r="X491">
        <v>54.130511224393501</v>
      </c>
      <c r="Y491">
        <v>0</v>
      </c>
      <c r="Z491" t="s">
        <v>51</v>
      </c>
    </row>
    <row r="492" spans="1:26">
      <c r="A492" t="s">
        <v>13</v>
      </c>
      <c r="B492">
        <v>2035</v>
      </c>
      <c r="C492" t="s">
        <v>702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1147.5609784108999</v>
      </c>
      <c r="M492" s="1">
        <v>55.6656764066352</v>
      </c>
      <c r="N492">
        <v>57.599999999999902</v>
      </c>
      <c r="O492" s="1">
        <v>922.73978360937303</v>
      </c>
      <c r="P492" s="1">
        <v>28.781084569886701</v>
      </c>
      <c r="Q492">
        <v>1203.2266548175301</v>
      </c>
      <c r="R492">
        <v>0</v>
      </c>
      <c r="S492">
        <v>0</v>
      </c>
      <c r="T492">
        <v>964.19550754600004</v>
      </c>
      <c r="U492">
        <v>0</v>
      </c>
      <c r="V492">
        <v>243.31602479139599</v>
      </c>
      <c r="W492">
        <v>206.89904403606701</v>
      </c>
      <c r="X492">
        <v>-211.18392155592699</v>
      </c>
      <c r="Y492">
        <v>0</v>
      </c>
      <c r="Z492" t="s">
        <v>51</v>
      </c>
    </row>
    <row r="493" spans="1:26">
      <c r="A493" t="s">
        <v>13</v>
      </c>
      <c r="B493">
        <v>2035</v>
      </c>
      <c r="C493" t="s">
        <v>703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57.599999999999902</v>
      </c>
      <c r="L493">
        <v>0</v>
      </c>
      <c r="M493">
        <v>115.322233155627</v>
      </c>
      <c r="N493">
        <v>0</v>
      </c>
      <c r="O493">
        <v>0</v>
      </c>
      <c r="P493" s="1">
        <v>0</v>
      </c>
      <c r="Q493">
        <v>172.922233155627</v>
      </c>
      <c r="R493">
        <v>155.96895441337199</v>
      </c>
      <c r="S493">
        <v>350</v>
      </c>
      <c r="T493">
        <v>969.84455366999998</v>
      </c>
      <c r="U493">
        <v>0</v>
      </c>
      <c r="V493">
        <v>0</v>
      </c>
      <c r="W493">
        <v>0</v>
      </c>
      <c r="X493">
        <v>-290.95336610099997</v>
      </c>
      <c r="Y493">
        <v>89.786756444444407</v>
      </c>
      <c r="Z493" t="s">
        <v>51</v>
      </c>
    </row>
    <row r="494" spans="1:26">
      <c r="A494" t="s">
        <v>13</v>
      </c>
      <c r="B494">
        <v>2035</v>
      </c>
      <c r="C494" t="s">
        <v>704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57.599999999999902</v>
      </c>
      <c r="L494">
        <v>0</v>
      </c>
      <c r="M494">
        <v>79.967529402925294</v>
      </c>
      <c r="N494">
        <v>0</v>
      </c>
      <c r="O494">
        <v>0</v>
      </c>
      <c r="P494">
        <v>0</v>
      </c>
      <c r="Q494">
        <v>137.567529402925</v>
      </c>
      <c r="R494">
        <v>26.518064180174601</v>
      </c>
      <c r="S494">
        <v>350</v>
      </c>
      <c r="T494">
        <v>734.40799083299999</v>
      </c>
      <c r="U494">
        <v>0</v>
      </c>
      <c r="V494">
        <v>0</v>
      </c>
      <c r="W494">
        <v>0</v>
      </c>
      <c r="X494">
        <v>-220.32239724989901</v>
      </c>
      <c r="Y494">
        <v>89.786756444444407</v>
      </c>
      <c r="Z494" t="s">
        <v>51</v>
      </c>
    </row>
    <row r="495" spans="1:26">
      <c r="A495" t="s">
        <v>13</v>
      </c>
      <c r="B495">
        <v>2035</v>
      </c>
      <c r="C495" t="s">
        <v>585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36.389527825664402</v>
      </c>
      <c r="N495">
        <v>57.599999999999902</v>
      </c>
      <c r="O495" s="1">
        <v>0</v>
      </c>
      <c r="P495">
        <v>0</v>
      </c>
      <c r="Q495">
        <v>36.389527825664402</v>
      </c>
      <c r="R495">
        <v>0</v>
      </c>
      <c r="S495">
        <v>340.818000271735</v>
      </c>
      <c r="T495">
        <v>538.86789728199994</v>
      </c>
      <c r="U495">
        <v>0</v>
      </c>
      <c r="V495">
        <v>0</v>
      </c>
      <c r="W495">
        <v>0</v>
      </c>
      <c r="X495">
        <v>-161.66036918459901</v>
      </c>
      <c r="Y495">
        <v>0</v>
      </c>
      <c r="Z495" t="s">
        <v>52</v>
      </c>
    </row>
    <row r="496" spans="1:26">
      <c r="A496" t="s">
        <v>13</v>
      </c>
      <c r="B496">
        <v>2035</v>
      </c>
      <c r="C496" t="s">
        <v>586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48.669259884779301</v>
      </c>
      <c r="N496">
        <v>57.599999999999902</v>
      </c>
      <c r="O496">
        <v>0</v>
      </c>
      <c r="P496" s="1">
        <v>0</v>
      </c>
      <c r="Q496">
        <v>48.669259884779301</v>
      </c>
      <c r="R496">
        <v>0</v>
      </c>
      <c r="S496">
        <v>299.95896643921998</v>
      </c>
      <c r="T496">
        <v>498.04032332000003</v>
      </c>
      <c r="U496">
        <v>0</v>
      </c>
      <c r="V496">
        <v>0</v>
      </c>
      <c r="W496">
        <v>0</v>
      </c>
      <c r="X496">
        <v>-149.412096996</v>
      </c>
      <c r="Y496">
        <v>0</v>
      </c>
      <c r="Z496" t="s">
        <v>52</v>
      </c>
    </row>
    <row r="497" spans="1:26">
      <c r="A497" t="s">
        <v>13</v>
      </c>
      <c r="B497">
        <v>2035</v>
      </c>
      <c r="C497" t="s">
        <v>587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96.137595429349702</v>
      </c>
      <c r="N497">
        <v>57.599999999999902</v>
      </c>
      <c r="O497">
        <v>0</v>
      </c>
      <c r="P497" s="1">
        <v>0</v>
      </c>
      <c r="Q497">
        <v>96.137595429349702</v>
      </c>
      <c r="R497">
        <v>0</v>
      </c>
      <c r="S497">
        <v>315.89941520694998</v>
      </c>
      <c r="T497">
        <v>588.624300909</v>
      </c>
      <c r="U497">
        <v>0</v>
      </c>
      <c r="V497">
        <v>0</v>
      </c>
      <c r="W497">
        <v>0</v>
      </c>
      <c r="X497">
        <v>-176.58729027269999</v>
      </c>
      <c r="Y497">
        <v>0</v>
      </c>
      <c r="Z497" t="s">
        <v>52</v>
      </c>
    </row>
    <row r="498" spans="1:26">
      <c r="A498" t="s">
        <v>13</v>
      </c>
      <c r="B498">
        <v>2035</v>
      </c>
      <c r="C498" t="s">
        <v>588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599.82831254894097</v>
      </c>
      <c r="M498" s="1">
        <v>92.903693347285397</v>
      </c>
      <c r="N498">
        <v>57.599999999999902</v>
      </c>
      <c r="O498" s="1">
        <v>9.76085289572198</v>
      </c>
      <c r="P498" s="1">
        <v>0</v>
      </c>
      <c r="Q498">
        <v>692.73200589622695</v>
      </c>
      <c r="R498">
        <v>0</v>
      </c>
      <c r="S498">
        <v>97.100584793049705</v>
      </c>
      <c r="T498">
        <v>907.09804865599995</v>
      </c>
      <c r="U498">
        <v>0</v>
      </c>
      <c r="V498">
        <v>0</v>
      </c>
      <c r="W498">
        <v>154.86395663007599</v>
      </c>
      <c r="X498">
        <v>-272.12941459679899</v>
      </c>
      <c r="Y498">
        <v>0</v>
      </c>
      <c r="Z498" t="s">
        <v>52</v>
      </c>
    </row>
    <row r="499" spans="1:26">
      <c r="A499" t="s">
        <v>13</v>
      </c>
      <c r="B499">
        <v>2035</v>
      </c>
      <c r="C499" t="s">
        <v>589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1848.7863367851201</v>
      </c>
      <c r="M499">
        <v>68.320069681553605</v>
      </c>
      <c r="N499">
        <v>57.599999999999902</v>
      </c>
      <c r="O499" s="1">
        <v>825.28552711459497</v>
      </c>
      <c r="P499" s="1">
        <v>0</v>
      </c>
      <c r="Q499">
        <v>1917.10640646668</v>
      </c>
      <c r="R499">
        <v>0</v>
      </c>
      <c r="S499">
        <v>0</v>
      </c>
      <c r="T499">
        <v>1100.16232894</v>
      </c>
      <c r="U499">
        <v>0</v>
      </c>
      <c r="V499">
        <v>0</v>
      </c>
      <c r="W499">
        <v>267.57366247506098</v>
      </c>
      <c r="X499">
        <v>549.37041505161903</v>
      </c>
      <c r="Y499">
        <v>0</v>
      </c>
      <c r="Z499" t="s">
        <v>52</v>
      </c>
    </row>
    <row r="500" spans="1:26">
      <c r="A500" t="s">
        <v>13</v>
      </c>
      <c r="B500">
        <v>2035</v>
      </c>
      <c r="C500" t="s">
        <v>590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2429.5712093676998</v>
      </c>
      <c r="M500">
        <v>47.416545105576603</v>
      </c>
      <c r="N500">
        <v>57.599999999999902</v>
      </c>
      <c r="O500" s="1">
        <v>825.765330046043</v>
      </c>
      <c r="P500" s="1">
        <v>0</v>
      </c>
      <c r="Q500">
        <v>2476.9877544732699</v>
      </c>
      <c r="R500">
        <v>0</v>
      </c>
      <c r="S500">
        <v>0</v>
      </c>
      <c r="T500">
        <v>1177.2450954799999</v>
      </c>
      <c r="U500">
        <v>0</v>
      </c>
      <c r="V500">
        <v>0</v>
      </c>
      <c r="W500">
        <v>299.35064935064901</v>
      </c>
      <c r="X500">
        <v>1000.39200964263</v>
      </c>
      <c r="Y500">
        <v>0</v>
      </c>
      <c r="Z500" t="s">
        <v>52</v>
      </c>
    </row>
    <row r="501" spans="1:26">
      <c r="A501" t="s">
        <v>13</v>
      </c>
      <c r="B501">
        <v>2035</v>
      </c>
      <c r="C501" t="s">
        <v>591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1966.4230096695701</v>
      </c>
      <c r="M501">
        <v>67.251698994756396</v>
      </c>
      <c r="N501">
        <v>57.599999999999902</v>
      </c>
      <c r="O501" s="1">
        <v>1436.62546354745</v>
      </c>
      <c r="P501" s="1">
        <v>7.6166640658208697</v>
      </c>
      <c r="Q501">
        <v>2033.67470866433</v>
      </c>
      <c r="R501">
        <v>0</v>
      </c>
      <c r="S501">
        <v>0</v>
      </c>
      <c r="T501">
        <v>1206.50003818</v>
      </c>
      <c r="U501">
        <v>0</v>
      </c>
      <c r="V501">
        <v>0</v>
      </c>
      <c r="W501">
        <v>350</v>
      </c>
      <c r="X501">
        <v>477.174670484334</v>
      </c>
      <c r="Y501">
        <v>0</v>
      </c>
      <c r="Z501" t="s">
        <v>52</v>
      </c>
    </row>
    <row r="502" spans="1:26">
      <c r="A502" t="s">
        <v>13</v>
      </c>
      <c r="B502">
        <v>2035</v>
      </c>
      <c r="C502" t="s">
        <v>592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1491.1086973602</v>
      </c>
      <c r="M502">
        <v>63.186849549910001</v>
      </c>
      <c r="N502">
        <v>57.599999999999902</v>
      </c>
      <c r="O502" s="1">
        <v>1916.67831843314</v>
      </c>
      <c r="P502" s="1">
        <v>6.7855238284444503</v>
      </c>
      <c r="Q502">
        <v>1554.29554691011</v>
      </c>
      <c r="R502">
        <v>0</v>
      </c>
      <c r="S502">
        <v>0</v>
      </c>
      <c r="T502">
        <v>1216.6698863399999</v>
      </c>
      <c r="U502">
        <v>0</v>
      </c>
      <c r="V502">
        <v>0</v>
      </c>
      <c r="W502">
        <v>350</v>
      </c>
      <c r="X502">
        <v>-12.3743394298843</v>
      </c>
      <c r="Y502">
        <v>0</v>
      </c>
      <c r="Z502" t="s">
        <v>52</v>
      </c>
    </row>
    <row r="503" spans="1:26">
      <c r="A503" t="s">
        <v>13</v>
      </c>
      <c r="B503">
        <v>2035</v>
      </c>
      <c r="C503" t="s">
        <v>593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1543.8105226785599</v>
      </c>
      <c r="M503">
        <v>39.871715908751</v>
      </c>
      <c r="N503">
        <v>57.599999999999902</v>
      </c>
      <c r="O503" s="1">
        <v>1638.69758549722</v>
      </c>
      <c r="P503" s="1">
        <v>15.422223839015899</v>
      </c>
      <c r="Q503">
        <v>1583.6822385873099</v>
      </c>
      <c r="R503">
        <v>0</v>
      </c>
      <c r="S503">
        <v>0</v>
      </c>
      <c r="T503">
        <v>1184.0698328200001</v>
      </c>
      <c r="U503">
        <v>0</v>
      </c>
      <c r="V503">
        <v>404.83335561331899</v>
      </c>
      <c r="W503">
        <v>350</v>
      </c>
      <c r="X503">
        <v>-355.220949846</v>
      </c>
      <c r="Y503">
        <v>0</v>
      </c>
      <c r="Z503" t="s">
        <v>52</v>
      </c>
    </row>
    <row r="504" spans="1:26">
      <c r="A504" t="s">
        <v>13</v>
      </c>
      <c r="B504">
        <v>2035</v>
      </c>
      <c r="C504" t="s">
        <v>594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1242.1978835183099</v>
      </c>
      <c r="M504">
        <v>33.442393590875298</v>
      </c>
      <c r="N504">
        <v>57.599999999999902</v>
      </c>
      <c r="O504" s="1">
        <v>1261.78655367994</v>
      </c>
      <c r="P504" s="1">
        <v>41.184929256754103</v>
      </c>
      <c r="Q504">
        <v>1275.64027710918</v>
      </c>
      <c r="R504">
        <v>0</v>
      </c>
      <c r="S504">
        <v>0</v>
      </c>
      <c r="T504">
        <v>1122.2148365999999</v>
      </c>
      <c r="U504">
        <v>0</v>
      </c>
      <c r="V504">
        <v>140.08989148918801</v>
      </c>
      <c r="W504">
        <v>350</v>
      </c>
      <c r="X504">
        <v>-336.664450979999</v>
      </c>
      <c r="Y504">
        <v>0</v>
      </c>
      <c r="Z504" t="s">
        <v>52</v>
      </c>
    </row>
    <row r="505" spans="1:26">
      <c r="A505" t="s">
        <v>13</v>
      </c>
      <c r="B505">
        <v>2035</v>
      </c>
      <c r="C505" t="s">
        <v>595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57.599999999999902</v>
      </c>
      <c r="L505">
        <v>0</v>
      </c>
      <c r="M505">
        <v>42.282845335298802</v>
      </c>
      <c r="N505">
        <v>0</v>
      </c>
      <c r="O505">
        <v>0</v>
      </c>
      <c r="P505" s="1">
        <v>0</v>
      </c>
      <c r="Q505">
        <v>99.882845335298796</v>
      </c>
      <c r="R505">
        <v>305.97421139570099</v>
      </c>
      <c r="S505">
        <v>350</v>
      </c>
      <c r="T505">
        <v>1079.7957953299999</v>
      </c>
      <c r="U505">
        <v>0</v>
      </c>
      <c r="V505">
        <v>0</v>
      </c>
      <c r="W505">
        <v>0</v>
      </c>
      <c r="X505">
        <v>-323.93873859899998</v>
      </c>
      <c r="Y505">
        <v>89.786756444444407</v>
      </c>
      <c r="Z505" t="s">
        <v>52</v>
      </c>
    </row>
    <row r="506" spans="1:26">
      <c r="A506" t="s">
        <v>13</v>
      </c>
      <c r="B506">
        <v>2035</v>
      </c>
      <c r="C506" t="s">
        <v>596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57.599999999999902</v>
      </c>
      <c r="L506">
        <v>0</v>
      </c>
      <c r="M506">
        <v>47.2304817072201</v>
      </c>
      <c r="N506">
        <v>0</v>
      </c>
      <c r="O506">
        <v>0</v>
      </c>
      <c r="P506" s="1">
        <v>0</v>
      </c>
      <c r="Q506">
        <v>104.83048170722</v>
      </c>
      <c r="R506">
        <v>102.718223931179</v>
      </c>
      <c r="S506">
        <v>350</v>
      </c>
      <c r="T506">
        <v>796.49815091200003</v>
      </c>
      <c r="U506">
        <v>0</v>
      </c>
      <c r="V506">
        <v>0</v>
      </c>
      <c r="W506">
        <v>0</v>
      </c>
      <c r="X506">
        <v>-238.94944527359999</v>
      </c>
      <c r="Y506">
        <v>89.786756444444407</v>
      </c>
      <c r="Z506" t="s">
        <v>52</v>
      </c>
    </row>
    <row r="507" spans="1:26">
      <c r="A507" t="s">
        <v>13</v>
      </c>
      <c r="B507">
        <v>2035</v>
      </c>
      <c r="C507" t="s">
        <v>597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92.0745309527736</v>
      </c>
      <c r="N507">
        <v>0</v>
      </c>
      <c r="O507">
        <v>0</v>
      </c>
      <c r="P507" s="1">
        <v>0</v>
      </c>
      <c r="Q507">
        <v>149.67453095277301</v>
      </c>
      <c r="R507">
        <v>0</v>
      </c>
      <c r="S507">
        <v>258.95412837212598</v>
      </c>
      <c r="T507">
        <v>583.75522760700005</v>
      </c>
      <c r="U507">
        <v>0</v>
      </c>
      <c r="V507">
        <v>0</v>
      </c>
      <c r="W507">
        <v>0</v>
      </c>
      <c r="X507">
        <v>-175.12656828210001</v>
      </c>
      <c r="Y507">
        <v>86.221398518414802</v>
      </c>
      <c r="Z507" t="s">
        <v>51</v>
      </c>
    </row>
    <row r="508" spans="1:26">
      <c r="A508" t="s">
        <v>13</v>
      </c>
      <c r="B508">
        <v>2035</v>
      </c>
      <c r="C508" t="s">
        <v>598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57.599999999999902</v>
      </c>
      <c r="L508">
        <v>0</v>
      </c>
      <c r="M508">
        <v>72.222098365631297</v>
      </c>
      <c r="N508">
        <v>0</v>
      </c>
      <c r="O508">
        <v>0</v>
      </c>
      <c r="P508" s="1">
        <v>0</v>
      </c>
      <c r="Q508">
        <v>129.82209836563101</v>
      </c>
      <c r="R508">
        <v>0</v>
      </c>
      <c r="S508">
        <v>218.49454381836799</v>
      </c>
      <c r="T508">
        <v>497.59520312000001</v>
      </c>
      <c r="U508">
        <v>0</v>
      </c>
      <c r="V508">
        <v>0</v>
      </c>
      <c r="W508">
        <v>0</v>
      </c>
      <c r="X508">
        <v>-149.27856093599999</v>
      </c>
      <c r="Y508">
        <v>86.221398518414802</v>
      </c>
      <c r="Z508" t="s">
        <v>51</v>
      </c>
    </row>
    <row r="509" spans="1:26">
      <c r="A509" t="s">
        <v>13</v>
      </c>
      <c r="B509">
        <v>2035</v>
      </c>
      <c r="C509" t="s">
        <v>599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50.871829916282998</v>
      </c>
      <c r="N509">
        <v>0</v>
      </c>
      <c r="O509">
        <v>0</v>
      </c>
      <c r="P509" s="1">
        <v>0</v>
      </c>
      <c r="Q509">
        <v>108.471829916283</v>
      </c>
      <c r="R509">
        <v>0</v>
      </c>
      <c r="S509">
        <v>255.319370327516</v>
      </c>
      <c r="T509">
        <v>519.70171463400004</v>
      </c>
      <c r="U509">
        <v>0</v>
      </c>
      <c r="V509">
        <v>0</v>
      </c>
      <c r="W509">
        <v>0</v>
      </c>
      <c r="X509">
        <v>-155.91051439020001</v>
      </c>
      <c r="Y509">
        <v>86.221398518414802</v>
      </c>
      <c r="Z509" t="s">
        <v>51</v>
      </c>
    </row>
    <row r="510" spans="1:26">
      <c r="A510" t="s">
        <v>13</v>
      </c>
      <c r="B510">
        <v>2035</v>
      </c>
      <c r="C510" t="s">
        <v>600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311.12000535143397</v>
      </c>
      <c r="M510">
        <v>37.113304529382297</v>
      </c>
      <c r="N510">
        <v>0</v>
      </c>
      <c r="O510" s="1">
        <v>-1.7763568394002501E-15</v>
      </c>
      <c r="P510" s="1">
        <v>0</v>
      </c>
      <c r="Q510">
        <v>405.83330988081599</v>
      </c>
      <c r="R510">
        <v>0</v>
      </c>
      <c r="S510">
        <v>65.949253665183306</v>
      </c>
      <c r="T510">
        <v>673.97509077999996</v>
      </c>
      <c r="U510">
        <v>0</v>
      </c>
      <c r="V510">
        <v>0</v>
      </c>
      <c r="W510">
        <v>0</v>
      </c>
      <c r="X510">
        <v>-202.19252723399899</v>
      </c>
      <c r="Y510">
        <v>86.221398518414802</v>
      </c>
      <c r="Z510" t="s">
        <v>51</v>
      </c>
    </row>
    <row r="511" spans="1:26">
      <c r="A511" t="s">
        <v>13</v>
      </c>
      <c r="B511">
        <v>2035</v>
      </c>
      <c r="C511" t="s">
        <v>601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2045.39245816536</v>
      </c>
      <c r="M511">
        <v>46.457592308635199</v>
      </c>
      <c r="N511">
        <v>57.599999999999902</v>
      </c>
      <c r="O511" s="1">
        <v>505.024366386</v>
      </c>
      <c r="P511" s="1">
        <v>0.67374166631046095</v>
      </c>
      <c r="Q511">
        <v>2091.85005047399</v>
      </c>
      <c r="R511">
        <v>0</v>
      </c>
      <c r="S511">
        <v>0</v>
      </c>
      <c r="T511">
        <v>954.66951882199999</v>
      </c>
      <c r="U511">
        <v>0</v>
      </c>
      <c r="V511">
        <v>0</v>
      </c>
      <c r="W511">
        <v>350</v>
      </c>
      <c r="X511">
        <v>787.18053165199694</v>
      </c>
      <c r="Y511">
        <v>0</v>
      </c>
      <c r="Z511" t="s">
        <v>51</v>
      </c>
    </row>
    <row r="512" spans="1:26">
      <c r="A512" t="s">
        <v>13</v>
      </c>
      <c r="B512">
        <v>2035</v>
      </c>
      <c r="C512" t="s">
        <v>602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1075.28314805896</v>
      </c>
      <c r="M512">
        <v>4.7610038340322403</v>
      </c>
      <c r="N512">
        <v>57.599999999999902</v>
      </c>
      <c r="O512" s="1">
        <v>2093.15114587888</v>
      </c>
      <c r="P512" s="1">
        <v>35.169598519899402</v>
      </c>
      <c r="Q512">
        <v>1080.0441518929999</v>
      </c>
      <c r="R512">
        <v>0</v>
      </c>
      <c r="S512">
        <v>0</v>
      </c>
      <c r="T512">
        <v>1042.92021699</v>
      </c>
      <c r="U512">
        <v>0</v>
      </c>
      <c r="V512">
        <v>0</v>
      </c>
      <c r="W512">
        <v>350</v>
      </c>
      <c r="X512">
        <v>-312.87606509699998</v>
      </c>
      <c r="Y512">
        <v>0</v>
      </c>
      <c r="Z512" t="s">
        <v>51</v>
      </c>
    </row>
    <row r="513" spans="1:26">
      <c r="A513" t="s">
        <v>13</v>
      </c>
      <c r="B513">
        <v>2035</v>
      </c>
      <c r="C513" t="s">
        <v>603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1076.89926874453</v>
      </c>
      <c r="M513" s="1">
        <v>3.3431168134619398</v>
      </c>
      <c r="N513">
        <v>57.599999999999902</v>
      </c>
      <c r="O513" s="1">
        <v>2190.8154177729298</v>
      </c>
      <c r="P513" s="1">
        <v>37.214261170471602</v>
      </c>
      <c r="Q513">
        <v>1080.242385558</v>
      </c>
      <c r="R513">
        <v>0</v>
      </c>
      <c r="S513">
        <v>0</v>
      </c>
      <c r="T513">
        <v>1043.20340794</v>
      </c>
      <c r="U513">
        <v>0</v>
      </c>
      <c r="V513">
        <v>0</v>
      </c>
      <c r="W513">
        <v>350</v>
      </c>
      <c r="X513">
        <v>-312.96102238200001</v>
      </c>
      <c r="Y513">
        <v>0</v>
      </c>
      <c r="Z513" t="s">
        <v>51</v>
      </c>
    </row>
    <row r="514" spans="1:26">
      <c r="A514" t="s">
        <v>13</v>
      </c>
      <c r="B514">
        <v>2035</v>
      </c>
      <c r="C514" t="s">
        <v>604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2640.9939533779502</v>
      </c>
      <c r="M514" s="1">
        <v>41.410414711919302</v>
      </c>
      <c r="N514">
        <v>57.599999999999902</v>
      </c>
      <c r="O514" s="1">
        <v>494.475521947998</v>
      </c>
      <c r="P514" s="1">
        <v>0</v>
      </c>
      <c r="Q514">
        <v>2682.4043680898699</v>
      </c>
      <c r="R514">
        <v>0</v>
      </c>
      <c r="S514">
        <v>0</v>
      </c>
      <c r="T514">
        <v>1026.0739774399999</v>
      </c>
      <c r="U514">
        <v>0</v>
      </c>
      <c r="V514">
        <v>0</v>
      </c>
      <c r="W514">
        <v>350</v>
      </c>
      <c r="X514">
        <v>1306.33039064988</v>
      </c>
      <c r="Y514">
        <v>0</v>
      </c>
      <c r="Z514" t="s">
        <v>51</v>
      </c>
    </row>
    <row r="515" spans="1:26">
      <c r="A515" t="s">
        <v>13</v>
      </c>
      <c r="B515">
        <v>2035</v>
      </c>
      <c r="C515" t="s">
        <v>605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1721.1035823402699</v>
      </c>
      <c r="M515" s="1">
        <v>25.842551466331798</v>
      </c>
      <c r="N515">
        <v>57.599999999999902</v>
      </c>
      <c r="O515" s="1">
        <v>1191.0765823051099</v>
      </c>
      <c r="P515" s="1">
        <v>9.4891262971827999</v>
      </c>
      <c r="Q515">
        <v>1746.9461338066101</v>
      </c>
      <c r="R515">
        <v>0</v>
      </c>
      <c r="S515">
        <v>0</v>
      </c>
      <c r="T515">
        <v>1040.6406944600001</v>
      </c>
      <c r="U515">
        <v>0</v>
      </c>
      <c r="V515">
        <v>299.287407163289</v>
      </c>
      <c r="W515">
        <v>350</v>
      </c>
      <c r="X515">
        <v>57.018032183322703</v>
      </c>
      <c r="Y515">
        <v>0</v>
      </c>
      <c r="Z515" t="s">
        <v>51</v>
      </c>
    </row>
    <row r="516" spans="1:26">
      <c r="A516" t="s">
        <v>13</v>
      </c>
      <c r="B516">
        <v>2035</v>
      </c>
      <c r="C516" t="s">
        <v>606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598.17035046559101</v>
      </c>
      <c r="M516">
        <v>92.212842074467005</v>
      </c>
      <c r="N516">
        <v>0</v>
      </c>
      <c r="O516" s="1">
        <v>0</v>
      </c>
      <c r="P516" s="1">
        <v>0</v>
      </c>
      <c r="Q516">
        <v>747.98319254005798</v>
      </c>
      <c r="R516">
        <v>0</v>
      </c>
      <c r="S516">
        <v>0</v>
      </c>
      <c r="T516">
        <v>1010.6303563500001</v>
      </c>
      <c r="U516">
        <v>0</v>
      </c>
      <c r="V516">
        <v>0</v>
      </c>
      <c r="W516">
        <v>40.541943095058798</v>
      </c>
      <c r="X516">
        <v>-303.18910690500002</v>
      </c>
      <c r="Y516">
        <v>66.390476859179401</v>
      </c>
      <c r="Z516" t="s">
        <v>51</v>
      </c>
    </row>
    <row r="517" spans="1:26">
      <c r="A517" t="s">
        <v>13</v>
      </c>
      <c r="B517">
        <v>2035</v>
      </c>
      <c r="C517" t="s">
        <v>607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57.599999999999902</v>
      </c>
      <c r="L517">
        <v>0</v>
      </c>
      <c r="M517">
        <v>110.60985732226101</v>
      </c>
      <c r="N517">
        <v>0</v>
      </c>
      <c r="O517">
        <v>0</v>
      </c>
      <c r="P517" s="1">
        <v>0</v>
      </c>
      <c r="Q517">
        <v>168.209857322261</v>
      </c>
      <c r="R517">
        <v>179.261275905838</v>
      </c>
      <c r="S517">
        <v>350</v>
      </c>
      <c r="T517">
        <v>996.38733318300001</v>
      </c>
      <c r="U517">
        <v>0</v>
      </c>
      <c r="V517">
        <v>0</v>
      </c>
      <c r="W517">
        <v>0</v>
      </c>
      <c r="X517">
        <v>-298.91619995489998</v>
      </c>
      <c r="Y517">
        <v>89.786756444444407</v>
      </c>
      <c r="Z517" t="s">
        <v>51</v>
      </c>
    </row>
    <row r="518" spans="1:26">
      <c r="A518" t="s">
        <v>13</v>
      </c>
      <c r="B518">
        <v>2035</v>
      </c>
      <c r="C518" t="s">
        <v>608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57.599999999999902</v>
      </c>
      <c r="L518">
        <v>0</v>
      </c>
      <c r="M518">
        <v>107.378628909371</v>
      </c>
      <c r="N518">
        <v>0</v>
      </c>
      <c r="O518" s="1">
        <v>0</v>
      </c>
      <c r="P518" s="1">
        <v>0</v>
      </c>
      <c r="Q518">
        <v>164.978628909371</v>
      </c>
      <c r="R518">
        <v>45.204279466628499</v>
      </c>
      <c r="S518">
        <v>350</v>
      </c>
      <c r="T518">
        <v>800.26129767999998</v>
      </c>
      <c r="U518">
        <v>0</v>
      </c>
      <c r="V518">
        <v>0</v>
      </c>
      <c r="W518">
        <v>0</v>
      </c>
      <c r="X518">
        <v>-240.07838930399899</v>
      </c>
      <c r="Y518">
        <v>89.786756444444407</v>
      </c>
      <c r="Z518" t="s">
        <v>51</v>
      </c>
    </row>
    <row r="519" spans="1:26">
      <c r="A519" t="s">
        <v>13</v>
      </c>
      <c r="B519">
        <v>2035</v>
      </c>
      <c r="C519" t="s">
        <v>609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57.599999999999902</v>
      </c>
      <c r="L519">
        <v>0</v>
      </c>
      <c r="M519">
        <v>26.895580546584501</v>
      </c>
      <c r="N519">
        <v>0</v>
      </c>
      <c r="O519">
        <v>0</v>
      </c>
      <c r="P519" s="1">
        <v>0</v>
      </c>
      <c r="Q519">
        <v>84.495580546584506</v>
      </c>
      <c r="R519">
        <v>107.94575449608701</v>
      </c>
      <c r="S519">
        <v>229.97182507242701</v>
      </c>
      <c r="T519">
        <v>603.44737159299996</v>
      </c>
      <c r="U519">
        <v>0</v>
      </c>
      <c r="V519">
        <v>0</v>
      </c>
      <c r="W519">
        <v>0</v>
      </c>
      <c r="X519">
        <v>-181.03421147789999</v>
      </c>
      <c r="Y519">
        <v>89.786756444444407</v>
      </c>
      <c r="Z519" t="s">
        <v>52</v>
      </c>
    </row>
    <row r="520" spans="1:26">
      <c r="A520" t="s">
        <v>13</v>
      </c>
      <c r="B520">
        <v>2035</v>
      </c>
      <c r="C520" t="s">
        <v>610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57.599999999999902</v>
      </c>
      <c r="L520">
        <v>0</v>
      </c>
      <c r="M520">
        <v>42.0148617484273</v>
      </c>
      <c r="N520">
        <v>0</v>
      </c>
      <c r="O520">
        <v>0</v>
      </c>
      <c r="P520" s="1">
        <v>0</v>
      </c>
      <c r="Q520">
        <v>99.614861748427302</v>
      </c>
      <c r="R520">
        <v>0</v>
      </c>
      <c r="S520">
        <v>271.64450379647201</v>
      </c>
      <c r="T520">
        <v>530.37052220700002</v>
      </c>
      <c r="U520">
        <v>0</v>
      </c>
      <c r="V520">
        <v>0</v>
      </c>
      <c r="W520">
        <v>0</v>
      </c>
      <c r="X520">
        <v>-159.1111566621</v>
      </c>
      <c r="Y520">
        <v>89.786756444444407</v>
      </c>
      <c r="Z520" t="s">
        <v>52</v>
      </c>
    </row>
    <row r="521" spans="1:26">
      <c r="A521" t="s">
        <v>13</v>
      </c>
      <c r="B521">
        <v>2035</v>
      </c>
      <c r="C521" t="s">
        <v>611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57.599999999999902</v>
      </c>
      <c r="L521">
        <v>0</v>
      </c>
      <c r="M521">
        <v>50.882234744127899</v>
      </c>
      <c r="N521">
        <v>0</v>
      </c>
      <c r="O521">
        <v>0</v>
      </c>
      <c r="P521" s="1">
        <v>0</v>
      </c>
      <c r="Q521">
        <v>108.482234744127</v>
      </c>
      <c r="R521">
        <v>0</v>
      </c>
      <c r="S521">
        <v>317.52817492757202</v>
      </c>
      <c r="T521">
        <v>608.58629953100001</v>
      </c>
      <c r="U521">
        <v>0</v>
      </c>
      <c r="V521">
        <v>0</v>
      </c>
      <c r="W521">
        <v>0</v>
      </c>
      <c r="X521">
        <v>-182.57588985929999</v>
      </c>
      <c r="Y521">
        <v>89.786756444444407</v>
      </c>
      <c r="Z521" t="s">
        <v>52</v>
      </c>
    </row>
    <row r="522" spans="1:26">
      <c r="A522" t="s">
        <v>13</v>
      </c>
      <c r="B522">
        <v>2035</v>
      </c>
      <c r="C522" t="s">
        <v>612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57.599999999999902</v>
      </c>
      <c r="L522">
        <v>124.535238625635</v>
      </c>
      <c r="M522">
        <v>43.502218785021299</v>
      </c>
      <c r="N522">
        <v>0</v>
      </c>
      <c r="O522" s="1">
        <v>4.4408920985006202E-16</v>
      </c>
      <c r="P522" s="1">
        <v>0</v>
      </c>
      <c r="Q522">
        <v>225.63745741065699</v>
      </c>
      <c r="R522">
        <v>96.171478370744495</v>
      </c>
      <c r="S522">
        <v>322.57285856439802</v>
      </c>
      <c r="T522">
        <v>920.54542049400004</v>
      </c>
      <c r="U522">
        <v>0</v>
      </c>
      <c r="V522">
        <v>0</v>
      </c>
      <c r="W522">
        <v>0</v>
      </c>
      <c r="X522">
        <v>-276.16362614820002</v>
      </c>
      <c r="Y522">
        <v>89.786756444444407</v>
      </c>
      <c r="Z522" t="s">
        <v>52</v>
      </c>
    </row>
    <row r="523" spans="1:26">
      <c r="A523" t="s">
        <v>13</v>
      </c>
      <c r="B523">
        <v>2035</v>
      </c>
      <c r="C523" t="s">
        <v>613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2194.8687695840499</v>
      </c>
      <c r="M523">
        <v>25.992231002345001</v>
      </c>
      <c r="N523">
        <v>57.599999999999902</v>
      </c>
      <c r="O523" s="1">
        <v>169.44458559801001</v>
      </c>
      <c r="P523" s="1">
        <v>0</v>
      </c>
      <c r="Q523">
        <v>2220.8610005864002</v>
      </c>
      <c r="R523">
        <v>0</v>
      </c>
      <c r="S523">
        <v>0</v>
      </c>
      <c r="T523">
        <v>1105.9891474599999</v>
      </c>
      <c r="U523">
        <v>0</v>
      </c>
      <c r="V523">
        <v>241.53181381323799</v>
      </c>
      <c r="W523">
        <v>350</v>
      </c>
      <c r="X523">
        <v>523.34003931316101</v>
      </c>
      <c r="Y523">
        <v>0</v>
      </c>
      <c r="Z523" t="s">
        <v>52</v>
      </c>
    </row>
    <row r="524" spans="1:26">
      <c r="A524" t="s">
        <v>13</v>
      </c>
      <c r="B524">
        <v>2035</v>
      </c>
      <c r="C524" t="s">
        <v>614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2038.8140161932399</v>
      </c>
      <c r="M524">
        <v>20.8350965914223</v>
      </c>
      <c r="N524">
        <v>57.599999999999902</v>
      </c>
      <c r="O524" s="1">
        <v>1047.6320387734399</v>
      </c>
      <c r="P524" s="1">
        <v>8.4565983435149796</v>
      </c>
      <c r="Q524">
        <v>2059.6491127846698</v>
      </c>
      <c r="R524">
        <v>0</v>
      </c>
      <c r="S524">
        <v>0</v>
      </c>
      <c r="T524">
        <v>1202.2380143299999</v>
      </c>
      <c r="U524">
        <v>0</v>
      </c>
      <c r="V524">
        <v>404.83335561331899</v>
      </c>
      <c r="W524">
        <v>350</v>
      </c>
      <c r="X524">
        <v>102.57774284135</v>
      </c>
      <c r="Y524">
        <v>0</v>
      </c>
      <c r="Z524" t="s">
        <v>52</v>
      </c>
    </row>
    <row r="525" spans="1:26">
      <c r="A525" t="s">
        <v>13</v>
      </c>
      <c r="B525">
        <v>2035</v>
      </c>
      <c r="C525" t="s">
        <v>615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1587.58719168021</v>
      </c>
      <c r="M525" s="1">
        <v>29.621661714104199</v>
      </c>
      <c r="N525">
        <v>57.599999999999902</v>
      </c>
      <c r="O525" s="1">
        <v>1582.8069913254401</v>
      </c>
      <c r="P525" s="1">
        <v>9.4293688444282697</v>
      </c>
      <c r="Q525">
        <v>1617.2088533943199</v>
      </c>
      <c r="R525">
        <v>0</v>
      </c>
      <c r="S525">
        <v>0</v>
      </c>
      <c r="T525">
        <v>1231.96499683</v>
      </c>
      <c r="U525">
        <v>0</v>
      </c>
      <c r="V525">
        <v>404.83335561331899</v>
      </c>
      <c r="W525">
        <v>350</v>
      </c>
      <c r="X525">
        <v>-369.58949904899998</v>
      </c>
      <c r="Y525">
        <v>0</v>
      </c>
      <c r="Z525" t="s">
        <v>52</v>
      </c>
    </row>
    <row r="526" spans="1:26">
      <c r="A526" t="s">
        <v>13</v>
      </c>
      <c r="B526">
        <v>2035</v>
      </c>
      <c r="C526" t="s">
        <v>616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3033.9301776827001</v>
      </c>
      <c r="M526">
        <v>44.868727529510601</v>
      </c>
      <c r="N526">
        <v>57.599999999999902</v>
      </c>
      <c r="O526" s="1">
        <v>134.44807836128001</v>
      </c>
      <c r="P526" s="1">
        <v>0</v>
      </c>
      <c r="Q526">
        <v>3078.7989052122098</v>
      </c>
      <c r="R526">
        <v>0</v>
      </c>
      <c r="S526">
        <v>0</v>
      </c>
      <c r="T526">
        <v>1242</v>
      </c>
      <c r="U526">
        <v>0</v>
      </c>
      <c r="V526">
        <v>404.83335561331899</v>
      </c>
      <c r="W526">
        <v>350</v>
      </c>
      <c r="X526">
        <v>1081.96554959889</v>
      </c>
      <c r="Y526">
        <v>0</v>
      </c>
      <c r="Z526" t="s">
        <v>52</v>
      </c>
    </row>
    <row r="527" spans="1:26">
      <c r="A527" t="s">
        <v>13</v>
      </c>
      <c r="B527">
        <v>2035</v>
      </c>
      <c r="C527" t="s">
        <v>617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2313.3457107673298</v>
      </c>
      <c r="M527" s="1">
        <v>28.758290422770301</v>
      </c>
      <c r="N527">
        <v>57.599999999999902</v>
      </c>
      <c r="O527" s="1">
        <v>645.98951148047001</v>
      </c>
      <c r="P527" s="1">
        <v>19.321606352107001</v>
      </c>
      <c r="Q527">
        <v>2342.1040011901</v>
      </c>
      <c r="R527">
        <v>0</v>
      </c>
      <c r="S527">
        <v>0</v>
      </c>
      <c r="T527">
        <v>1195.8851521399999</v>
      </c>
      <c r="U527">
        <v>0</v>
      </c>
      <c r="V527">
        <v>404.83335561331899</v>
      </c>
      <c r="W527">
        <v>350</v>
      </c>
      <c r="X527">
        <v>391.38549343679</v>
      </c>
      <c r="Y527">
        <v>0</v>
      </c>
      <c r="Z527" t="s">
        <v>52</v>
      </c>
    </row>
    <row r="528" spans="1:26">
      <c r="A528" t="s">
        <v>13</v>
      </c>
      <c r="B528">
        <v>2035</v>
      </c>
      <c r="C528" t="s">
        <v>618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57.599999999999902</v>
      </c>
      <c r="L528">
        <v>273.13919741952998</v>
      </c>
      <c r="M528">
        <v>84.229130883208001</v>
      </c>
      <c r="N528">
        <v>0</v>
      </c>
      <c r="O528" s="1">
        <v>0</v>
      </c>
      <c r="P528">
        <v>0</v>
      </c>
      <c r="Q528">
        <v>414.96832830273797</v>
      </c>
      <c r="R528">
        <v>404.83335561331899</v>
      </c>
      <c r="S528">
        <v>11.5964609759426</v>
      </c>
      <c r="T528">
        <v>1187.7116355600001</v>
      </c>
      <c r="U528">
        <v>0</v>
      </c>
      <c r="V528">
        <v>0</v>
      </c>
      <c r="W528">
        <v>0</v>
      </c>
      <c r="X528">
        <v>-356.31349066799999</v>
      </c>
      <c r="Y528">
        <v>89.786756444444407</v>
      </c>
      <c r="Z528" t="s">
        <v>52</v>
      </c>
    </row>
    <row r="529" spans="1:26">
      <c r="A529" t="s">
        <v>13</v>
      </c>
      <c r="B529">
        <v>2035</v>
      </c>
      <c r="C529" t="s">
        <v>619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57.599999999999902</v>
      </c>
      <c r="L529">
        <v>0</v>
      </c>
      <c r="M529">
        <v>71.618364345551697</v>
      </c>
      <c r="N529">
        <v>0</v>
      </c>
      <c r="O529" s="1">
        <v>0</v>
      </c>
      <c r="P529" s="1">
        <v>0</v>
      </c>
      <c r="Q529">
        <v>129.21836434555101</v>
      </c>
      <c r="R529">
        <v>404.83335561331899</v>
      </c>
      <c r="S529">
        <v>240.78263763912801</v>
      </c>
      <c r="T529">
        <v>1106.9062251400001</v>
      </c>
      <c r="U529">
        <v>0</v>
      </c>
      <c r="V529">
        <v>0</v>
      </c>
      <c r="W529">
        <v>0</v>
      </c>
      <c r="X529">
        <v>-332.07186754200001</v>
      </c>
      <c r="Y529">
        <v>89.786756444444407</v>
      </c>
      <c r="Z529" t="s">
        <v>52</v>
      </c>
    </row>
    <row r="530" spans="1:26">
      <c r="A530" t="s">
        <v>13</v>
      </c>
      <c r="B530">
        <v>2035</v>
      </c>
      <c r="C530" t="s">
        <v>620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57.599999999999902</v>
      </c>
      <c r="L530">
        <v>0</v>
      </c>
      <c r="M530">
        <v>52.7526733648264</v>
      </c>
      <c r="N530">
        <v>0</v>
      </c>
      <c r="O530">
        <v>0</v>
      </c>
      <c r="P530" s="1">
        <v>0</v>
      </c>
      <c r="Q530">
        <v>110.352673364826</v>
      </c>
      <c r="R530">
        <v>381.86498310641599</v>
      </c>
      <c r="S530">
        <v>73.403539024057295</v>
      </c>
      <c r="T530">
        <v>808.03027927899996</v>
      </c>
      <c r="U530">
        <v>0</v>
      </c>
      <c r="V530">
        <v>0</v>
      </c>
      <c r="W530">
        <v>0</v>
      </c>
      <c r="X530">
        <v>-242.409083783699</v>
      </c>
      <c r="Y530">
        <v>89.786756444444407</v>
      </c>
      <c r="Z530" t="s">
        <v>52</v>
      </c>
    </row>
    <row r="531" spans="1:26">
      <c r="A531" t="s">
        <v>13</v>
      </c>
      <c r="B531">
        <v>2035</v>
      </c>
      <c r="C531" t="s">
        <v>621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57.599999999999902</v>
      </c>
      <c r="L531">
        <v>0</v>
      </c>
      <c r="M531">
        <v>57.588297790974202</v>
      </c>
      <c r="N531">
        <v>0</v>
      </c>
      <c r="O531">
        <v>0</v>
      </c>
      <c r="P531" s="1">
        <v>0</v>
      </c>
      <c r="Q531">
        <v>115.188297790974</v>
      </c>
      <c r="R531">
        <v>0</v>
      </c>
      <c r="S531">
        <v>281.91232461772501</v>
      </c>
      <c r="T531">
        <v>567.28660344100001</v>
      </c>
      <c r="U531">
        <v>0</v>
      </c>
      <c r="V531">
        <v>0</v>
      </c>
      <c r="W531">
        <v>0</v>
      </c>
      <c r="X531">
        <v>-170.18598103229999</v>
      </c>
      <c r="Y531">
        <v>89.786756444444407</v>
      </c>
      <c r="Z531" t="s">
        <v>51</v>
      </c>
    </row>
    <row r="532" spans="1:26">
      <c r="A532" t="s">
        <v>13</v>
      </c>
      <c r="B532">
        <v>2035</v>
      </c>
      <c r="C532" t="s">
        <v>622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57.599999999999902</v>
      </c>
      <c r="L532">
        <v>0</v>
      </c>
      <c r="M532">
        <v>45.7633665374617</v>
      </c>
      <c r="N532">
        <v>0</v>
      </c>
      <c r="O532" s="1">
        <v>0</v>
      </c>
      <c r="P532" s="1">
        <v>0</v>
      </c>
      <c r="Q532">
        <v>103.363366537461</v>
      </c>
      <c r="R532">
        <v>0</v>
      </c>
      <c r="S532">
        <v>240.80846320973799</v>
      </c>
      <c r="T532">
        <v>491.67404249600003</v>
      </c>
      <c r="U532">
        <v>0</v>
      </c>
      <c r="V532">
        <v>0</v>
      </c>
      <c r="W532">
        <v>0</v>
      </c>
      <c r="X532">
        <v>-147.50221274879999</v>
      </c>
      <c r="Y532">
        <v>89.786756444444407</v>
      </c>
      <c r="Z532" t="s">
        <v>51</v>
      </c>
    </row>
    <row r="533" spans="1:26">
      <c r="A533" t="s">
        <v>13</v>
      </c>
      <c r="B533">
        <v>2035</v>
      </c>
      <c r="C533" t="s">
        <v>623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57.599999999999902</v>
      </c>
      <c r="L533">
        <v>0</v>
      </c>
      <c r="M533">
        <v>29.4050198081923</v>
      </c>
      <c r="N533">
        <v>0</v>
      </c>
      <c r="O533">
        <v>0</v>
      </c>
      <c r="P533" s="1">
        <v>0</v>
      </c>
      <c r="Q533">
        <v>87.005019808192401</v>
      </c>
      <c r="R533">
        <v>78.225633599735403</v>
      </c>
      <c r="S533">
        <v>187.94836098937199</v>
      </c>
      <c r="T533">
        <v>504.54144913900001</v>
      </c>
      <c r="U533">
        <v>0</v>
      </c>
      <c r="V533">
        <v>0</v>
      </c>
      <c r="W533">
        <v>0</v>
      </c>
      <c r="X533">
        <v>-151.36243474169899</v>
      </c>
      <c r="Y533">
        <v>89.786756444444407</v>
      </c>
      <c r="Z533" t="s">
        <v>51</v>
      </c>
    </row>
    <row r="534" spans="1:26">
      <c r="A534" t="s">
        <v>13</v>
      </c>
      <c r="B534">
        <v>2035</v>
      </c>
      <c r="C534" t="s">
        <v>624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57.599999999999902</v>
      </c>
      <c r="L534">
        <v>5.0441510045479996</v>
      </c>
      <c r="M534" s="1">
        <v>21.120287820324201</v>
      </c>
      <c r="N534">
        <v>0</v>
      </c>
      <c r="O534" s="1">
        <v>0</v>
      </c>
      <c r="P534" s="1">
        <v>0</v>
      </c>
      <c r="Q534">
        <v>83.764438824872201</v>
      </c>
      <c r="R534">
        <v>0</v>
      </c>
      <c r="S534">
        <v>347.05163901062701</v>
      </c>
      <c r="T534">
        <v>615.45153976500001</v>
      </c>
      <c r="U534">
        <v>0</v>
      </c>
      <c r="V534">
        <v>0</v>
      </c>
      <c r="W534">
        <v>0</v>
      </c>
      <c r="X534">
        <v>-184.6354619295</v>
      </c>
      <c r="Y534">
        <v>89.786756444444407</v>
      </c>
      <c r="Z534" t="s">
        <v>51</v>
      </c>
    </row>
    <row r="535" spans="1:26">
      <c r="A535" t="s">
        <v>13</v>
      </c>
      <c r="B535">
        <v>2035</v>
      </c>
      <c r="C535" t="s">
        <v>625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1555.35179313861</v>
      </c>
      <c r="M535">
        <v>6.0078071571805003</v>
      </c>
      <c r="N535">
        <v>57.599999999999902</v>
      </c>
      <c r="O535" s="1">
        <v>263.941322259635</v>
      </c>
      <c r="P535" s="1">
        <v>11.032529141655299</v>
      </c>
      <c r="Q535">
        <v>1561.35960029579</v>
      </c>
      <c r="R535">
        <v>0</v>
      </c>
      <c r="S535">
        <v>0</v>
      </c>
      <c r="T535">
        <v>855.37239770099995</v>
      </c>
      <c r="U535">
        <v>0</v>
      </c>
      <c r="V535">
        <v>0</v>
      </c>
      <c r="W535">
        <v>350</v>
      </c>
      <c r="X535">
        <v>355.98720259479097</v>
      </c>
      <c r="Y535">
        <v>0</v>
      </c>
      <c r="Z535" t="s">
        <v>51</v>
      </c>
    </row>
    <row r="536" spans="1:26">
      <c r="A536" t="s">
        <v>13</v>
      </c>
      <c r="B536">
        <v>2035</v>
      </c>
      <c r="C536" t="s">
        <v>626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2122.2447063109998</v>
      </c>
      <c r="M536">
        <v>18.629579342983899</v>
      </c>
      <c r="N536">
        <v>57.599999999999902</v>
      </c>
      <c r="O536" s="1">
        <v>362.49577095370699</v>
      </c>
      <c r="P536" s="1">
        <v>0</v>
      </c>
      <c r="Q536">
        <v>2140.8742856539802</v>
      </c>
      <c r="R536">
        <v>0</v>
      </c>
      <c r="S536">
        <v>0</v>
      </c>
      <c r="T536">
        <v>965.97229544499999</v>
      </c>
      <c r="U536">
        <v>0</v>
      </c>
      <c r="V536">
        <v>186.83862659642199</v>
      </c>
      <c r="W536">
        <v>350</v>
      </c>
      <c r="X536">
        <v>638.06336361256604</v>
      </c>
      <c r="Y536">
        <v>0</v>
      </c>
      <c r="Z536" t="s">
        <v>51</v>
      </c>
    </row>
    <row r="537" spans="1:26">
      <c r="A537" t="s">
        <v>13</v>
      </c>
      <c r="B537">
        <v>2035</v>
      </c>
      <c r="C537" t="s">
        <v>627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1738.4370238563199</v>
      </c>
      <c r="M537">
        <v>42.933507841927302</v>
      </c>
      <c r="N537">
        <v>57.599999999999902</v>
      </c>
      <c r="O537" s="1">
        <v>678.81138177929097</v>
      </c>
      <c r="P537" s="1">
        <v>0</v>
      </c>
      <c r="Q537">
        <v>1781.37053169824</v>
      </c>
      <c r="R537">
        <v>0</v>
      </c>
      <c r="S537">
        <v>0</v>
      </c>
      <c r="T537">
        <v>980.21548325799995</v>
      </c>
      <c r="U537">
        <v>0</v>
      </c>
      <c r="V537">
        <v>404.83335561331899</v>
      </c>
      <c r="W537">
        <v>350</v>
      </c>
      <c r="X537">
        <v>46.321692826926999</v>
      </c>
      <c r="Y537">
        <v>0</v>
      </c>
      <c r="Z537" t="s">
        <v>51</v>
      </c>
    </row>
    <row r="538" spans="1:26">
      <c r="A538" t="s">
        <v>13</v>
      </c>
      <c r="B538">
        <v>2035</v>
      </c>
      <c r="C538" t="s">
        <v>628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2407.7458026675399</v>
      </c>
      <c r="M538">
        <v>53.220589452010202</v>
      </c>
      <c r="N538">
        <v>57.599999999999902</v>
      </c>
      <c r="O538" s="1">
        <v>448.00045970231099</v>
      </c>
      <c r="P538">
        <v>11.4823064796867</v>
      </c>
      <c r="Q538">
        <v>2460.9663921195502</v>
      </c>
      <c r="R538">
        <v>0</v>
      </c>
      <c r="S538">
        <v>0</v>
      </c>
      <c r="T538">
        <v>968.10330737300001</v>
      </c>
      <c r="U538">
        <v>0</v>
      </c>
      <c r="V538">
        <v>404.83335561331899</v>
      </c>
      <c r="W538">
        <v>350</v>
      </c>
      <c r="X538">
        <v>738.02972913323299</v>
      </c>
      <c r="Y538">
        <v>0</v>
      </c>
      <c r="Z538" t="s">
        <v>51</v>
      </c>
    </row>
    <row r="539" spans="1:26">
      <c r="A539" t="s">
        <v>13</v>
      </c>
      <c r="B539">
        <v>2035</v>
      </c>
      <c r="C539" t="s">
        <v>629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1412.5465503463299</v>
      </c>
      <c r="M539">
        <v>63.162248878167397</v>
      </c>
      <c r="N539">
        <v>57.599999999999902</v>
      </c>
      <c r="O539" s="1">
        <v>1463.9926676141199</v>
      </c>
      <c r="P539" s="1">
        <v>17.043552207707801</v>
      </c>
      <c r="Q539">
        <v>1475.7087992244999</v>
      </c>
      <c r="R539">
        <v>0</v>
      </c>
      <c r="S539">
        <v>0</v>
      </c>
      <c r="T539">
        <v>994.76869930700002</v>
      </c>
      <c r="U539">
        <v>0</v>
      </c>
      <c r="V539">
        <v>404.83335561331899</v>
      </c>
      <c r="W539">
        <v>350</v>
      </c>
      <c r="X539">
        <v>-273.893255695817</v>
      </c>
      <c r="Y539">
        <v>0</v>
      </c>
      <c r="Z539" t="s">
        <v>51</v>
      </c>
    </row>
    <row r="540" spans="1:26">
      <c r="A540" t="s">
        <v>13</v>
      </c>
      <c r="B540">
        <v>2035</v>
      </c>
      <c r="C540" t="s">
        <v>630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57.599999999999902</v>
      </c>
      <c r="L540">
        <v>45.815870725187203</v>
      </c>
      <c r="M540">
        <v>102.671649644932</v>
      </c>
      <c r="N540">
        <v>0</v>
      </c>
      <c r="O540" s="1">
        <v>0</v>
      </c>
      <c r="P540" s="1">
        <v>0</v>
      </c>
      <c r="Q540">
        <v>206.08752037011899</v>
      </c>
      <c r="R540">
        <v>404.83335561331899</v>
      </c>
      <c r="S540">
        <v>169.99383836556001</v>
      </c>
      <c r="T540">
        <v>1115.5924490699999</v>
      </c>
      <c r="U540">
        <v>0</v>
      </c>
      <c r="V540">
        <v>0</v>
      </c>
      <c r="W540">
        <v>0</v>
      </c>
      <c r="X540">
        <v>-334.67773472099998</v>
      </c>
      <c r="Y540">
        <v>89.786756444444407</v>
      </c>
      <c r="Z540" t="s">
        <v>51</v>
      </c>
    </row>
    <row r="541" spans="1:26">
      <c r="A541" t="s">
        <v>13</v>
      </c>
      <c r="B541">
        <v>2035</v>
      </c>
      <c r="C541" t="s">
        <v>631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57.599999999999902</v>
      </c>
      <c r="L541">
        <v>0</v>
      </c>
      <c r="M541">
        <v>145.74538796341599</v>
      </c>
      <c r="N541">
        <v>0</v>
      </c>
      <c r="O541" s="1">
        <v>0</v>
      </c>
      <c r="P541" s="1">
        <v>0</v>
      </c>
      <c r="Q541">
        <v>203.34538796341599</v>
      </c>
      <c r="R541">
        <v>394.049162799908</v>
      </c>
      <c r="S541">
        <v>89.785373806975102</v>
      </c>
      <c r="T541">
        <v>981.68560652899998</v>
      </c>
      <c r="U541">
        <v>0</v>
      </c>
      <c r="V541">
        <v>0</v>
      </c>
      <c r="W541">
        <v>0</v>
      </c>
      <c r="X541">
        <v>-294.50568195869999</v>
      </c>
      <c r="Y541">
        <v>89.786756444444407</v>
      </c>
      <c r="Z541" t="s">
        <v>51</v>
      </c>
    </row>
    <row r="542" spans="1:26">
      <c r="A542" t="s">
        <v>13</v>
      </c>
      <c r="B542">
        <v>2035</v>
      </c>
      <c r="C542" t="s">
        <v>632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57.599999999999902</v>
      </c>
      <c r="L542">
        <v>0</v>
      </c>
      <c r="M542">
        <v>135.66232439497699</v>
      </c>
      <c r="N542">
        <v>0</v>
      </c>
      <c r="O542">
        <v>0</v>
      </c>
      <c r="P542" s="1">
        <v>0</v>
      </c>
      <c r="Q542">
        <v>193.26232439497699</v>
      </c>
      <c r="R542">
        <v>173.895868064322</v>
      </c>
      <c r="S542">
        <v>150</v>
      </c>
      <c r="T542">
        <v>738.79741779899996</v>
      </c>
      <c r="U542">
        <v>0</v>
      </c>
      <c r="V542">
        <v>0</v>
      </c>
      <c r="W542">
        <v>0</v>
      </c>
      <c r="X542">
        <v>-221.63922533969901</v>
      </c>
      <c r="Y542">
        <v>89.786756444444407</v>
      </c>
      <c r="Z542" t="s">
        <v>51</v>
      </c>
    </row>
    <row r="543" spans="1:26">
      <c r="A543" t="s">
        <v>13</v>
      </c>
      <c r="B543">
        <v>2035</v>
      </c>
      <c r="C543" t="s">
        <v>633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57.599999999999902</v>
      </c>
      <c r="L543">
        <v>0</v>
      </c>
      <c r="M543">
        <v>4.5580144798718596</v>
      </c>
      <c r="N543">
        <v>0</v>
      </c>
      <c r="O543">
        <v>0</v>
      </c>
      <c r="P543" s="1">
        <v>0</v>
      </c>
      <c r="Q543">
        <v>62.158014479871802</v>
      </c>
      <c r="R543">
        <v>210.703439261238</v>
      </c>
      <c r="S543">
        <v>97.170534219489895</v>
      </c>
      <c r="T543">
        <v>528.61712565799996</v>
      </c>
      <c r="U543">
        <v>0</v>
      </c>
      <c r="V543">
        <v>0</v>
      </c>
      <c r="W543">
        <v>0</v>
      </c>
      <c r="X543">
        <v>-158.58513769739901</v>
      </c>
      <c r="Y543">
        <v>142.51136703590299</v>
      </c>
      <c r="Z543" t="s">
        <v>52</v>
      </c>
    </row>
    <row r="544" spans="1:26">
      <c r="A544" t="s">
        <v>13</v>
      </c>
      <c r="B544">
        <v>2035</v>
      </c>
      <c r="C544" t="s">
        <v>634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57.599999999999902</v>
      </c>
      <c r="L544">
        <v>0</v>
      </c>
      <c r="M544">
        <v>0.46238310143275002</v>
      </c>
      <c r="N544">
        <v>0</v>
      </c>
      <c r="O544">
        <v>0</v>
      </c>
      <c r="P544" s="1">
        <v>0</v>
      </c>
      <c r="Q544">
        <v>58.062383101432701</v>
      </c>
      <c r="R544">
        <v>182.76470710676699</v>
      </c>
      <c r="S544">
        <v>85</v>
      </c>
      <c r="T544">
        <v>465.46727172599998</v>
      </c>
      <c r="U544">
        <v>0</v>
      </c>
      <c r="V544">
        <v>0</v>
      </c>
      <c r="W544">
        <v>0</v>
      </c>
      <c r="X544">
        <v>-139.64018151779999</v>
      </c>
      <c r="Y544">
        <v>142.51136703590299</v>
      </c>
      <c r="Z544" t="s">
        <v>52</v>
      </c>
    </row>
    <row r="545" spans="1:26">
      <c r="A545" t="s">
        <v>13</v>
      </c>
      <c r="B545">
        <v>2035</v>
      </c>
      <c r="C545" t="s">
        <v>635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57.599999999999902</v>
      </c>
      <c r="L545">
        <v>0</v>
      </c>
      <c r="M545">
        <v>0.48803388983964902</v>
      </c>
      <c r="N545">
        <v>0</v>
      </c>
      <c r="O545">
        <v>0</v>
      </c>
      <c r="P545">
        <v>0</v>
      </c>
      <c r="Q545">
        <v>58.0880338898396</v>
      </c>
      <c r="R545">
        <v>80.628629774160203</v>
      </c>
      <c r="S545">
        <v>250</v>
      </c>
      <c r="T545">
        <v>555.30951951999998</v>
      </c>
      <c r="U545">
        <v>0</v>
      </c>
      <c r="V545">
        <v>0</v>
      </c>
      <c r="W545">
        <v>0</v>
      </c>
      <c r="X545">
        <v>-166.592855856</v>
      </c>
      <c r="Y545">
        <v>142.51136703590299</v>
      </c>
      <c r="Z545" t="s">
        <v>52</v>
      </c>
    </row>
    <row r="546" spans="1:26">
      <c r="A546" t="s">
        <v>13</v>
      </c>
      <c r="B546">
        <v>2035</v>
      </c>
      <c r="C546" t="s">
        <v>636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178.2</v>
      </c>
      <c r="J546">
        <v>0</v>
      </c>
      <c r="K546">
        <v>57.599999999999902</v>
      </c>
      <c r="L546">
        <v>0.11672022870755699</v>
      </c>
      <c r="M546">
        <v>0.492940463071315</v>
      </c>
      <c r="N546">
        <v>0</v>
      </c>
      <c r="O546" s="1">
        <v>0</v>
      </c>
      <c r="P546" s="1">
        <v>0</v>
      </c>
      <c r="Q546">
        <v>236.40966069177799</v>
      </c>
      <c r="R546">
        <v>9.5941290665211802</v>
      </c>
      <c r="S546">
        <v>350</v>
      </c>
      <c r="T546">
        <v>851.43398536899997</v>
      </c>
      <c r="U546">
        <v>0</v>
      </c>
      <c r="V546">
        <v>0</v>
      </c>
      <c r="W546">
        <v>0</v>
      </c>
      <c r="X546">
        <v>-255.430195610699</v>
      </c>
      <c r="Y546">
        <v>142.51136703590299</v>
      </c>
      <c r="Z546" t="s">
        <v>52</v>
      </c>
    </row>
    <row r="547" spans="1:26">
      <c r="A547" t="s">
        <v>13</v>
      </c>
      <c r="B547">
        <v>2035</v>
      </c>
      <c r="C547" t="s">
        <v>637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57.599999999999902</v>
      </c>
      <c r="L547">
        <v>2096.1705754998802</v>
      </c>
      <c r="M547">
        <v>0.60444302116241899</v>
      </c>
      <c r="N547">
        <v>0</v>
      </c>
      <c r="O547" s="1">
        <v>-7.1054273576010003E-15</v>
      </c>
      <c r="P547" s="1">
        <v>0</v>
      </c>
      <c r="Q547">
        <v>2154.3750185210401</v>
      </c>
      <c r="R547">
        <v>0</v>
      </c>
      <c r="S547">
        <v>0</v>
      </c>
      <c r="T547">
        <v>1053.62944513</v>
      </c>
      <c r="U547">
        <v>0</v>
      </c>
      <c r="V547">
        <v>404.72377772091801</v>
      </c>
      <c r="W547">
        <v>350</v>
      </c>
      <c r="X547">
        <v>346.02179567012502</v>
      </c>
      <c r="Y547">
        <v>39.543457943594397</v>
      </c>
      <c r="Z547" t="s">
        <v>52</v>
      </c>
    </row>
    <row r="548" spans="1:26">
      <c r="A548" t="s">
        <v>13</v>
      </c>
      <c r="B548">
        <v>2035</v>
      </c>
      <c r="C548" t="s">
        <v>638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57.599999999999902</v>
      </c>
      <c r="L548">
        <v>2298.97880225874</v>
      </c>
      <c r="M548">
        <v>4.4643270016849304</v>
      </c>
      <c r="N548">
        <v>0</v>
      </c>
      <c r="O548" s="1">
        <v>0</v>
      </c>
      <c r="P548">
        <v>0</v>
      </c>
      <c r="Q548">
        <v>2361.0431292604198</v>
      </c>
      <c r="R548">
        <v>0</v>
      </c>
      <c r="S548">
        <v>0</v>
      </c>
      <c r="T548">
        <v>1149.70296411</v>
      </c>
      <c r="U548">
        <v>0</v>
      </c>
      <c r="V548">
        <v>404.83335561331899</v>
      </c>
      <c r="W548">
        <v>350</v>
      </c>
      <c r="X548">
        <v>456.506809537111</v>
      </c>
      <c r="Y548">
        <v>39.543457943594397</v>
      </c>
      <c r="Z548" t="s">
        <v>52</v>
      </c>
    </row>
    <row r="549" spans="1:26">
      <c r="A549" t="s">
        <v>13</v>
      </c>
      <c r="B549">
        <v>2035</v>
      </c>
      <c r="C549" t="s">
        <v>639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57.599999999999902</v>
      </c>
      <c r="L549">
        <v>2138.9833299829702</v>
      </c>
      <c r="M549">
        <v>12.698853745817599</v>
      </c>
      <c r="N549">
        <v>0</v>
      </c>
      <c r="O549">
        <v>0</v>
      </c>
      <c r="P549" s="1">
        <v>0</v>
      </c>
      <c r="Q549">
        <v>2209.2821837287902</v>
      </c>
      <c r="R549">
        <v>0</v>
      </c>
      <c r="S549">
        <v>0</v>
      </c>
      <c r="T549">
        <v>1190.59804289</v>
      </c>
      <c r="U549">
        <v>0</v>
      </c>
      <c r="V549">
        <v>404.83335561331899</v>
      </c>
      <c r="W549">
        <v>350</v>
      </c>
      <c r="X549">
        <v>263.85078522547099</v>
      </c>
      <c r="Y549">
        <v>39.543457943594397</v>
      </c>
      <c r="Z549" t="s">
        <v>52</v>
      </c>
    </row>
    <row r="550" spans="1:26">
      <c r="A550" t="s">
        <v>13</v>
      </c>
      <c r="B550">
        <v>2035</v>
      </c>
      <c r="C550" t="s">
        <v>640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57.599999999999902</v>
      </c>
      <c r="L550">
        <v>2204.8527263713199</v>
      </c>
      <c r="M550" s="1">
        <v>10.9883493011396</v>
      </c>
      <c r="N550">
        <v>0</v>
      </c>
      <c r="O550" s="1">
        <v>0</v>
      </c>
      <c r="P550">
        <v>0</v>
      </c>
      <c r="Q550">
        <v>2273.4410756724601</v>
      </c>
      <c r="R550">
        <v>0</v>
      </c>
      <c r="S550">
        <v>0</v>
      </c>
      <c r="T550">
        <v>1193.2821004100001</v>
      </c>
      <c r="U550">
        <v>0</v>
      </c>
      <c r="V550">
        <v>404.83335561331899</v>
      </c>
      <c r="W550">
        <v>350</v>
      </c>
      <c r="X550">
        <v>325.32561964914498</v>
      </c>
      <c r="Y550">
        <v>39.543457943594397</v>
      </c>
      <c r="Z550" t="s">
        <v>52</v>
      </c>
    </row>
    <row r="551" spans="1:26">
      <c r="A551" t="s">
        <v>13</v>
      </c>
      <c r="B551">
        <v>2035</v>
      </c>
      <c r="C551" t="s">
        <v>641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57.599999999999902</v>
      </c>
      <c r="L551">
        <v>2075.5102505319101</v>
      </c>
      <c r="M551">
        <v>12.4866370710551</v>
      </c>
      <c r="N551">
        <v>0</v>
      </c>
      <c r="O551" s="1">
        <v>1.4210854715202001E-14</v>
      </c>
      <c r="P551" s="1">
        <v>0</v>
      </c>
      <c r="Q551">
        <v>2145.5968876029601</v>
      </c>
      <c r="R551">
        <v>0</v>
      </c>
      <c r="S551">
        <v>0</v>
      </c>
      <c r="T551">
        <v>1156.2176732200001</v>
      </c>
      <c r="U551">
        <v>0</v>
      </c>
      <c r="V551">
        <v>404.83335561331899</v>
      </c>
      <c r="W551">
        <v>350</v>
      </c>
      <c r="X551">
        <v>234.545858769646</v>
      </c>
      <c r="Y551">
        <v>39.543457943594397</v>
      </c>
      <c r="Z551" t="s">
        <v>52</v>
      </c>
    </row>
    <row r="552" spans="1:26">
      <c r="A552" t="s">
        <v>13</v>
      </c>
      <c r="B552">
        <v>2035</v>
      </c>
      <c r="C552" t="s">
        <v>642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57.599999999999902</v>
      </c>
      <c r="L552">
        <v>26.8057173918289</v>
      </c>
      <c r="M552" s="1">
        <v>28.471355024341499</v>
      </c>
      <c r="N552">
        <v>0</v>
      </c>
      <c r="O552" s="1">
        <v>0</v>
      </c>
      <c r="P552" s="1">
        <v>0</v>
      </c>
      <c r="Q552">
        <v>112.87707241616999</v>
      </c>
      <c r="R552">
        <v>404.83335561331899</v>
      </c>
      <c r="S552">
        <v>337.82946578051002</v>
      </c>
      <c r="T552">
        <v>1222.1998483</v>
      </c>
      <c r="U552">
        <v>0</v>
      </c>
      <c r="V552">
        <v>0</v>
      </c>
      <c r="W552">
        <v>0</v>
      </c>
      <c r="X552">
        <v>-366.659954489999</v>
      </c>
      <c r="Y552">
        <v>142.51136703590299</v>
      </c>
      <c r="Z552" t="s">
        <v>52</v>
      </c>
    </row>
    <row r="553" spans="1:26">
      <c r="A553" t="s">
        <v>13</v>
      </c>
      <c r="B553">
        <v>2035</v>
      </c>
      <c r="C553" t="s">
        <v>643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81.456624761187797</v>
      </c>
      <c r="J553">
        <v>0</v>
      </c>
      <c r="K553">
        <v>57.599999999999902</v>
      </c>
      <c r="L553">
        <v>0</v>
      </c>
      <c r="M553">
        <v>43.614363130494603</v>
      </c>
      <c r="N553">
        <v>0</v>
      </c>
      <c r="O553">
        <v>0</v>
      </c>
      <c r="P553" s="1">
        <v>0</v>
      </c>
      <c r="Q553">
        <v>182.67098789168199</v>
      </c>
      <c r="R553">
        <v>398.24170407231702</v>
      </c>
      <c r="S553">
        <v>150</v>
      </c>
      <c r="T553">
        <v>1044.16098852</v>
      </c>
      <c r="U553">
        <v>0</v>
      </c>
      <c r="V553">
        <v>0</v>
      </c>
      <c r="W553">
        <v>0</v>
      </c>
      <c r="X553">
        <v>-313.24829655600001</v>
      </c>
      <c r="Y553">
        <v>142.51136703590299</v>
      </c>
      <c r="Z553" t="s">
        <v>52</v>
      </c>
    </row>
    <row r="554" spans="1:26">
      <c r="A554" t="s">
        <v>13</v>
      </c>
      <c r="B554">
        <v>2035</v>
      </c>
      <c r="C554" t="s">
        <v>644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57.599999999999902</v>
      </c>
      <c r="L554">
        <v>0</v>
      </c>
      <c r="M554">
        <v>41.176308052076898</v>
      </c>
      <c r="N554">
        <v>0</v>
      </c>
      <c r="O554">
        <v>0</v>
      </c>
      <c r="P554" s="1">
        <v>0</v>
      </c>
      <c r="Q554">
        <v>98.776308052076899</v>
      </c>
      <c r="R554">
        <v>231.276935236323</v>
      </c>
      <c r="S554">
        <v>197.5</v>
      </c>
      <c r="T554">
        <v>753.64749041200002</v>
      </c>
      <c r="U554">
        <v>0</v>
      </c>
      <c r="V554">
        <v>0</v>
      </c>
      <c r="W554">
        <v>0</v>
      </c>
      <c r="X554">
        <v>-226.09424712360001</v>
      </c>
      <c r="Y554">
        <v>142.51136703590299</v>
      </c>
      <c r="Z554" t="s">
        <v>52</v>
      </c>
    </row>
    <row r="555" spans="1:26">
      <c r="A555" t="s">
        <v>13</v>
      </c>
      <c r="B555">
        <v>2035</v>
      </c>
      <c r="C555" t="s">
        <v>645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57.599999999999902</v>
      </c>
      <c r="L555">
        <v>0</v>
      </c>
      <c r="M555">
        <v>14.2371182492187</v>
      </c>
      <c r="N555">
        <v>0</v>
      </c>
      <c r="O555">
        <v>0</v>
      </c>
      <c r="P555" s="1">
        <v>0</v>
      </c>
      <c r="Q555">
        <v>71.837118249218705</v>
      </c>
      <c r="R555">
        <v>50.961209019281199</v>
      </c>
      <c r="S555">
        <v>250</v>
      </c>
      <c r="T555">
        <v>532.569038955</v>
      </c>
      <c r="U555">
        <v>0</v>
      </c>
      <c r="V555">
        <v>0</v>
      </c>
      <c r="W555">
        <v>0</v>
      </c>
      <c r="X555">
        <v>-159.77071168649999</v>
      </c>
      <c r="Y555">
        <v>97.976756444444405</v>
      </c>
      <c r="Z555" t="s">
        <v>52</v>
      </c>
    </row>
    <row r="556" spans="1:26">
      <c r="A556" t="s">
        <v>13</v>
      </c>
      <c r="B556">
        <v>2035</v>
      </c>
      <c r="C556" t="s">
        <v>646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57.599999999999902</v>
      </c>
      <c r="L556">
        <v>0</v>
      </c>
      <c r="M556">
        <v>38.732354253900603</v>
      </c>
      <c r="N556">
        <v>0</v>
      </c>
      <c r="O556" s="1">
        <v>0</v>
      </c>
      <c r="P556" s="1">
        <v>0</v>
      </c>
      <c r="Q556">
        <v>96.332354253900604</v>
      </c>
      <c r="R556">
        <v>35.148207174499298</v>
      </c>
      <c r="S556">
        <v>197.5</v>
      </c>
      <c r="T556">
        <v>469.97223061199998</v>
      </c>
      <c r="U556">
        <v>0</v>
      </c>
      <c r="V556">
        <v>0</v>
      </c>
      <c r="W556">
        <v>0</v>
      </c>
      <c r="X556">
        <v>-140.99166918359899</v>
      </c>
      <c r="Y556">
        <v>97.976756444444405</v>
      </c>
      <c r="Z556" t="s">
        <v>52</v>
      </c>
    </row>
    <row r="557" spans="1:26">
      <c r="A557" t="s">
        <v>13</v>
      </c>
      <c r="B557">
        <v>2035</v>
      </c>
      <c r="C557" t="s">
        <v>647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57.599999999999902</v>
      </c>
      <c r="L557">
        <v>0</v>
      </c>
      <c r="M557">
        <v>55.984884555197198</v>
      </c>
      <c r="N557">
        <v>0</v>
      </c>
      <c r="O557">
        <v>0</v>
      </c>
      <c r="P557" s="1">
        <v>0</v>
      </c>
      <c r="Q557">
        <v>113.58488455519699</v>
      </c>
      <c r="R557">
        <v>295.07212679410202</v>
      </c>
      <c r="S557">
        <v>0</v>
      </c>
      <c r="T557">
        <v>583.795730499</v>
      </c>
      <c r="U557">
        <v>0</v>
      </c>
      <c r="V557">
        <v>0</v>
      </c>
      <c r="W557">
        <v>0</v>
      </c>
      <c r="X557">
        <v>-175.13871914969999</v>
      </c>
      <c r="Y557">
        <v>97.976756444444405</v>
      </c>
      <c r="Z557" t="s">
        <v>52</v>
      </c>
    </row>
    <row r="558" spans="1:26">
      <c r="A558" t="s">
        <v>13</v>
      </c>
      <c r="B558">
        <v>2035</v>
      </c>
      <c r="C558" t="s">
        <v>648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57.599999999999902</v>
      </c>
      <c r="L558">
        <v>0</v>
      </c>
      <c r="M558" s="1">
        <v>83.954545877880605</v>
      </c>
      <c r="N558">
        <v>0</v>
      </c>
      <c r="O558" s="1">
        <v>0</v>
      </c>
      <c r="P558" s="1">
        <v>0</v>
      </c>
      <c r="Q558">
        <v>141.55454587788</v>
      </c>
      <c r="R558">
        <v>163.63772560831899</v>
      </c>
      <c r="S558">
        <v>350</v>
      </c>
      <c r="T558">
        <v>935.98895926600005</v>
      </c>
      <c r="U558">
        <v>0</v>
      </c>
      <c r="V558">
        <v>0</v>
      </c>
      <c r="W558">
        <v>0</v>
      </c>
      <c r="X558">
        <v>-280.79668777979998</v>
      </c>
      <c r="Y558">
        <v>97.976756444444405</v>
      </c>
      <c r="Z558" t="s">
        <v>52</v>
      </c>
    </row>
    <row r="559" spans="1:26">
      <c r="A559" t="s">
        <v>13</v>
      </c>
      <c r="B559">
        <v>2035</v>
      </c>
      <c r="C559" t="s">
        <v>649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35.535165752286602</v>
      </c>
      <c r="L559">
        <v>1674.7535998388901</v>
      </c>
      <c r="M559">
        <v>114.381584778011</v>
      </c>
      <c r="N559">
        <v>22.0648342477133</v>
      </c>
      <c r="O559" s="1">
        <v>3.5527136788005001E-15</v>
      </c>
      <c r="P559">
        <v>0</v>
      </c>
      <c r="Q559">
        <v>1824.6703503691899</v>
      </c>
      <c r="R559">
        <v>0</v>
      </c>
      <c r="S559">
        <v>0</v>
      </c>
      <c r="T559">
        <v>1049.81245915</v>
      </c>
      <c r="U559">
        <v>0</v>
      </c>
      <c r="V559">
        <v>404.83335561331899</v>
      </c>
      <c r="W559">
        <v>350</v>
      </c>
      <c r="X559">
        <v>20.024535605876999</v>
      </c>
      <c r="Y559">
        <v>6.1425000000000001</v>
      </c>
      <c r="Z559" t="s">
        <v>52</v>
      </c>
    </row>
    <row r="560" spans="1:26">
      <c r="A560" t="s">
        <v>13</v>
      </c>
      <c r="B560">
        <v>2035</v>
      </c>
      <c r="C560" t="s">
        <v>650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2053.6205192103698</v>
      </c>
      <c r="M560">
        <v>135.52143887093601</v>
      </c>
      <c r="N560">
        <v>57.599999999999902</v>
      </c>
      <c r="O560" s="1">
        <v>0</v>
      </c>
      <c r="P560" s="1">
        <v>0</v>
      </c>
      <c r="Q560">
        <v>2189.1419580812999</v>
      </c>
      <c r="R560">
        <v>0</v>
      </c>
      <c r="S560">
        <v>0</v>
      </c>
      <c r="T560">
        <v>1121.9316456399999</v>
      </c>
      <c r="U560">
        <v>0</v>
      </c>
      <c r="V560">
        <v>404.83335561331899</v>
      </c>
      <c r="W560">
        <v>350</v>
      </c>
      <c r="X560">
        <v>312.37695682799</v>
      </c>
      <c r="Y560">
        <v>6.1425000000000001</v>
      </c>
      <c r="Z560" t="s">
        <v>52</v>
      </c>
    </row>
    <row r="561" spans="1:26">
      <c r="A561" t="s">
        <v>13</v>
      </c>
      <c r="B561">
        <v>2035</v>
      </c>
      <c r="C561" t="s">
        <v>651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2037.72676772197</v>
      </c>
      <c r="M561">
        <v>159.112301256801</v>
      </c>
      <c r="N561">
        <v>57.599999999999902</v>
      </c>
      <c r="O561" s="1">
        <v>0</v>
      </c>
      <c r="P561" s="1">
        <v>0</v>
      </c>
      <c r="Q561">
        <v>2196.8390689787698</v>
      </c>
      <c r="R561">
        <v>0</v>
      </c>
      <c r="S561">
        <v>0</v>
      </c>
      <c r="T561">
        <v>1131.0359055199999</v>
      </c>
      <c r="U561">
        <v>0</v>
      </c>
      <c r="V561">
        <v>397.46960407598499</v>
      </c>
      <c r="W561">
        <v>350</v>
      </c>
      <c r="X561">
        <v>318.333559382793</v>
      </c>
      <c r="Y561">
        <v>6.1425000000000001</v>
      </c>
      <c r="Z561" t="s">
        <v>52</v>
      </c>
    </row>
    <row r="562" spans="1:26">
      <c r="A562" t="s">
        <v>13</v>
      </c>
      <c r="B562">
        <v>2035</v>
      </c>
      <c r="C562" t="s">
        <v>652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2399.12351713116</v>
      </c>
      <c r="M562" s="1">
        <v>167.27724225742</v>
      </c>
      <c r="N562">
        <v>57.599999999999902</v>
      </c>
      <c r="O562" s="1">
        <v>-7.1054273576010003E-15</v>
      </c>
      <c r="P562" s="1">
        <v>0</v>
      </c>
      <c r="Q562">
        <v>2566.4007593885799</v>
      </c>
      <c r="R562">
        <v>0</v>
      </c>
      <c r="S562">
        <v>0</v>
      </c>
      <c r="T562">
        <v>1114.39201579</v>
      </c>
      <c r="U562">
        <v>0</v>
      </c>
      <c r="V562">
        <v>404.83335561331899</v>
      </c>
      <c r="W562">
        <v>350</v>
      </c>
      <c r="X562">
        <v>697.17538798526596</v>
      </c>
      <c r="Y562">
        <v>6.1425000000000001</v>
      </c>
      <c r="Z562" t="s">
        <v>52</v>
      </c>
    </row>
    <row r="563" spans="1:26">
      <c r="A563" t="s">
        <v>13</v>
      </c>
      <c r="B563">
        <v>2035</v>
      </c>
      <c r="C563" t="s">
        <v>653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2061.99726398349</v>
      </c>
      <c r="M563" s="1">
        <v>149.68819593129601</v>
      </c>
      <c r="N563">
        <v>57.599999999999902</v>
      </c>
      <c r="O563" s="1">
        <v>7.1054273576010003E-15</v>
      </c>
      <c r="P563" s="1">
        <v>0</v>
      </c>
      <c r="Q563">
        <v>2211.68545991479</v>
      </c>
      <c r="R563">
        <v>0</v>
      </c>
      <c r="S563">
        <v>0</v>
      </c>
      <c r="T563">
        <v>1122.17449835</v>
      </c>
      <c r="U563">
        <v>0</v>
      </c>
      <c r="V563">
        <v>404.83335561331899</v>
      </c>
      <c r="W563">
        <v>350</v>
      </c>
      <c r="X563">
        <v>334.67760595147303</v>
      </c>
      <c r="Y563">
        <v>6.1425000000000001</v>
      </c>
      <c r="Z563" t="s">
        <v>52</v>
      </c>
    </row>
    <row r="564" spans="1:26">
      <c r="A564" t="s">
        <v>13</v>
      </c>
      <c r="B564">
        <v>2035</v>
      </c>
      <c r="C564" t="s">
        <v>654</v>
      </c>
      <c r="D564">
        <v>0</v>
      </c>
      <c r="E564">
        <v>0</v>
      </c>
      <c r="F564" s="1">
        <v>0</v>
      </c>
      <c r="G564">
        <v>0</v>
      </c>
      <c r="H564">
        <v>0</v>
      </c>
      <c r="I564">
        <v>0</v>
      </c>
      <c r="J564" s="1">
        <v>0</v>
      </c>
      <c r="K564">
        <v>57.599999999999902</v>
      </c>
      <c r="L564">
        <v>0</v>
      </c>
      <c r="M564">
        <v>140.059296535454</v>
      </c>
      <c r="N564">
        <v>0</v>
      </c>
      <c r="O564" s="1">
        <v>0</v>
      </c>
      <c r="P564" s="1">
        <v>0</v>
      </c>
      <c r="Q564">
        <v>197.65929653545399</v>
      </c>
      <c r="R564">
        <v>329.55577028254498</v>
      </c>
      <c r="S564">
        <v>335</v>
      </c>
      <c r="T564">
        <v>1231.7358097399999</v>
      </c>
      <c r="U564">
        <v>0</v>
      </c>
      <c r="V564">
        <v>0</v>
      </c>
      <c r="W564">
        <v>0</v>
      </c>
      <c r="X564">
        <v>-369.52074292199899</v>
      </c>
      <c r="Y564">
        <v>97.976756444444405</v>
      </c>
      <c r="Z564" t="s">
        <v>52</v>
      </c>
    </row>
    <row r="565" spans="1:26">
      <c r="A565" t="s">
        <v>13</v>
      </c>
      <c r="B565">
        <v>2035</v>
      </c>
      <c r="C565" t="s">
        <v>655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s="1">
        <v>0</v>
      </c>
      <c r="K565">
        <v>57.599999999999902</v>
      </c>
      <c r="L565">
        <v>0</v>
      </c>
      <c r="M565">
        <v>104.24843676446601</v>
      </c>
      <c r="N565">
        <v>0</v>
      </c>
      <c r="O565">
        <v>0</v>
      </c>
      <c r="P565" s="1">
        <v>0</v>
      </c>
      <c r="Q565">
        <v>161.84843676446599</v>
      </c>
      <c r="R565">
        <v>334.51991190553298</v>
      </c>
      <c r="S565">
        <v>250</v>
      </c>
      <c r="T565">
        <v>1066.2404981</v>
      </c>
      <c r="U565">
        <v>0</v>
      </c>
      <c r="V565">
        <v>0</v>
      </c>
      <c r="W565">
        <v>0</v>
      </c>
      <c r="X565">
        <v>-319.87214942999998</v>
      </c>
      <c r="Y565">
        <v>97.976756444444405</v>
      </c>
      <c r="Z565" t="s">
        <v>52</v>
      </c>
    </row>
    <row r="566" spans="1:26">
      <c r="A566" t="s">
        <v>13</v>
      </c>
      <c r="B566">
        <v>2035</v>
      </c>
      <c r="C566" t="s">
        <v>656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s="1">
        <v>0</v>
      </c>
      <c r="K566">
        <v>57.599999999999902</v>
      </c>
      <c r="L566">
        <v>0</v>
      </c>
      <c r="M566">
        <v>105.519867291534</v>
      </c>
      <c r="N566">
        <v>0</v>
      </c>
      <c r="O566">
        <v>0</v>
      </c>
      <c r="P566" s="1">
        <v>0</v>
      </c>
      <c r="Q566">
        <v>163.11986729153401</v>
      </c>
      <c r="R566">
        <v>303.707319112665</v>
      </c>
      <c r="S566">
        <v>85</v>
      </c>
      <c r="T566">
        <v>788.32455200599998</v>
      </c>
      <c r="U566">
        <v>0</v>
      </c>
      <c r="V566">
        <v>0</v>
      </c>
      <c r="W566">
        <v>0</v>
      </c>
      <c r="X566">
        <v>-236.497365601799</v>
      </c>
      <c r="Y566">
        <v>97.976756444444405</v>
      </c>
      <c r="Z566" t="s">
        <v>52</v>
      </c>
    </row>
    <row r="567" spans="1:26">
      <c r="A567" t="s">
        <v>13</v>
      </c>
      <c r="B567">
        <v>2035</v>
      </c>
      <c r="C567" t="s">
        <v>705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129.95167885570399</v>
      </c>
      <c r="J567">
        <v>0</v>
      </c>
      <c r="K567">
        <v>57.599999999999902</v>
      </c>
      <c r="L567">
        <v>0</v>
      </c>
      <c r="M567">
        <v>25.377486059590399</v>
      </c>
      <c r="N567">
        <v>0</v>
      </c>
      <c r="O567">
        <v>0</v>
      </c>
      <c r="P567" s="1">
        <v>0</v>
      </c>
      <c r="Q567">
        <v>212.92916491529499</v>
      </c>
      <c r="R567">
        <v>0</v>
      </c>
      <c r="S567">
        <v>117.980371345504</v>
      </c>
      <c r="T567">
        <v>472.72790894399998</v>
      </c>
      <c r="U567">
        <v>0</v>
      </c>
      <c r="V567">
        <v>0</v>
      </c>
      <c r="W567">
        <v>0</v>
      </c>
      <c r="X567">
        <v>-141.81837268319899</v>
      </c>
      <c r="Y567">
        <v>142.51136703590399</v>
      </c>
      <c r="Z567" t="s">
        <v>51</v>
      </c>
    </row>
    <row r="568" spans="1:26">
      <c r="A568" t="s">
        <v>13</v>
      </c>
      <c r="B568">
        <v>2035</v>
      </c>
      <c r="C568" t="s">
        <v>706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178.2</v>
      </c>
      <c r="J568">
        <v>0</v>
      </c>
      <c r="K568">
        <v>57.599999999999902</v>
      </c>
      <c r="L568">
        <v>0</v>
      </c>
      <c r="M568">
        <v>8.9978796662238096</v>
      </c>
      <c r="N568">
        <v>0</v>
      </c>
      <c r="O568">
        <v>0</v>
      </c>
      <c r="P568" s="1">
        <v>0</v>
      </c>
      <c r="Q568">
        <v>244.797879666223</v>
      </c>
      <c r="R568">
        <v>0</v>
      </c>
      <c r="S568">
        <v>44.629538115376199</v>
      </c>
      <c r="T568">
        <v>413.46773968799999</v>
      </c>
      <c r="U568">
        <v>0</v>
      </c>
      <c r="V568">
        <v>0</v>
      </c>
      <c r="W568">
        <v>0</v>
      </c>
      <c r="X568">
        <v>-124.0403219064</v>
      </c>
      <c r="Y568">
        <v>142.51136703590399</v>
      </c>
      <c r="Z568" t="s">
        <v>51</v>
      </c>
    </row>
    <row r="569" spans="1:26">
      <c r="A569" t="s">
        <v>13</v>
      </c>
      <c r="B569">
        <v>2035</v>
      </c>
      <c r="C569" t="s">
        <v>707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57.599999999999902</v>
      </c>
      <c r="L569">
        <v>0</v>
      </c>
      <c r="M569">
        <v>156.33098685211201</v>
      </c>
      <c r="N569">
        <v>0</v>
      </c>
      <c r="O569">
        <v>0</v>
      </c>
      <c r="P569" s="1">
        <v>0</v>
      </c>
      <c r="Q569">
        <v>213.930986852112</v>
      </c>
      <c r="R569">
        <v>0</v>
      </c>
      <c r="S569">
        <v>137.72927450798699</v>
      </c>
      <c r="T569">
        <v>502.37180194299998</v>
      </c>
      <c r="U569">
        <v>0</v>
      </c>
      <c r="V569">
        <v>0</v>
      </c>
      <c r="W569">
        <v>0</v>
      </c>
      <c r="X569">
        <v>-150.7115405829</v>
      </c>
      <c r="Y569">
        <v>142.51136703590399</v>
      </c>
      <c r="Z569" t="s">
        <v>51</v>
      </c>
    </row>
    <row r="570" spans="1:26">
      <c r="A570" t="s">
        <v>13</v>
      </c>
      <c r="B570">
        <v>2035</v>
      </c>
      <c r="C570" t="s">
        <v>708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178.2</v>
      </c>
      <c r="J570">
        <v>0</v>
      </c>
      <c r="K570">
        <v>57.599999999999902</v>
      </c>
      <c r="L570">
        <v>0</v>
      </c>
      <c r="M570">
        <v>78.417536797391193</v>
      </c>
      <c r="N570">
        <v>0</v>
      </c>
      <c r="O570">
        <v>0</v>
      </c>
      <c r="P570" s="1">
        <v>0</v>
      </c>
      <c r="Q570">
        <v>314.21753679739101</v>
      </c>
      <c r="R570">
        <v>0</v>
      </c>
      <c r="S570">
        <v>272.38021942260798</v>
      </c>
      <c r="T570">
        <v>837.99679460000004</v>
      </c>
      <c r="U570">
        <v>0</v>
      </c>
      <c r="V570">
        <v>0</v>
      </c>
      <c r="W570">
        <v>0</v>
      </c>
      <c r="X570">
        <v>-251.39903838000001</v>
      </c>
      <c r="Y570">
        <v>142.51136703590399</v>
      </c>
      <c r="Z570" t="s">
        <v>51</v>
      </c>
    </row>
    <row r="571" spans="1:26">
      <c r="A571" t="s">
        <v>13</v>
      </c>
      <c r="B571">
        <v>2035</v>
      </c>
      <c r="C571" t="s">
        <v>709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57.599999999999902</v>
      </c>
      <c r="L571">
        <v>1382.0992030171301</v>
      </c>
      <c r="M571" s="1">
        <v>169.86184493387199</v>
      </c>
      <c r="N571">
        <v>0</v>
      </c>
      <c r="O571" s="1">
        <v>0</v>
      </c>
      <c r="P571" s="1">
        <v>0</v>
      </c>
      <c r="Q571">
        <v>1609.5610479510001</v>
      </c>
      <c r="R571">
        <v>0</v>
      </c>
      <c r="S571">
        <v>0</v>
      </c>
      <c r="T571">
        <v>966.32082494899998</v>
      </c>
      <c r="U571">
        <v>0</v>
      </c>
      <c r="V571">
        <v>0</v>
      </c>
      <c r="W571">
        <v>350</v>
      </c>
      <c r="X571">
        <v>293.24022300200699</v>
      </c>
      <c r="Y571">
        <v>39.543457943594902</v>
      </c>
      <c r="Z571" t="s">
        <v>51</v>
      </c>
    </row>
    <row r="572" spans="1:26">
      <c r="A572" t="s">
        <v>13</v>
      </c>
      <c r="B572">
        <v>2035</v>
      </c>
      <c r="C572" t="s">
        <v>710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57.599999999999902</v>
      </c>
      <c r="L572">
        <v>1928.9175816310701</v>
      </c>
      <c r="M572" s="1">
        <v>163.633000356965</v>
      </c>
      <c r="N572">
        <v>0</v>
      </c>
      <c r="O572" s="1">
        <v>7.1054273576010003E-15</v>
      </c>
      <c r="P572" s="1">
        <v>0</v>
      </c>
      <c r="Q572">
        <v>2150.1505819880299</v>
      </c>
      <c r="R572">
        <v>0</v>
      </c>
      <c r="S572">
        <v>0</v>
      </c>
      <c r="T572">
        <v>1045.4349200500001</v>
      </c>
      <c r="U572">
        <v>0</v>
      </c>
      <c r="V572">
        <v>398.21868460300198</v>
      </c>
      <c r="W572">
        <v>350</v>
      </c>
      <c r="X572">
        <v>356.49697733503302</v>
      </c>
      <c r="Y572">
        <v>39.543457943594902</v>
      </c>
      <c r="Z572" t="s">
        <v>51</v>
      </c>
    </row>
    <row r="573" spans="1:26">
      <c r="A573" t="s">
        <v>13</v>
      </c>
      <c r="B573">
        <v>2035</v>
      </c>
      <c r="C573" t="s">
        <v>711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57.599999999999902</v>
      </c>
      <c r="L573">
        <v>2000.11851529812</v>
      </c>
      <c r="M573">
        <v>34.593058911452502</v>
      </c>
      <c r="N573">
        <v>0</v>
      </c>
      <c r="O573" s="1">
        <v>7.1054273576010003E-15</v>
      </c>
      <c r="P573" s="1">
        <v>0</v>
      </c>
      <c r="Q573">
        <v>2092.3115742095702</v>
      </c>
      <c r="R573">
        <v>0</v>
      </c>
      <c r="S573">
        <v>0</v>
      </c>
      <c r="T573">
        <v>1045.2703912300001</v>
      </c>
      <c r="U573">
        <v>0</v>
      </c>
      <c r="V573">
        <v>0</v>
      </c>
      <c r="W573">
        <v>350</v>
      </c>
      <c r="X573">
        <v>697.04118297957996</v>
      </c>
      <c r="Y573">
        <v>39.543457943594902</v>
      </c>
      <c r="Z573" t="s">
        <v>51</v>
      </c>
    </row>
    <row r="574" spans="1:26">
      <c r="A574" t="s">
        <v>13</v>
      </c>
      <c r="B574">
        <v>2035</v>
      </c>
      <c r="C574" t="s">
        <v>712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57.599999999999902</v>
      </c>
      <c r="L574">
        <v>1678.6258776343</v>
      </c>
      <c r="M574">
        <v>59.6339573636754</v>
      </c>
      <c r="N574">
        <v>0</v>
      </c>
      <c r="O574" s="1">
        <v>7.1054273576010003E-15</v>
      </c>
      <c r="P574" s="1">
        <v>0</v>
      </c>
      <c r="Q574">
        <v>1795.85983499797</v>
      </c>
      <c r="R574">
        <v>0</v>
      </c>
      <c r="S574">
        <v>0</v>
      </c>
      <c r="T574">
        <v>1013.88522089</v>
      </c>
      <c r="U574">
        <v>0</v>
      </c>
      <c r="V574">
        <v>0</v>
      </c>
      <c r="W574">
        <v>350</v>
      </c>
      <c r="X574">
        <v>431.97461410797803</v>
      </c>
      <c r="Y574">
        <v>39.543457943594902</v>
      </c>
      <c r="Z574" t="s">
        <v>51</v>
      </c>
    </row>
    <row r="575" spans="1:26">
      <c r="A575" t="s">
        <v>13</v>
      </c>
      <c r="B575">
        <v>2035</v>
      </c>
      <c r="C575" t="s">
        <v>713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57.599999999999902</v>
      </c>
      <c r="L575">
        <v>1217.3277046713099</v>
      </c>
      <c r="M575">
        <v>55.835688637455902</v>
      </c>
      <c r="N575">
        <v>0</v>
      </c>
      <c r="O575" s="1">
        <v>0</v>
      </c>
      <c r="P575" s="1">
        <v>0</v>
      </c>
      <c r="Q575">
        <v>1330.76339330877</v>
      </c>
      <c r="R575">
        <v>0</v>
      </c>
      <c r="S575">
        <v>0</v>
      </c>
      <c r="T575">
        <v>1040.96502506</v>
      </c>
      <c r="U575">
        <v>0</v>
      </c>
      <c r="V575">
        <v>252.08787576677599</v>
      </c>
      <c r="W575">
        <v>350</v>
      </c>
      <c r="X575">
        <v>-312.28950751799999</v>
      </c>
      <c r="Y575">
        <v>39.543457943594902</v>
      </c>
      <c r="Z575" t="s">
        <v>51</v>
      </c>
    </row>
    <row r="576" spans="1:26">
      <c r="A576" t="s">
        <v>13</v>
      </c>
      <c r="B576">
        <v>2035</v>
      </c>
      <c r="C576" t="s">
        <v>714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57.599999999999902</v>
      </c>
      <c r="L576">
        <v>0</v>
      </c>
      <c r="M576">
        <v>120.18064699499</v>
      </c>
      <c r="N576">
        <v>0</v>
      </c>
      <c r="O576">
        <v>0</v>
      </c>
      <c r="P576" s="1">
        <v>0</v>
      </c>
      <c r="Q576">
        <v>177.78064699499001</v>
      </c>
      <c r="R576">
        <v>201.77792001500899</v>
      </c>
      <c r="S576">
        <v>350</v>
      </c>
      <c r="T576">
        <v>1042.2265242999999</v>
      </c>
      <c r="U576">
        <v>0</v>
      </c>
      <c r="V576">
        <v>0</v>
      </c>
      <c r="W576">
        <v>0</v>
      </c>
      <c r="X576">
        <v>-312.66795728999898</v>
      </c>
      <c r="Y576">
        <v>142.51136703590399</v>
      </c>
      <c r="Z576" t="s">
        <v>51</v>
      </c>
    </row>
    <row r="577" spans="1:26">
      <c r="A577" t="s">
        <v>13</v>
      </c>
      <c r="B577">
        <v>2035</v>
      </c>
      <c r="C577" t="s">
        <v>715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57.599999999999902</v>
      </c>
      <c r="L577">
        <v>0</v>
      </c>
      <c r="M577">
        <v>84.062181651224194</v>
      </c>
      <c r="N577">
        <v>0</v>
      </c>
      <c r="O577">
        <v>0</v>
      </c>
      <c r="P577" s="1">
        <v>0</v>
      </c>
      <c r="Q577">
        <v>141.66218165122399</v>
      </c>
      <c r="R577">
        <v>144.33602348127499</v>
      </c>
      <c r="S577">
        <v>350</v>
      </c>
      <c r="T577">
        <v>908.56886447500005</v>
      </c>
      <c r="U577">
        <v>0</v>
      </c>
      <c r="V577">
        <v>0</v>
      </c>
      <c r="W577">
        <v>0</v>
      </c>
      <c r="X577">
        <v>-272.57065934249999</v>
      </c>
      <c r="Y577">
        <v>142.51136703590399</v>
      </c>
      <c r="Z577" t="s">
        <v>51</v>
      </c>
    </row>
    <row r="578" spans="1:26">
      <c r="A578" t="s">
        <v>13</v>
      </c>
      <c r="B578">
        <v>2035</v>
      </c>
      <c r="C578" t="s">
        <v>716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57.599999999999902</v>
      </c>
      <c r="L578">
        <v>0</v>
      </c>
      <c r="M578">
        <v>103.59982596082899</v>
      </c>
      <c r="N578">
        <v>0</v>
      </c>
      <c r="O578" s="1">
        <v>0</v>
      </c>
      <c r="P578" s="1">
        <v>0</v>
      </c>
      <c r="Q578">
        <v>161.199825960829</v>
      </c>
      <c r="R578">
        <v>141.615976781048</v>
      </c>
      <c r="S578">
        <v>194.78059660852199</v>
      </c>
      <c r="T578">
        <v>710.85199907200001</v>
      </c>
      <c r="U578">
        <v>0</v>
      </c>
      <c r="V578">
        <v>0</v>
      </c>
      <c r="W578">
        <v>0</v>
      </c>
      <c r="X578">
        <v>-213.25559972159999</v>
      </c>
      <c r="Y578">
        <v>142.51136703590399</v>
      </c>
      <c r="Z578" t="s">
        <v>51</v>
      </c>
    </row>
    <row r="588" spans="1:26">
      <c r="N588" s="1"/>
    </row>
    <row r="590" spans="1:26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L2305"/>
  <sheetViews>
    <sheetView workbookViewId="0">
      <pane xSplit="3" ySplit="2" topLeftCell="D3" activePane="bottomRight" state="frozenSplit"/>
      <selection pane="topRight" activeCell="B47" sqref="B47"/>
      <selection pane="bottomLeft" activeCell="A2" sqref="A2"/>
      <selection pane="bottomRight" activeCell="C2" sqref="C2"/>
    </sheetView>
  </sheetViews>
  <sheetFormatPr baseColWidth="10" defaultRowHeight="15" x14ac:dyDescent="0"/>
  <cols>
    <col min="3" max="3" width="15.83203125" bestFit="1" customWidth="1"/>
    <col min="26" max="26" width="10.83203125" customWidth="1"/>
  </cols>
  <sheetData>
    <row r="1" spans="1:38">
      <c r="A1">
        <f>MATCH(A2, data!$A$2:$Z$2, 0)</f>
        <v>1</v>
      </c>
      <c r="B1">
        <f>MATCH(B2, data!$A$2:$Z$2, 0)</f>
        <v>2</v>
      </c>
      <c r="C1">
        <f>MATCH(C2, data!$A$2:$Z$2, 0)</f>
        <v>3</v>
      </c>
      <c r="D1">
        <f>MATCH(D2, data!$A$2:$Z$2, 0)</f>
        <v>4</v>
      </c>
      <c r="E1">
        <f>MATCH(E2, data!$A$2:$Z$2, 0)</f>
        <v>5</v>
      </c>
      <c r="F1">
        <f>MATCH(F2, data!$A$2:$Z$2, 0)</f>
        <v>9</v>
      </c>
      <c r="G1">
        <f>MATCH(G2, data!$A$2:$Z$2, 0)</f>
        <v>8</v>
      </c>
      <c r="H1">
        <f>MATCH(H2, data!$A$2:$Z$2, 0)</f>
        <v>7</v>
      </c>
      <c r="I1">
        <f>MATCH(I2, data!$A$2:$Z$2, 0)</f>
        <v>10</v>
      </c>
      <c r="J1">
        <f>MATCH(J2, data!$A$2:$Z$2, 0)</f>
        <v>6</v>
      </c>
      <c r="K1">
        <f>MATCH(K2, data!$A$2:$Z$2, 0)</f>
        <v>12</v>
      </c>
      <c r="L1">
        <f>MATCH(L2, data!$A$2:$Z$2, 0)</f>
        <v>11</v>
      </c>
      <c r="M1">
        <f>MATCH(M2, data!$A$2:$Z$2, 0)</f>
        <v>13</v>
      </c>
      <c r="N1">
        <f>MATCH(N2, data!$A$2:$Z$2, 0)</f>
        <v>15</v>
      </c>
      <c r="O1">
        <f>MATCH(O2, data!$A$2:$Z$2, 0)</f>
        <v>14</v>
      </c>
      <c r="P1">
        <f>MATCH(P2, data!$A$2:$Z$2, 0)</f>
        <v>16</v>
      </c>
      <c r="Q1">
        <f>MATCH(Q2, data!$A$2:$Z$2, 0)</f>
        <v>17</v>
      </c>
      <c r="R1">
        <f>MATCH(R2, data!$A$2:$Z$2, 0)</f>
        <v>18</v>
      </c>
      <c r="S1">
        <f>MATCH(S2, data!$A$2:$Z$2, 0)</f>
        <v>19</v>
      </c>
      <c r="T1">
        <f>MATCH(T2, data!$A$2:$Z$2, 0)</f>
        <v>20</v>
      </c>
      <c r="U1">
        <f>MATCH(U2, data!$A$2:$Z$2, 0)</f>
        <v>21</v>
      </c>
      <c r="V1">
        <f>MATCH(V2, data!$A$2:$Z$2, 0)</f>
        <v>22</v>
      </c>
      <c r="W1">
        <f>MATCH(W2, data!$A$2:$Z$2, 0)</f>
        <v>24</v>
      </c>
      <c r="X1" t="e">
        <f>MATCH(X2, data!$A$2:$Z$2, 0)</f>
        <v>#N/A</v>
      </c>
      <c r="Y1">
        <f>MATCH(Y2, data!$A$2:$Z$2, 0)</f>
        <v>23</v>
      </c>
      <c r="Z1">
        <f>MATCH(Z2, data!$A$2:$Z$2, 0)</f>
        <v>25</v>
      </c>
      <c r="AA1">
        <f>MATCH(AA2, data!$A$2:$Z$2, 0)</f>
        <v>26</v>
      </c>
      <c r="AH1">
        <f ca="1">MAX(AH3:AH2305)</f>
        <v>350</v>
      </c>
      <c r="AI1">
        <f ca="1">MAX(AI3:AI2305)</f>
        <v>404.83335561331899</v>
      </c>
      <c r="AJ1">
        <f ca="1">MAX(AJ3:AJ2305)</f>
        <v>3407.7870157933448</v>
      </c>
      <c r="AK1">
        <f ca="1">MAX(AK3:AK2305)</f>
        <v>57.59999999999993</v>
      </c>
      <c r="AL1">
        <f ca="1">MAX(AL3:AL2305)</f>
        <v>177.50992810907701</v>
      </c>
    </row>
    <row r="2" spans="1:3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20</v>
      </c>
      <c r="X2" t="s">
        <v>19</v>
      </c>
      <c r="Y2" t="s">
        <v>22</v>
      </c>
      <c r="Z2" t="s">
        <v>12</v>
      </c>
      <c r="AA2" t="s">
        <v>45</v>
      </c>
      <c r="AB2" t="s">
        <v>15</v>
      </c>
      <c r="AC2" t="s">
        <v>25</v>
      </c>
      <c r="AD2" t="s">
        <v>27</v>
      </c>
      <c r="AE2" t="s">
        <v>28</v>
      </c>
      <c r="AF2" t="s">
        <v>29</v>
      </c>
      <c r="AG2" t="s">
        <v>23</v>
      </c>
      <c r="AH2" t="s">
        <v>38</v>
      </c>
      <c r="AI2" t="s">
        <v>39</v>
      </c>
      <c r="AJ2" t="str">
        <f>K2 &amp; " potential"</f>
        <v>SUN potential</v>
      </c>
      <c r="AK2" t="str">
        <f>L2 &amp; " potential"</f>
        <v>MSW potential</v>
      </c>
      <c r="AL2" t="str">
        <f>M2 &amp; " potential"</f>
        <v>WND potential</v>
      </c>
    </row>
    <row r="3" spans="1:38" hidden="1">
      <c r="A3" t="str">
        <f ca="1">IF(ISNA(A$1), 0, OFFSET(data!$A$1, ROW()-1, A$1-1))</f>
        <v>Oahu</v>
      </c>
      <c r="B3">
        <f ca="1">IF(ISNA(B$1), 0, OFFSET(data!$A$1, ROW()-1, B$1-1))</f>
        <v>2020</v>
      </c>
      <c r="C3" t="str">
        <f ca="1">IF(ISNA(C$1), 0, OFFSET(data!$A$1, ROW()-1, C$1-1))</f>
        <v>2020-02-01-00:00</v>
      </c>
      <c r="D3">
        <f ca="1">IF(ISNA(D$1), 0, OFFSET(data!$A$1, ROW()-1, D$1-1))</f>
        <v>175.98873458899399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248.928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85.681419336334599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746.39815392532796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528.55312327499996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217.845030650328</v>
      </c>
      <c r="X3">
        <f ca="1">IF(ISNA(X$1), 0, OFFSET(data!$A$1, ROW()-1, X$1-1))</f>
        <v>0</v>
      </c>
      <c r="Y3">
        <f ca="1">IF(ISNA(Y$1), 0, OFFSET(data!$A$1, ROW()-1, Y$1-1))</f>
        <v>0</v>
      </c>
      <c r="Z3">
        <f ca="1">IF(ISNA(Z$1), 0, OFFSET(data!$A$1, ROW()-1, Z$1-1))</f>
        <v>166.91962553905</v>
      </c>
      <c r="AA3" t="str">
        <f ca="1">IF(ISNA(AA$1), #N/A, OFFSET(data!$A$1, ROW()-1, AA$1-1))</f>
        <v>typical</v>
      </c>
      <c r="AB3">
        <f t="shared" ref="AB3:AB66" ca="1" si="0">VALUE(LEFT(C3, 4))</f>
        <v>2020</v>
      </c>
      <c r="AC3">
        <f t="shared" ref="AC3:AC66" ca="1" si="1">VALUE(MID(C3, 6, 2))</f>
        <v>2</v>
      </c>
      <c r="AD3" t="str">
        <f t="shared" ref="AD3:AD66" ca="1" si="2">SUBSTITUTE(MID(C3,6,6)&amp;LEFT(C3,4), "-", "/")</f>
        <v>02/01/2020</v>
      </c>
      <c r="AE3" t="str">
        <f t="shared" ref="AE3:AE66" ca="1" si="3">IF(RIGHT(C3, 5)="12:00", AD3, "")</f>
        <v/>
      </c>
      <c r="AF3" s="6">
        <f t="shared" ref="AF3:AF66" ca="1" si="4">Z3/1000</f>
        <v>0.16691962553905001</v>
      </c>
      <c r="AG3">
        <f t="shared" ref="AG3:AG66" ca="1" si="5">T3+W3</f>
        <v>746.39815392532796</v>
      </c>
      <c r="AH3">
        <f ca="1">MAX(S3,Y3)</f>
        <v>0</v>
      </c>
      <c r="AI3">
        <f ca="1">MAX(R3,V3)</f>
        <v>0</v>
      </c>
      <c r="AJ3">
        <f ca="1">K3+N3</f>
        <v>0</v>
      </c>
      <c r="AK3">
        <f t="shared" ref="AK3" ca="1" si="6">L3+O3</f>
        <v>57.599999999999902</v>
      </c>
      <c r="AL3">
        <f t="shared" ref="AL3" ca="1" si="7">M3+P3</f>
        <v>85.681419336334599</v>
      </c>
    </row>
    <row r="4" spans="1:38" hidden="1">
      <c r="A4" t="str">
        <f ca="1">IF(ISNA(A$1), 0, OFFSET(data!$A$1, ROW()-1, A$1-1))</f>
        <v>Oahu</v>
      </c>
      <c r="B4">
        <f ca="1">IF(ISNA(B$1), 0, OFFSET(data!$A$1, ROW()-1, B$1-1))</f>
        <v>2020</v>
      </c>
      <c r="C4" t="str">
        <f ca="1">IF(ISNA(C$1), 0, OFFSET(data!$A$1, ROW()-1, C$1-1))</f>
        <v>2020-02-01-02:00</v>
      </c>
      <c r="D4">
        <f ca="1">IF(ISNA(D$1), 0, OFFSET(data!$A$1, ROW()-1, D$1-1))</f>
        <v>175.98873458899399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248.928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63.957751238610903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724.67448582760505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464.98761069300002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259.68687513460497</v>
      </c>
      <c r="X4">
        <f ca="1">IF(ISNA(X$1), 0, OFFSET(data!$A$1, ROW()-1, X$1-1))</f>
        <v>0</v>
      </c>
      <c r="Y4">
        <f ca="1">IF(ISNA(Y$1), 0, OFFSET(data!$A$1, ROW()-1, Y$1-1))</f>
        <v>0</v>
      </c>
      <c r="Z4">
        <f ca="1">IF(ISNA(Z$1), 0, OFFSET(data!$A$1, ROW()-1, Z$1-1))</f>
        <v>166.91962553905</v>
      </c>
      <c r="AA4" t="str">
        <f ca="1">IF(ISNA(AA$1), #N/A, OFFSET(data!$A$1, ROW()-1, AA$1-1))</f>
        <v>typical</v>
      </c>
      <c r="AB4">
        <f t="shared" ca="1" si="0"/>
        <v>2020</v>
      </c>
      <c r="AC4">
        <f t="shared" ca="1" si="1"/>
        <v>2</v>
      </c>
      <c r="AD4" t="str">
        <f t="shared" ca="1" si="2"/>
        <v>02/01/2020</v>
      </c>
      <c r="AE4" t="str">
        <f t="shared" ca="1" si="3"/>
        <v/>
      </c>
      <c r="AF4" s="6">
        <f t="shared" ca="1" si="4"/>
        <v>0.16691962553905001</v>
      </c>
      <c r="AG4">
        <f t="shared" ca="1" si="5"/>
        <v>724.67448582760494</v>
      </c>
      <c r="AH4">
        <f t="shared" ref="AH4:AH67" ca="1" si="8">MAX(S4,Y4)</f>
        <v>0</v>
      </c>
      <c r="AI4">
        <f t="shared" ref="AI4:AI67" ca="1" si="9">MAX(R4,V4)</f>
        <v>0</v>
      </c>
      <c r="AJ4">
        <f t="shared" ref="AJ4:AJ67" ca="1" si="10">K4+N4</f>
        <v>0</v>
      </c>
      <c r="AK4">
        <f t="shared" ref="AK4:AK67" ca="1" si="11">L4+O4</f>
        <v>57.599999999999902</v>
      </c>
      <c r="AL4">
        <f t="shared" ref="AL4:AL67" ca="1" si="12">M4+P4</f>
        <v>63.957751238610903</v>
      </c>
    </row>
    <row r="5" spans="1:38" hidden="1">
      <c r="A5" t="str">
        <f ca="1">IF(ISNA(A$1), 0, OFFSET(data!$A$1, ROW()-1, A$1-1))</f>
        <v>Oahu</v>
      </c>
      <c r="B5">
        <f ca="1">IF(ISNA(B$1), 0, OFFSET(data!$A$1, ROW()-1, B$1-1))</f>
        <v>2020</v>
      </c>
      <c r="C5" t="str">
        <f ca="1">IF(ISNA(C$1), 0, OFFSET(data!$A$1, ROW()-1, C$1-1))</f>
        <v>2020-02-01-04:00</v>
      </c>
      <c r="D5">
        <f ca="1">IF(ISNA(D$1), 0, OFFSET(data!$A$1, ROW()-1, D$1-1))</f>
        <v>175.98873458899399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248.928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79.571905855999304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740.28864044499301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562.89297263599997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177.39566780899301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166.91962553905</v>
      </c>
      <c r="AA5" t="str">
        <f ca="1">IF(ISNA(AA$1), #N/A, OFFSET(data!$A$1, ROW()-1, AA$1-1))</f>
        <v>typical</v>
      </c>
      <c r="AB5">
        <f t="shared" ca="1" si="0"/>
        <v>2020</v>
      </c>
      <c r="AC5">
        <f t="shared" ca="1" si="1"/>
        <v>2</v>
      </c>
      <c r="AD5" t="str">
        <f t="shared" ca="1" si="2"/>
        <v>02/01/2020</v>
      </c>
      <c r="AE5" t="str">
        <f t="shared" ca="1" si="3"/>
        <v/>
      </c>
      <c r="AF5" s="6">
        <f t="shared" ca="1" si="4"/>
        <v>0.16691962553905001</v>
      </c>
      <c r="AG5">
        <f t="shared" ca="1" si="5"/>
        <v>740.28864044499301</v>
      </c>
      <c r="AH5">
        <f t="shared" ca="1" si="8"/>
        <v>0</v>
      </c>
      <c r="AI5">
        <f t="shared" ca="1" si="9"/>
        <v>0</v>
      </c>
      <c r="AJ5">
        <f t="shared" ca="1" si="10"/>
        <v>0</v>
      </c>
      <c r="AK5">
        <f t="shared" ca="1" si="11"/>
        <v>57.599999999999902</v>
      </c>
      <c r="AL5">
        <f t="shared" ca="1" si="12"/>
        <v>79.571905855999304</v>
      </c>
    </row>
    <row r="6" spans="1:38" hidden="1">
      <c r="A6" t="str">
        <f ca="1">IF(ISNA(A$1), 0, OFFSET(data!$A$1, ROW()-1, A$1-1))</f>
        <v>Oahu</v>
      </c>
      <c r="B6">
        <f ca="1">IF(ISNA(B$1), 0, OFFSET(data!$A$1, ROW()-1, B$1-1))</f>
        <v>2020</v>
      </c>
      <c r="C6" t="str">
        <f ca="1">IF(ISNA(C$1), 0, OFFSET(data!$A$1, ROW()-1, C$1-1))</f>
        <v>2020-02-01-06:00</v>
      </c>
      <c r="D6">
        <f ca="1">IF(ISNA(D$1), 0, OFFSET(data!$A$1, ROW()-1, D$1-1))</f>
        <v>175.98873458899399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248.928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37.7950212027784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698.51175579177198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899.07387908099997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-200.562123289227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166.91962553905</v>
      </c>
      <c r="AA6" t="str">
        <f ca="1">IF(ISNA(AA$1), #N/A, OFFSET(data!$A$1, ROW()-1, AA$1-1))</f>
        <v>typical</v>
      </c>
      <c r="AB6">
        <f t="shared" ca="1" si="0"/>
        <v>2020</v>
      </c>
      <c r="AC6">
        <f t="shared" ca="1" si="1"/>
        <v>2</v>
      </c>
      <c r="AD6" t="str">
        <f t="shared" ca="1" si="2"/>
        <v>02/01/2020</v>
      </c>
      <c r="AE6" t="str">
        <f t="shared" ca="1" si="3"/>
        <v/>
      </c>
      <c r="AF6" s="6">
        <f t="shared" ca="1" si="4"/>
        <v>0.16691962553905001</v>
      </c>
      <c r="AG6">
        <f t="shared" ca="1" si="5"/>
        <v>698.511755791773</v>
      </c>
      <c r="AH6">
        <f t="shared" ca="1" si="8"/>
        <v>0</v>
      </c>
      <c r="AI6">
        <f t="shared" ca="1" si="9"/>
        <v>0</v>
      </c>
      <c r="AJ6">
        <f t="shared" ca="1" si="10"/>
        <v>0</v>
      </c>
      <c r="AK6">
        <f t="shared" ca="1" si="11"/>
        <v>57.599999999999902</v>
      </c>
      <c r="AL6">
        <f t="shared" ca="1" si="12"/>
        <v>37.7950212027784</v>
      </c>
    </row>
    <row r="7" spans="1:38" hidden="1">
      <c r="A7" t="str">
        <f ca="1">IF(ISNA(A$1), 0, OFFSET(data!$A$1, ROW()-1, A$1-1))</f>
        <v>Oahu</v>
      </c>
      <c r="B7">
        <f ca="1">IF(ISNA(B$1), 0, OFFSET(data!$A$1, ROW()-1, B$1-1))</f>
        <v>2020</v>
      </c>
      <c r="C7" t="str">
        <f ca="1">IF(ISNA(C$1), 0, OFFSET(data!$A$1, ROW()-1, C$1-1))</f>
        <v>2020-02-01-08:00</v>
      </c>
      <c r="D7">
        <f ca="1">IF(ISNA(D$1), 0, OFFSET(data!$A$1, ROW()-1, D$1-1))</f>
        <v>175.98873458899399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281.16844001996901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183.597669882188</v>
      </c>
      <c r="L7">
        <f ca="1">IF(ISNA(L$1), 0, OFFSET(data!$A$1, ROW()-1, L$1-1))</f>
        <v>57.599999999999902</v>
      </c>
      <c r="M7">
        <f ca="1">IF(ISNA(M$1), 0, OFFSET(data!$A$1, ROW()-1, M$1-1))</f>
        <v>67.777842778620098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944.33268726977201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1002.54045906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-58.207771790227099</v>
      </c>
      <c r="X7">
        <f ca="1">IF(ISNA(X$1), 0, OFFSET(data!$A$1, ROW()-1, X$1-1))</f>
        <v>0</v>
      </c>
      <c r="Y7">
        <f ca="1">IF(ISNA(Y$1), 0, OFFSET(data!$A$1, ROW()-1, Y$1-1))</f>
        <v>0</v>
      </c>
      <c r="Z7">
        <f ca="1">IF(ISNA(Z$1), 0, OFFSET(data!$A$1, ROW()-1, Z$1-1))</f>
        <v>166.91962553905</v>
      </c>
      <c r="AA7" t="str">
        <f ca="1">IF(ISNA(AA$1), #N/A, OFFSET(data!$A$1, ROW()-1, AA$1-1))</f>
        <v>typical</v>
      </c>
      <c r="AB7">
        <f t="shared" ca="1" si="0"/>
        <v>2020</v>
      </c>
      <c r="AC7">
        <f t="shared" ca="1" si="1"/>
        <v>2</v>
      </c>
      <c r="AD7" t="str">
        <f t="shared" ca="1" si="2"/>
        <v>02/01/2020</v>
      </c>
      <c r="AE7" t="str">
        <f t="shared" ca="1" si="3"/>
        <v/>
      </c>
      <c r="AF7" s="6">
        <f t="shared" ca="1" si="4"/>
        <v>0.16691962553905001</v>
      </c>
      <c r="AG7">
        <f t="shared" ca="1" si="5"/>
        <v>944.33268726977292</v>
      </c>
      <c r="AH7">
        <f t="shared" ca="1" si="8"/>
        <v>0</v>
      </c>
      <c r="AI7">
        <f t="shared" ca="1" si="9"/>
        <v>0</v>
      </c>
      <c r="AJ7">
        <f t="shared" ca="1" si="10"/>
        <v>183.597669882188</v>
      </c>
      <c r="AK7">
        <f t="shared" ca="1" si="11"/>
        <v>57.599999999999902</v>
      </c>
      <c r="AL7">
        <f t="shared" ca="1" si="12"/>
        <v>67.777842778620098</v>
      </c>
    </row>
    <row r="8" spans="1:38" hidden="1">
      <c r="A8" t="str">
        <f ca="1">IF(ISNA(A$1), 0, OFFSET(data!$A$1, ROW()-1, A$1-1))</f>
        <v>Oahu</v>
      </c>
      <c r="B8">
        <f ca="1">IF(ISNA(B$1), 0, OFFSET(data!$A$1, ROW()-1, B$1-1))</f>
        <v>2020</v>
      </c>
      <c r="C8" t="str">
        <f ca="1">IF(ISNA(C$1), 0, OFFSET(data!$A$1, ROW()-1, C$1-1))</f>
        <v>2020-02-01-10:00</v>
      </c>
      <c r="D8">
        <f ca="1">IF(ISNA(D$1), 0, OFFSET(data!$A$1, ROW()-1, D$1-1))</f>
        <v>175.98873458899399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248.928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398.78004491396598</v>
      </c>
      <c r="L8">
        <f ca="1">IF(ISNA(L$1), 0, OFFSET(data!$A$1, ROW()-1, L$1-1))</f>
        <v>57.599999999999902</v>
      </c>
      <c r="M8">
        <f ca="1">IF(ISNA(M$1), 0, OFFSET(data!$A$1, ROW()-1, M$1-1))</f>
        <v>18.879540716428501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1078.37632021938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1064.1602474599999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14.216072759388901</v>
      </c>
      <c r="X8">
        <f ca="1">IF(ISNA(X$1), 0, OFFSET(data!$A$1, ROW()-1, X$1-1))</f>
        <v>0</v>
      </c>
      <c r="Y8">
        <f ca="1">IF(ISNA(Y$1), 0, OFFSET(data!$A$1, ROW()-1, Y$1-1))</f>
        <v>0</v>
      </c>
      <c r="Z8">
        <f ca="1">IF(ISNA(Z$1), 0, OFFSET(data!$A$1, ROW()-1, Z$1-1))</f>
        <v>166.91962553905</v>
      </c>
      <c r="AA8" t="str">
        <f ca="1">IF(ISNA(AA$1), #N/A, OFFSET(data!$A$1, ROW()-1, AA$1-1))</f>
        <v>typical</v>
      </c>
      <c r="AB8">
        <f t="shared" ca="1" si="0"/>
        <v>2020</v>
      </c>
      <c r="AC8">
        <f t="shared" ca="1" si="1"/>
        <v>2</v>
      </c>
      <c r="AD8" t="str">
        <f t="shared" ca="1" si="2"/>
        <v>02/01/2020</v>
      </c>
      <c r="AE8" t="str">
        <f t="shared" ca="1" si="3"/>
        <v/>
      </c>
      <c r="AF8" s="6">
        <f t="shared" ca="1" si="4"/>
        <v>0.16691962553905001</v>
      </c>
      <c r="AG8">
        <f t="shared" ca="1" si="5"/>
        <v>1078.3763202193888</v>
      </c>
      <c r="AH8">
        <f t="shared" ca="1" si="8"/>
        <v>0</v>
      </c>
      <c r="AI8">
        <f t="shared" ca="1" si="9"/>
        <v>0</v>
      </c>
      <c r="AJ8">
        <f t="shared" ca="1" si="10"/>
        <v>398.78004491396598</v>
      </c>
      <c r="AK8">
        <f t="shared" ca="1" si="11"/>
        <v>57.599999999999902</v>
      </c>
      <c r="AL8">
        <f t="shared" ca="1" si="12"/>
        <v>18.879540716428501</v>
      </c>
    </row>
    <row r="9" spans="1:38" hidden="1">
      <c r="A9" t="str">
        <f ca="1">IF(ISNA(A$1), 0, OFFSET(data!$A$1, ROW()-1, A$1-1))</f>
        <v>Oahu</v>
      </c>
      <c r="B9">
        <f ca="1">IF(ISNA(B$1), 0, OFFSET(data!$A$1, ROW()-1, B$1-1))</f>
        <v>2020</v>
      </c>
      <c r="C9" t="str">
        <f ca="1">IF(ISNA(C$1), 0, OFFSET(data!$A$1, ROW()-1, C$1-1))</f>
        <v>2020-02-01-12:00</v>
      </c>
      <c r="D9">
        <f ca="1">IF(ISNA(D$1), 0, OFFSET(data!$A$1, ROW()-1, D$1-1))</f>
        <v>175.98873458899399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248.928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446.472059154014</v>
      </c>
      <c r="L9">
        <f ca="1">IF(ISNA(L$1), 0, OFFSET(data!$A$1, ROW()-1, L$1-1))</f>
        <v>57.599999999999902</v>
      </c>
      <c r="M9">
        <f ca="1">IF(ISNA(M$1), 0, OFFSET(data!$A$1, ROW()-1, M$1-1))</f>
        <v>21.4407061020936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1128.6294998451001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1072.40341616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56.226083685102601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166.91962553905</v>
      </c>
      <c r="AA9" t="str">
        <f ca="1">IF(ISNA(AA$1), #N/A, OFFSET(data!$A$1, ROW()-1, AA$1-1))</f>
        <v>typical</v>
      </c>
      <c r="AB9">
        <f t="shared" ca="1" si="0"/>
        <v>2020</v>
      </c>
      <c r="AC9">
        <f t="shared" ca="1" si="1"/>
        <v>2</v>
      </c>
      <c r="AD9" t="str">
        <f t="shared" ca="1" si="2"/>
        <v>02/01/2020</v>
      </c>
      <c r="AE9" t="str">
        <f t="shared" ca="1" si="3"/>
        <v>02/01/2020</v>
      </c>
      <c r="AF9" s="6">
        <f t="shared" ca="1" si="4"/>
        <v>0.16691962553905001</v>
      </c>
      <c r="AG9">
        <f t="shared" ca="1" si="5"/>
        <v>1128.6294998451026</v>
      </c>
      <c r="AH9">
        <f t="shared" ca="1" si="8"/>
        <v>0</v>
      </c>
      <c r="AI9">
        <f t="shared" ca="1" si="9"/>
        <v>0</v>
      </c>
      <c r="AJ9">
        <f t="shared" ca="1" si="10"/>
        <v>446.472059154014</v>
      </c>
      <c r="AK9">
        <f t="shared" ca="1" si="11"/>
        <v>57.599999999999902</v>
      </c>
      <c r="AL9">
        <f t="shared" ca="1" si="12"/>
        <v>21.4407061020936</v>
      </c>
    </row>
    <row r="10" spans="1:38" hidden="1">
      <c r="A10" t="str">
        <f ca="1">IF(ISNA(A$1), 0, OFFSET(data!$A$1, ROW()-1, A$1-1))</f>
        <v>Oahu</v>
      </c>
      <c r="B10">
        <f ca="1">IF(ISNA(B$1), 0, OFFSET(data!$A$1, ROW()-1, B$1-1))</f>
        <v>2020</v>
      </c>
      <c r="C10" t="str">
        <f ca="1">IF(ISNA(C$1), 0, OFFSET(data!$A$1, ROW()-1, C$1-1))</f>
        <v>2020-02-01-14:00</v>
      </c>
      <c r="D10">
        <f ca="1">IF(ISNA(D$1), 0, OFFSET(data!$A$1, ROW()-1, D$1-1))</f>
        <v>175.98873458899399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248.928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457.50121357367902</v>
      </c>
      <c r="L10">
        <f ca="1">IF(ISNA(L$1), 0, OFFSET(data!$A$1, ROW()-1, L$1-1))</f>
        <v>57.599999999999902</v>
      </c>
      <c r="M10">
        <f ca="1">IF(ISNA(M$1), 0, OFFSET(data!$A$1, ROW()-1, M$1-1))</f>
        <v>23.7763751000534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1141.9943232627199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1029.93867578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112.055647482727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166.91962553905</v>
      </c>
      <c r="AA10" t="str">
        <f ca="1">IF(ISNA(AA$1), #N/A, OFFSET(data!$A$1, ROW()-1, AA$1-1))</f>
        <v>typical</v>
      </c>
      <c r="AB10">
        <f t="shared" ca="1" si="0"/>
        <v>2020</v>
      </c>
      <c r="AC10">
        <f t="shared" ca="1" si="1"/>
        <v>2</v>
      </c>
      <c r="AD10" t="str">
        <f t="shared" ca="1" si="2"/>
        <v>02/01/2020</v>
      </c>
      <c r="AE10" t="str">
        <f t="shared" ca="1" si="3"/>
        <v/>
      </c>
      <c r="AF10" s="6">
        <f t="shared" ca="1" si="4"/>
        <v>0.16691962553905001</v>
      </c>
      <c r="AG10">
        <f t="shared" ca="1" si="5"/>
        <v>1141.994323262727</v>
      </c>
      <c r="AH10">
        <f t="shared" ca="1" si="8"/>
        <v>0</v>
      </c>
      <c r="AI10">
        <f t="shared" ca="1" si="9"/>
        <v>0</v>
      </c>
      <c r="AJ10">
        <f t="shared" ca="1" si="10"/>
        <v>457.50121357367902</v>
      </c>
      <c r="AK10">
        <f t="shared" ca="1" si="11"/>
        <v>57.599999999999902</v>
      </c>
      <c r="AL10">
        <f t="shared" ca="1" si="12"/>
        <v>23.7763751000534</v>
      </c>
    </row>
    <row r="11" spans="1:38" hidden="1">
      <c r="A11" t="str">
        <f ca="1">IF(ISNA(A$1), 0, OFFSET(data!$A$1, ROW()-1, A$1-1))</f>
        <v>Oahu</v>
      </c>
      <c r="B11">
        <f ca="1">IF(ISNA(B$1), 0, OFFSET(data!$A$1, ROW()-1, B$1-1))</f>
        <v>2020</v>
      </c>
      <c r="C11" t="str">
        <f ca="1">IF(ISNA(C$1), 0, OFFSET(data!$A$1, ROW()-1, C$1-1))</f>
        <v>2020-02-01-16:00</v>
      </c>
      <c r="D11">
        <f ca="1">IF(ISNA(D$1), 0, OFFSET(data!$A$1, ROW()-1, D$1-1))</f>
        <v>175.98873458899399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248.928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258.27692453030397</v>
      </c>
      <c r="L11">
        <f ca="1">IF(ISNA(L$1), 0, OFFSET(data!$A$1, ROW()-1, L$1-1))</f>
        <v>57.599999999999902</v>
      </c>
      <c r="M11">
        <f ca="1">IF(ISNA(M$1), 0, OFFSET(data!$A$1, ROW()-1, M$1-1))</f>
        <v>14.9714979591584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933.96515707845697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988.94654883999999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-54.981391761542703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166.91962553905</v>
      </c>
      <c r="AA11" t="str">
        <f ca="1">IF(ISNA(AA$1), #N/A, OFFSET(data!$A$1, ROW()-1, AA$1-1))</f>
        <v>typical</v>
      </c>
      <c r="AB11">
        <f t="shared" ca="1" si="0"/>
        <v>2020</v>
      </c>
      <c r="AC11">
        <f t="shared" ca="1" si="1"/>
        <v>2</v>
      </c>
      <c r="AD11" t="str">
        <f t="shared" ca="1" si="2"/>
        <v>02/01/2020</v>
      </c>
      <c r="AE11" t="str">
        <f t="shared" ca="1" si="3"/>
        <v/>
      </c>
      <c r="AF11" s="6">
        <f t="shared" ca="1" si="4"/>
        <v>0.16691962553905001</v>
      </c>
      <c r="AG11">
        <f t="shared" ca="1" si="5"/>
        <v>933.96515707845731</v>
      </c>
      <c r="AH11">
        <f t="shared" ca="1" si="8"/>
        <v>0</v>
      </c>
      <c r="AI11">
        <f t="shared" ca="1" si="9"/>
        <v>0</v>
      </c>
      <c r="AJ11">
        <f t="shared" ca="1" si="10"/>
        <v>258.27692453030397</v>
      </c>
      <c r="AK11">
        <f t="shared" ca="1" si="11"/>
        <v>57.599999999999902</v>
      </c>
      <c r="AL11">
        <f t="shared" ca="1" si="12"/>
        <v>14.9714979591584</v>
      </c>
    </row>
    <row r="12" spans="1:38" hidden="1">
      <c r="A12" t="str">
        <f ca="1">IF(ISNA(A$1), 0, OFFSET(data!$A$1, ROW()-1, A$1-1))</f>
        <v>Oahu</v>
      </c>
      <c r="B12">
        <f ca="1">IF(ISNA(B$1), 0, OFFSET(data!$A$1, ROW()-1, B$1-1))</f>
        <v>2020</v>
      </c>
      <c r="C12" t="str">
        <f ca="1">IF(ISNA(C$1), 0, OFFSET(data!$A$1, ROW()-1, C$1-1))</f>
        <v>2020-02-01-18:00</v>
      </c>
      <c r="D12">
        <f ca="1">IF(ISNA(D$1), 0, OFFSET(data!$A$1, ROW()-1, D$1-1))</f>
        <v>175.98873458899399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321.719814856857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0.51052482655132903</v>
      </c>
      <c r="L12">
        <f ca="1">IF(ISNA(L$1), 0, OFFSET(data!$A$1, ROW()-1, L$1-1))</f>
        <v>57.599999999999902</v>
      </c>
      <c r="M12">
        <f ca="1">IF(ISNA(M$1), 0, OFFSET(data!$A$1, ROW()-1, M$1-1))</f>
        <v>4.24865305059694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738.26772732299901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1054.6681818899999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-316.40045456699897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166.91962553905</v>
      </c>
      <c r="AA12" t="str">
        <f ca="1">IF(ISNA(AA$1), #N/A, OFFSET(data!$A$1, ROW()-1, AA$1-1))</f>
        <v>typical</v>
      </c>
      <c r="AB12">
        <f t="shared" ca="1" si="0"/>
        <v>2020</v>
      </c>
      <c r="AC12">
        <f t="shared" ca="1" si="1"/>
        <v>2</v>
      </c>
      <c r="AD12" t="str">
        <f t="shared" ca="1" si="2"/>
        <v>02/01/2020</v>
      </c>
      <c r="AE12" t="str">
        <f t="shared" ca="1" si="3"/>
        <v/>
      </c>
      <c r="AF12" s="6">
        <f t="shared" ca="1" si="4"/>
        <v>0.16691962553905001</v>
      </c>
      <c r="AG12">
        <f t="shared" ca="1" si="5"/>
        <v>738.26772732300094</v>
      </c>
      <c r="AH12">
        <f t="shared" ca="1" si="8"/>
        <v>0</v>
      </c>
      <c r="AI12">
        <f t="shared" ca="1" si="9"/>
        <v>0</v>
      </c>
      <c r="AJ12">
        <f t="shared" ca="1" si="10"/>
        <v>0.51052482655132903</v>
      </c>
      <c r="AK12">
        <f t="shared" ca="1" si="11"/>
        <v>57.599999999999902</v>
      </c>
      <c r="AL12">
        <f t="shared" ca="1" si="12"/>
        <v>4.24865305059694</v>
      </c>
    </row>
    <row r="13" spans="1:38" hidden="1">
      <c r="A13" t="str">
        <f ca="1">IF(ISNA(A$1), 0, OFFSET(data!$A$1, ROW()-1, A$1-1))</f>
        <v>Oahu</v>
      </c>
      <c r="B13">
        <f ca="1">IF(ISNA(B$1), 0, OFFSET(data!$A$1, ROW()-1, B$1-1))</f>
        <v>2020</v>
      </c>
      <c r="C13" t="str">
        <f ca="1">IF(ISNA(C$1), 0, OFFSET(data!$A$1, ROW()-1, C$1-1))</f>
        <v>2020-02-01-20:00</v>
      </c>
      <c r="D13">
        <f ca="1">IF(ISNA(D$1), 0, OFFSET(data!$A$1, ROW()-1, D$1-1))</f>
        <v>175.98873458899399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248.928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12.0562839739314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672.77301856292502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907.96123591200001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-235.18821734907399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166.91962553905</v>
      </c>
      <c r="AA13" t="str">
        <f ca="1">IF(ISNA(AA$1), #N/A, OFFSET(data!$A$1, ROW()-1, AA$1-1))</f>
        <v>typical</v>
      </c>
      <c r="AB13">
        <f t="shared" ca="1" si="0"/>
        <v>2020</v>
      </c>
      <c r="AC13">
        <f t="shared" ca="1" si="1"/>
        <v>2</v>
      </c>
      <c r="AD13" t="str">
        <f t="shared" ca="1" si="2"/>
        <v>02/01/2020</v>
      </c>
      <c r="AE13" t="str">
        <f t="shared" ca="1" si="3"/>
        <v/>
      </c>
      <c r="AF13" s="6">
        <f t="shared" ca="1" si="4"/>
        <v>0.16691962553905001</v>
      </c>
      <c r="AG13">
        <f t="shared" ca="1" si="5"/>
        <v>672.77301856292604</v>
      </c>
      <c r="AH13">
        <f t="shared" ca="1" si="8"/>
        <v>0</v>
      </c>
      <c r="AI13">
        <f t="shared" ca="1" si="9"/>
        <v>0</v>
      </c>
      <c r="AJ13">
        <f t="shared" ca="1" si="10"/>
        <v>0</v>
      </c>
      <c r="AK13">
        <f t="shared" ca="1" si="11"/>
        <v>57.599999999999902</v>
      </c>
      <c r="AL13">
        <f t="shared" ca="1" si="12"/>
        <v>12.0562839739314</v>
      </c>
    </row>
    <row r="14" spans="1:38" hidden="1">
      <c r="A14" t="str">
        <f ca="1">IF(ISNA(A$1), 0, OFFSET(data!$A$1, ROW()-1, A$1-1))</f>
        <v>Oahu</v>
      </c>
      <c r="B14">
        <f ca="1">IF(ISNA(B$1), 0, OFFSET(data!$A$1, ROW()-1, B$1-1))</f>
        <v>2020</v>
      </c>
      <c r="C14" t="str">
        <f ca="1">IF(ISNA(C$1), 0, OFFSET(data!$A$1, ROW()-1, C$1-1))</f>
        <v>2020-02-01-22:00</v>
      </c>
      <c r="D14">
        <f ca="1">IF(ISNA(D$1), 0, OFFSET(data!$A$1, ROW()-1, D$1-1))</f>
        <v>175.98873458899399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248.928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20.331562155930101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681.04829674492396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653.13371550900001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27.914581235924299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166.91962553905</v>
      </c>
      <c r="AA14" t="str">
        <f ca="1">IF(ISNA(AA$1), #N/A, OFFSET(data!$A$1, ROW()-1, AA$1-1))</f>
        <v>typical</v>
      </c>
      <c r="AB14">
        <f t="shared" ca="1" si="0"/>
        <v>2020</v>
      </c>
      <c r="AC14">
        <f t="shared" ca="1" si="1"/>
        <v>2</v>
      </c>
      <c r="AD14" t="str">
        <f t="shared" ca="1" si="2"/>
        <v>02/01/2020</v>
      </c>
      <c r="AE14" t="str">
        <f t="shared" ca="1" si="3"/>
        <v/>
      </c>
      <c r="AF14" s="6">
        <f t="shared" ca="1" si="4"/>
        <v>0.16691962553905001</v>
      </c>
      <c r="AG14">
        <f t="shared" ca="1" si="5"/>
        <v>681.0482967449243</v>
      </c>
      <c r="AH14">
        <f t="shared" ca="1" si="8"/>
        <v>0</v>
      </c>
      <c r="AI14">
        <f t="shared" ca="1" si="9"/>
        <v>0</v>
      </c>
      <c r="AJ14">
        <f t="shared" ca="1" si="10"/>
        <v>0</v>
      </c>
      <c r="AK14">
        <f t="shared" ca="1" si="11"/>
        <v>57.599999999999902</v>
      </c>
      <c r="AL14">
        <f t="shared" ca="1" si="12"/>
        <v>20.331562155930101</v>
      </c>
    </row>
    <row r="15" spans="1:38" hidden="1">
      <c r="A15" t="str">
        <f ca="1">IF(ISNA(A$1), 0, OFFSET(data!$A$1, ROW()-1, A$1-1))</f>
        <v>Oahu</v>
      </c>
      <c r="B15">
        <f ca="1">IF(ISNA(B$1), 0, OFFSET(data!$A$1, ROW()-1, B$1-1))</f>
        <v>2020</v>
      </c>
      <c r="C15" t="str">
        <f ca="1">IF(ISNA(C$1), 0, OFFSET(data!$A$1, ROW()-1, C$1-1))</f>
        <v>2020-02-06-00:00</v>
      </c>
      <c r="D15">
        <f ca="1">IF(ISNA(D$1), 0, OFFSET(data!$A$1, ROW()-1, D$1-1))</f>
        <v>175.98873458899399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49.823999999999998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151.08673731580001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612.699471904794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503.91734458500002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108.782127319794</v>
      </c>
      <c r="X15">
        <f ca="1">IF(ISNA(X$1), 0, OFFSET(data!$A$1, ROW()-1, X$1-1))</f>
        <v>0</v>
      </c>
      <c r="Y15">
        <f ca="1">IF(ISNA(Y$1), 0, OFFSET(data!$A$1, ROW()-1, Y$1-1))</f>
        <v>0</v>
      </c>
      <c r="Z15">
        <f ca="1">IF(ISNA(Z$1), 0, OFFSET(data!$A$1, ROW()-1, Z$1-1))</f>
        <v>164.09091933344499</v>
      </c>
      <c r="AA15" t="str">
        <f ca="1">IF(ISNA(AA$1), #N/A, OFFSET(data!$A$1, ROW()-1, AA$1-1))</f>
        <v>peak</v>
      </c>
      <c r="AB15">
        <f t="shared" ca="1" si="0"/>
        <v>2020</v>
      </c>
      <c r="AC15">
        <f t="shared" ca="1" si="1"/>
        <v>2</v>
      </c>
      <c r="AD15" t="str">
        <f t="shared" ca="1" si="2"/>
        <v>02/06/2020</v>
      </c>
      <c r="AE15" t="str">
        <f t="shared" ca="1" si="3"/>
        <v/>
      </c>
      <c r="AF15" s="6">
        <f t="shared" ca="1" si="4"/>
        <v>0.164090919333445</v>
      </c>
      <c r="AG15">
        <f t="shared" ca="1" si="5"/>
        <v>612.699471904794</v>
      </c>
      <c r="AH15">
        <f t="shared" ca="1" si="8"/>
        <v>0</v>
      </c>
      <c r="AI15">
        <f t="shared" ca="1" si="9"/>
        <v>0</v>
      </c>
      <c r="AJ15">
        <f t="shared" ca="1" si="10"/>
        <v>0</v>
      </c>
      <c r="AK15">
        <f t="shared" ca="1" si="11"/>
        <v>57.599999999999902</v>
      </c>
      <c r="AL15">
        <f t="shared" ca="1" si="12"/>
        <v>151.08673731580001</v>
      </c>
    </row>
    <row r="16" spans="1:38" hidden="1">
      <c r="A16" t="str">
        <f ca="1">IF(ISNA(A$1), 0, OFFSET(data!$A$1, ROW()-1, A$1-1))</f>
        <v>Oahu</v>
      </c>
      <c r="B16">
        <f ca="1">IF(ISNA(B$1), 0, OFFSET(data!$A$1, ROW()-1, B$1-1))</f>
        <v>2020</v>
      </c>
      <c r="C16" t="str">
        <f ca="1">IF(ISNA(C$1), 0, OFFSET(data!$A$1, ROW()-1, C$1-1))</f>
        <v>2020-02-06-02:00</v>
      </c>
      <c r="D16">
        <f ca="1">IF(ISNA(D$1), 0, OFFSET(data!$A$1, ROW()-1, D$1-1))</f>
        <v>175.98873458899399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146.094540341146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557.88327493014003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450.391290486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107.49198444414</v>
      </c>
      <c r="X16">
        <f ca="1">IF(ISNA(X$1), 0, OFFSET(data!$A$1, ROW()-1, X$1-1))</f>
        <v>0</v>
      </c>
      <c r="Y16">
        <f ca="1">IF(ISNA(Y$1), 0, OFFSET(data!$A$1, ROW()-1, Y$1-1))</f>
        <v>0</v>
      </c>
      <c r="Z16">
        <f ca="1">IF(ISNA(Z$1), 0, OFFSET(data!$A$1, ROW()-1, Z$1-1))</f>
        <v>164.09091933344499</v>
      </c>
      <c r="AA16" t="str">
        <f ca="1">IF(ISNA(AA$1), #N/A, OFFSET(data!$A$1, ROW()-1, AA$1-1))</f>
        <v>peak</v>
      </c>
      <c r="AB16">
        <f t="shared" ca="1" si="0"/>
        <v>2020</v>
      </c>
      <c r="AC16">
        <f t="shared" ca="1" si="1"/>
        <v>2</v>
      </c>
      <c r="AD16" t="str">
        <f t="shared" ca="1" si="2"/>
        <v>02/06/2020</v>
      </c>
      <c r="AE16" t="str">
        <f t="shared" ca="1" si="3"/>
        <v/>
      </c>
      <c r="AF16" s="6">
        <f t="shared" ca="1" si="4"/>
        <v>0.164090919333445</v>
      </c>
      <c r="AG16">
        <f t="shared" ca="1" si="5"/>
        <v>557.88327493014003</v>
      </c>
      <c r="AH16">
        <f t="shared" ca="1" si="8"/>
        <v>0</v>
      </c>
      <c r="AI16">
        <f t="shared" ca="1" si="9"/>
        <v>0</v>
      </c>
      <c r="AJ16">
        <f t="shared" ca="1" si="10"/>
        <v>0</v>
      </c>
      <c r="AK16">
        <f t="shared" ca="1" si="11"/>
        <v>57.599999999999902</v>
      </c>
      <c r="AL16">
        <f t="shared" ca="1" si="12"/>
        <v>146.094540341146</v>
      </c>
    </row>
    <row r="17" spans="1:38" hidden="1">
      <c r="A17" t="str">
        <f ca="1">IF(ISNA(A$1), 0, OFFSET(data!$A$1, ROW()-1, A$1-1))</f>
        <v>Oahu</v>
      </c>
      <c r="B17">
        <f ca="1">IF(ISNA(B$1), 0, OFFSET(data!$A$1, ROW()-1, B$1-1))</f>
        <v>2020</v>
      </c>
      <c r="C17" t="str">
        <f ca="1">IF(ISNA(C$1), 0, OFFSET(data!$A$1, ROW()-1, C$1-1))</f>
        <v>2020-02-06-04:00</v>
      </c>
      <c r="D17">
        <f ca="1">IF(ISNA(D$1), 0, OFFSET(data!$A$1, ROW()-1, D$1-1))</f>
        <v>175.98873458899399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127.55653838237799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539.34527297137197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554.97094116799997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-15.625668196627499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164.09091933344499</v>
      </c>
      <c r="AA17" t="str">
        <f ca="1">IF(ISNA(AA$1), #N/A, OFFSET(data!$A$1, ROW()-1, AA$1-1))</f>
        <v>peak</v>
      </c>
      <c r="AB17">
        <f t="shared" ca="1" si="0"/>
        <v>2020</v>
      </c>
      <c r="AC17">
        <f t="shared" ca="1" si="1"/>
        <v>2</v>
      </c>
      <c r="AD17" t="str">
        <f t="shared" ca="1" si="2"/>
        <v>02/06/2020</v>
      </c>
      <c r="AE17" t="str">
        <f t="shared" ca="1" si="3"/>
        <v/>
      </c>
      <c r="AF17" s="6">
        <f t="shared" ca="1" si="4"/>
        <v>0.164090919333445</v>
      </c>
      <c r="AG17">
        <f t="shared" ca="1" si="5"/>
        <v>539.34527297137242</v>
      </c>
      <c r="AH17">
        <f t="shared" ca="1" si="8"/>
        <v>0</v>
      </c>
      <c r="AI17">
        <f t="shared" ca="1" si="9"/>
        <v>0</v>
      </c>
      <c r="AJ17">
        <f t="shared" ca="1" si="10"/>
        <v>0</v>
      </c>
      <c r="AK17">
        <f t="shared" ca="1" si="11"/>
        <v>57.599999999999902</v>
      </c>
      <c r="AL17">
        <f t="shared" ca="1" si="12"/>
        <v>127.55653838237799</v>
      </c>
    </row>
    <row r="18" spans="1:38" hidden="1">
      <c r="A18" t="str">
        <f ca="1">IF(ISNA(A$1), 0, OFFSET(data!$A$1, ROW()-1, A$1-1))</f>
        <v>Oahu</v>
      </c>
      <c r="B18">
        <f ca="1">IF(ISNA(B$1), 0, OFFSET(data!$A$1, ROW()-1, B$1-1))</f>
        <v>2020</v>
      </c>
      <c r="C18" t="str">
        <f ca="1">IF(ISNA(C$1), 0, OFFSET(data!$A$1, ROW()-1, C$1-1))</f>
        <v>2020-02-06-06:00</v>
      </c>
      <c r="D18">
        <f ca="1">IF(ISNA(D$1), 0, OFFSET(data!$A$1, ROW()-1, D$1-1))</f>
        <v>175.98873458899399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178.2</v>
      </c>
      <c r="H18">
        <f ca="1">IF(ISNA(H$1), 0, OFFSET(data!$A$1, ROW()-1, H$1-1))</f>
        <v>149.37599999999901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145.468489575055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706.63322416404901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887.30031024499999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-180.66708608095001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164.09091933344499</v>
      </c>
      <c r="AA18" t="str">
        <f ca="1">IF(ISNA(AA$1), #N/A, OFFSET(data!$A$1, ROW()-1, AA$1-1))</f>
        <v>peak</v>
      </c>
      <c r="AB18">
        <f t="shared" ca="1" si="0"/>
        <v>2020</v>
      </c>
      <c r="AC18">
        <f t="shared" ca="1" si="1"/>
        <v>2</v>
      </c>
      <c r="AD18" t="str">
        <f t="shared" ca="1" si="2"/>
        <v>02/06/2020</v>
      </c>
      <c r="AE18" t="str">
        <f t="shared" ca="1" si="3"/>
        <v/>
      </c>
      <c r="AF18" s="6">
        <f t="shared" ca="1" si="4"/>
        <v>0.164090919333445</v>
      </c>
      <c r="AG18">
        <f t="shared" ca="1" si="5"/>
        <v>706.63322416405003</v>
      </c>
      <c r="AH18">
        <f t="shared" ca="1" si="8"/>
        <v>0</v>
      </c>
      <c r="AI18">
        <f t="shared" ca="1" si="9"/>
        <v>0</v>
      </c>
      <c r="AJ18">
        <f t="shared" ca="1" si="10"/>
        <v>0</v>
      </c>
      <c r="AK18">
        <f t="shared" ca="1" si="11"/>
        <v>57.599999999999902</v>
      </c>
      <c r="AL18">
        <f t="shared" ca="1" si="12"/>
        <v>145.468489575055</v>
      </c>
    </row>
    <row r="19" spans="1:38" hidden="1">
      <c r="A19" t="str">
        <f ca="1">IF(ISNA(A$1), 0, OFFSET(data!$A$1, ROW()-1, A$1-1))</f>
        <v>Oahu</v>
      </c>
      <c r="B19">
        <f ca="1">IF(ISNA(B$1), 0, OFFSET(data!$A$1, ROW()-1, B$1-1))</f>
        <v>2020</v>
      </c>
      <c r="C19" t="str">
        <f ca="1">IF(ISNA(C$1), 0, OFFSET(data!$A$1, ROW()-1, C$1-1))</f>
        <v>2020-02-06-08:00</v>
      </c>
      <c r="D19">
        <f ca="1">IF(ISNA(D$1), 0, OFFSET(data!$A$1, ROW()-1, D$1-1))</f>
        <v>175.98873458899399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462.12320232631998</v>
      </c>
      <c r="L19">
        <f ca="1">IF(ISNA(L$1), 0, OFFSET(data!$A$1, ROW()-1, L$1-1))</f>
        <v>57.599999999999902</v>
      </c>
      <c r="M19">
        <f ca="1">IF(ISNA(M$1), 0, OFFSET(data!$A$1, ROW()-1, M$1-1))</f>
        <v>133.74472108546701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1007.65665800078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964.36177797400001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43.294880026782103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164.09091933344499</v>
      </c>
      <c r="AA19" t="str">
        <f ca="1">IF(ISNA(AA$1), #N/A, OFFSET(data!$A$1, ROW()-1, AA$1-1))</f>
        <v>peak</v>
      </c>
      <c r="AB19">
        <f t="shared" ca="1" si="0"/>
        <v>2020</v>
      </c>
      <c r="AC19">
        <f t="shared" ca="1" si="1"/>
        <v>2</v>
      </c>
      <c r="AD19" t="str">
        <f t="shared" ca="1" si="2"/>
        <v>02/06/2020</v>
      </c>
      <c r="AE19" t="str">
        <f t="shared" ca="1" si="3"/>
        <v/>
      </c>
      <c r="AF19" s="6">
        <f t="shared" ca="1" si="4"/>
        <v>0.164090919333445</v>
      </c>
      <c r="AG19">
        <f t="shared" ca="1" si="5"/>
        <v>1007.6566580007822</v>
      </c>
      <c r="AH19">
        <f t="shared" ca="1" si="8"/>
        <v>0</v>
      </c>
      <c r="AI19">
        <f t="shared" ca="1" si="9"/>
        <v>0</v>
      </c>
      <c r="AJ19">
        <f t="shared" ca="1" si="10"/>
        <v>462.12320232631998</v>
      </c>
      <c r="AK19">
        <f t="shared" ca="1" si="11"/>
        <v>57.599999999999902</v>
      </c>
      <c r="AL19">
        <f t="shared" ca="1" si="12"/>
        <v>133.74472108546701</v>
      </c>
    </row>
    <row r="20" spans="1:38" hidden="1">
      <c r="A20" t="str">
        <f ca="1">IF(ISNA(A$1), 0, OFFSET(data!$A$1, ROW()-1, A$1-1))</f>
        <v>Oahu</v>
      </c>
      <c r="B20">
        <f ca="1">IF(ISNA(B$1), 0, OFFSET(data!$A$1, ROW()-1, B$1-1))</f>
        <v>2020</v>
      </c>
      <c r="C20" t="str">
        <f ca="1">IF(ISNA(C$1), 0, OFFSET(data!$A$1, ROW()-1, C$1-1))</f>
        <v>2020-02-06-10:00</v>
      </c>
      <c r="D20">
        <f ca="1">IF(ISNA(D$1), 0, OFFSET(data!$A$1, ROW()-1, D$1-1))</f>
        <v>175.98873458899399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99.551999999999893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650.49448732400799</v>
      </c>
      <c r="L20">
        <f ca="1">IF(ISNA(L$1), 0, OFFSET(data!$A$1, ROW()-1, L$1-1))</f>
        <v>57.599999999999902</v>
      </c>
      <c r="M20">
        <f ca="1">IF(ISNA(M$1), 0, OFFSET(data!$A$1, ROW()-1, M$1-1))</f>
        <v>114.458602919174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1276.29382483217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1041.0089398099999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235.284885022178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164.09091933344499</v>
      </c>
      <c r="AA20" t="str">
        <f ca="1">IF(ISNA(AA$1), #N/A, OFFSET(data!$A$1, ROW()-1, AA$1-1))</f>
        <v>peak</v>
      </c>
      <c r="AB20">
        <f t="shared" ca="1" si="0"/>
        <v>2020</v>
      </c>
      <c r="AC20">
        <f t="shared" ca="1" si="1"/>
        <v>2</v>
      </c>
      <c r="AD20" t="str">
        <f t="shared" ca="1" si="2"/>
        <v>02/06/2020</v>
      </c>
      <c r="AE20" t="str">
        <f t="shared" ca="1" si="3"/>
        <v/>
      </c>
      <c r="AF20" s="6">
        <f t="shared" ca="1" si="4"/>
        <v>0.164090919333445</v>
      </c>
      <c r="AG20">
        <f t="shared" ca="1" si="5"/>
        <v>1276.293824832178</v>
      </c>
      <c r="AH20">
        <f t="shared" ca="1" si="8"/>
        <v>0</v>
      </c>
      <c r="AI20">
        <f t="shared" ca="1" si="9"/>
        <v>0</v>
      </c>
      <c r="AJ20">
        <f t="shared" ca="1" si="10"/>
        <v>650.49448732400799</v>
      </c>
      <c r="AK20">
        <f t="shared" ca="1" si="11"/>
        <v>57.599999999999902</v>
      </c>
      <c r="AL20">
        <f t="shared" ca="1" si="12"/>
        <v>114.458602919174</v>
      </c>
    </row>
    <row r="21" spans="1:38" hidden="1">
      <c r="A21" t="str">
        <f ca="1">IF(ISNA(A$1), 0, OFFSET(data!$A$1, ROW()-1, A$1-1))</f>
        <v>Oahu</v>
      </c>
      <c r="B21">
        <f ca="1">IF(ISNA(B$1), 0, OFFSET(data!$A$1, ROW()-1, B$1-1))</f>
        <v>2020</v>
      </c>
      <c r="C21" t="str">
        <f ca="1">IF(ISNA(C$1), 0, OFFSET(data!$A$1, ROW()-1, C$1-1))</f>
        <v>2020-02-06-12:00</v>
      </c>
      <c r="D21">
        <f ca="1">IF(ISNA(D$1), 0, OFFSET(data!$A$1, ROW()-1, D$1-1))</f>
        <v>175.98873458899399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128.31409191634799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699.66547637753195</v>
      </c>
      <c r="L21">
        <f ca="1">IF(ISNA(L$1), 0, OFFSET(data!$A$1, ROW()-1, L$1-1))</f>
        <v>57.599999999999902</v>
      </c>
      <c r="M21">
        <f ca="1">IF(ISNA(M$1), 0, OFFSET(data!$A$1, ROW()-1, M$1-1))</f>
        <v>91.884372431414405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1331.65267531428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1048.3329936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283.31968171428798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164.09091933344499</v>
      </c>
      <c r="AA21" t="str">
        <f ca="1">IF(ISNA(AA$1), #N/A, OFFSET(data!$A$1, ROW()-1, AA$1-1))</f>
        <v>peak</v>
      </c>
      <c r="AB21">
        <f t="shared" ca="1" si="0"/>
        <v>2020</v>
      </c>
      <c r="AC21">
        <f t="shared" ca="1" si="1"/>
        <v>2</v>
      </c>
      <c r="AD21" t="str">
        <f t="shared" ca="1" si="2"/>
        <v>02/06/2020</v>
      </c>
      <c r="AE21" t="str">
        <f t="shared" ca="1" si="3"/>
        <v>02/06/2020</v>
      </c>
      <c r="AF21" s="6">
        <f t="shared" ca="1" si="4"/>
        <v>0.164090919333445</v>
      </c>
      <c r="AG21">
        <f t="shared" ca="1" si="5"/>
        <v>1331.652675314288</v>
      </c>
      <c r="AH21">
        <f t="shared" ca="1" si="8"/>
        <v>0</v>
      </c>
      <c r="AI21">
        <f t="shared" ca="1" si="9"/>
        <v>0</v>
      </c>
      <c r="AJ21">
        <f t="shared" ca="1" si="10"/>
        <v>699.66547637753195</v>
      </c>
      <c r="AK21">
        <f t="shared" ca="1" si="11"/>
        <v>57.599999999999902</v>
      </c>
      <c r="AL21">
        <f t="shared" ca="1" si="12"/>
        <v>91.884372431414405</v>
      </c>
    </row>
    <row r="22" spans="1:38" hidden="1">
      <c r="A22" t="str">
        <f ca="1">IF(ISNA(A$1), 0, OFFSET(data!$A$1, ROW()-1, A$1-1))</f>
        <v>Oahu</v>
      </c>
      <c r="B22">
        <f ca="1">IF(ISNA(B$1), 0, OFFSET(data!$A$1, ROW()-1, B$1-1))</f>
        <v>2020</v>
      </c>
      <c r="C22" t="str">
        <f ca="1">IF(ISNA(C$1), 0, OFFSET(data!$A$1, ROW()-1, C$1-1))</f>
        <v>2020-02-06-14:00</v>
      </c>
      <c r="D22">
        <f ca="1">IF(ISNA(D$1), 0, OFFSET(data!$A$1, ROW()-1, D$1-1))</f>
        <v>175.98873458899399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199.2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624.20606628869905</v>
      </c>
      <c r="L22">
        <f ca="1">IF(ISNA(L$1), 0, OFFSET(data!$A$1, ROW()-1, L$1-1))</f>
        <v>57.599999999999902</v>
      </c>
      <c r="M22">
        <f ca="1">IF(ISNA(M$1), 0, OFFSET(data!$A$1, ROW()-1, M$1-1))</f>
        <v>94.925566845612195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1330.1203677233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1060.3345683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269.785799423306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164.09091933344499</v>
      </c>
      <c r="AA22" t="str">
        <f ca="1">IF(ISNA(AA$1), #N/A, OFFSET(data!$A$1, ROW()-1, AA$1-1))</f>
        <v>peak</v>
      </c>
      <c r="AB22">
        <f t="shared" ca="1" si="0"/>
        <v>2020</v>
      </c>
      <c r="AC22">
        <f t="shared" ca="1" si="1"/>
        <v>2</v>
      </c>
      <c r="AD22" t="str">
        <f t="shared" ca="1" si="2"/>
        <v>02/06/2020</v>
      </c>
      <c r="AE22" t="str">
        <f t="shared" ca="1" si="3"/>
        <v/>
      </c>
      <c r="AF22" s="6">
        <f t="shared" ca="1" si="4"/>
        <v>0.164090919333445</v>
      </c>
      <c r="AG22">
        <f t="shared" ca="1" si="5"/>
        <v>1330.1203677233061</v>
      </c>
      <c r="AH22">
        <f t="shared" ca="1" si="8"/>
        <v>0</v>
      </c>
      <c r="AI22">
        <f t="shared" ca="1" si="9"/>
        <v>0</v>
      </c>
      <c r="AJ22">
        <f t="shared" ca="1" si="10"/>
        <v>624.20606628869905</v>
      </c>
      <c r="AK22">
        <f t="shared" ca="1" si="11"/>
        <v>57.599999999999902</v>
      </c>
      <c r="AL22">
        <f t="shared" ca="1" si="12"/>
        <v>94.925566845612195</v>
      </c>
    </row>
    <row r="23" spans="1:38" hidden="1">
      <c r="A23" t="str">
        <f ca="1">IF(ISNA(A$1), 0, OFFSET(data!$A$1, ROW()-1, A$1-1))</f>
        <v>Oahu</v>
      </c>
      <c r="B23">
        <f ca="1">IF(ISNA(B$1), 0, OFFSET(data!$A$1, ROW()-1, B$1-1))</f>
        <v>2020</v>
      </c>
      <c r="C23" t="str">
        <f ca="1">IF(ISNA(C$1), 0, OFFSET(data!$A$1, ROW()-1, C$1-1))</f>
        <v>2020-02-06-16:00</v>
      </c>
      <c r="D23">
        <f ca="1">IF(ISNA(D$1), 0, OFFSET(data!$A$1, ROW()-1, D$1-1))</f>
        <v>175.98873458899399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594.40392276570503</v>
      </c>
      <c r="L23">
        <f ca="1">IF(ISNA(L$1), 0, OFFSET(data!$A$1, ROW()-1, L$1-1))</f>
        <v>57.599999999999902</v>
      </c>
      <c r="M23">
        <f ca="1">IF(ISNA(M$1), 0, OFFSET(data!$A$1, ROW()-1, M$1-1))</f>
        <v>74.244628568487201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1080.4372859231801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1053.62540678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26.811879143186601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164.09091933344499</v>
      </c>
      <c r="AA23" t="str">
        <f ca="1">IF(ISNA(AA$1), #N/A, OFFSET(data!$A$1, ROW()-1, AA$1-1))</f>
        <v>peak</v>
      </c>
      <c r="AB23">
        <f t="shared" ca="1" si="0"/>
        <v>2020</v>
      </c>
      <c r="AC23">
        <f t="shared" ca="1" si="1"/>
        <v>2</v>
      </c>
      <c r="AD23" t="str">
        <f t="shared" ca="1" si="2"/>
        <v>02/06/2020</v>
      </c>
      <c r="AE23" t="str">
        <f t="shared" ca="1" si="3"/>
        <v/>
      </c>
      <c r="AF23" s="6">
        <f t="shared" ca="1" si="4"/>
        <v>0.164090919333445</v>
      </c>
      <c r="AG23">
        <f t="shared" ca="1" si="5"/>
        <v>1080.4372859231867</v>
      </c>
      <c r="AH23">
        <f t="shared" ca="1" si="8"/>
        <v>0</v>
      </c>
      <c r="AI23">
        <f t="shared" ca="1" si="9"/>
        <v>0</v>
      </c>
      <c r="AJ23">
        <f t="shared" ca="1" si="10"/>
        <v>594.40392276570503</v>
      </c>
      <c r="AK23">
        <f t="shared" ca="1" si="11"/>
        <v>57.599999999999902</v>
      </c>
      <c r="AL23">
        <f t="shared" ca="1" si="12"/>
        <v>74.244628568487201</v>
      </c>
    </row>
    <row r="24" spans="1:38" hidden="1">
      <c r="A24" t="str">
        <f ca="1">IF(ISNA(A$1), 0, OFFSET(data!$A$1, ROW()-1, A$1-1))</f>
        <v>Oahu</v>
      </c>
      <c r="B24">
        <f ca="1">IF(ISNA(B$1), 0, OFFSET(data!$A$1, ROW()-1, B$1-1))</f>
        <v>2020</v>
      </c>
      <c r="C24" t="str">
        <f ca="1">IF(ISNA(C$1), 0, OFFSET(data!$A$1, ROW()-1, C$1-1))</f>
        <v>2020-02-06-18:00</v>
      </c>
      <c r="D24">
        <f ca="1">IF(ISNA(D$1), 0, OFFSET(data!$A$1, ROW()-1, D$1-1))</f>
        <v>175.98873458899399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288.57946957770798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1.46871622172917</v>
      </c>
      <c r="L24">
        <f ca="1">IF(ISNA(L$1), 0, OFFSET(data!$A$1, ROW()-1, L$1-1))</f>
        <v>57.599999999999902</v>
      </c>
      <c r="M24">
        <f ca="1">IF(ISNA(M$1), 0, OFFSET(data!$A$1, ROW()-1, M$1-1))</f>
        <v>103.022056750568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804.85897713899999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1149.7985387700001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-344.939561631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166.91962553905</v>
      </c>
      <c r="AA24" t="str">
        <f ca="1">IF(ISNA(AA$1), #N/A, OFFSET(data!$A$1, ROW()-1, AA$1-1))</f>
        <v>peak</v>
      </c>
      <c r="AB24">
        <f t="shared" ca="1" si="0"/>
        <v>2020</v>
      </c>
      <c r="AC24">
        <f t="shared" ca="1" si="1"/>
        <v>2</v>
      </c>
      <c r="AD24" t="str">
        <f t="shared" ca="1" si="2"/>
        <v>02/06/2020</v>
      </c>
      <c r="AE24" t="str">
        <f t="shared" ca="1" si="3"/>
        <v/>
      </c>
      <c r="AF24" s="6">
        <f t="shared" ca="1" si="4"/>
        <v>0.16691962553905001</v>
      </c>
      <c r="AG24">
        <f t="shared" ca="1" si="5"/>
        <v>804.85897713899999</v>
      </c>
      <c r="AH24">
        <f t="shared" ca="1" si="8"/>
        <v>0</v>
      </c>
      <c r="AI24">
        <f t="shared" ca="1" si="9"/>
        <v>0</v>
      </c>
      <c r="AJ24">
        <f t="shared" ca="1" si="10"/>
        <v>1.46871622172917</v>
      </c>
      <c r="AK24">
        <f t="shared" ca="1" si="11"/>
        <v>57.599999999999902</v>
      </c>
      <c r="AL24">
        <f t="shared" ca="1" si="12"/>
        <v>103.022056750568</v>
      </c>
    </row>
    <row r="25" spans="1:38" hidden="1">
      <c r="A25" t="str">
        <f ca="1">IF(ISNA(A$1), 0, OFFSET(data!$A$1, ROW()-1, A$1-1))</f>
        <v>Oahu</v>
      </c>
      <c r="B25">
        <f ca="1">IF(ISNA(B$1), 0, OFFSET(data!$A$1, ROW()-1, B$1-1))</f>
        <v>2020</v>
      </c>
      <c r="C25" t="str">
        <f ca="1">IF(ISNA(C$1), 0, OFFSET(data!$A$1, ROW()-1, C$1-1))</f>
        <v>2020-02-06-20:00</v>
      </c>
      <c r="D25">
        <f ca="1">IF(ISNA(D$1), 0, OFFSET(data!$A$1, ROW()-1, D$1-1))</f>
        <v>175.98873458899399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219.17580121469501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86.908246900310303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717.87278270399895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1025.53254672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-307.659764016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164.09091933344499</v>
      </c>
      <c r="AA25" t="str">
        <f ca="1">IF(ISNA(AA$1), #N/A, OFFSET(data!$A$1, ROW()-1, AA$1-1))</f>
        <v>peak</v>
      </c>
      <c r="AB25">
        <f t="shared" ca="1" si="0"/>
        <v>2020</v>
      </c>
      <c r="AC25">
        <f t="shared" ca="1" si="1"/>
        <v>2</v>
      </c>
      <c r="AD25" t="str">
        <f t="shared" ca="1" si="2"/>
        <v>02/06/2020</v>
      </c>
      <c r="AE25" t="str">
        <f t="shared" ca="1" si="3"/>
        <v/>
      </c>
      <c r="AF25" s="6">
        <f t="shared" ca="1" si="4"/>
        <v>0.164090919333445</v>
      </c>
      <c r="AG25">
        <f t="shared" ca="1" si="5"/>
        <v>717.87278270399997</v>
      </c>
      <c r="AH25">
        <f t="shared" ca="1" si="8"/>
        <v>0</v>
      </c>
      <c r="AI25">
        <f t="shared" ca="1" si="9"/>
        <v>0</v>
      </c>
      <c r="AJ25">
        <f t="shared" ca="1" si="10"/>
        <v>0</v>
      </c>
      <c r="AK25">
        <f t="shared" ca="1" si="11"/>
        <v>57.599999999999902</v>
      </c>
      <c r="AL25">
        <f t="shared" ca="1" si="12"/>
        <v>86.908246900310303</v>
      </c>
    </row>
    <row r="26" spans="1:38" hidden="1">
      <c r="A26" t="str">
        <f ca="1">IF(ISNA(A$1), 0, OFFSET(data!$A$1, ROW()-1, A$1-1))</f>
        <v>Oahu</v>
      </c>
      <c r="B26">
        <f ca="1">IF(ISNA(B$1), 0, OFFSET(data!$A$1, ROW()-1, B$1-1))</f>
        <v>2020</v>
      </c>
      <c r="C26" t="str">
        <f ca="1">IF(ISNA(C$1), 0, OFFSET(data!$A$1, ROW()-1, C$1-1))</f>
        <v>2020-02-06-22:00</v>
      </c>
      <c r="D26">
        <f ca="1">IF(ISNA(D$1), 0, OFFSET(data!$A$1, ROW()-1, D$1-1))</f>
        <v>175.98873458899399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18.328462802911002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96.934169335994497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527.05136672789899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752.93052389699994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-225.87915716909899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164.09091933344499</v>
      </c>
      <c r="AA26" t="str">
        <f ca="1">IF(ISNA(AA$1), #N/A, OFFSET(data!$A$1, ROW()-1, AA$1-1))</f>
        <v>peak</v>
      </c>
      <c r="AB26">
        <f t="shared" ca="1" si="0"/>
        <v>2020</v>
      </c>
      <c r="AC26">
        <f t="shared" ca="1" si="1"/>
        <v>2</v>
      </c>
      <c r="AD26" t="str">
        <f t="shared" ca="1" si="2"/>
        <v>02/06/2020</v>
      </c>
      <c r="AE26" t="str">
        <f t="shared" ca="1" si="3"/>
        <v/>
      </c>
      <c r="AF26" s="6">
        <f t="shared" ca="1" si="4"/>
        <v>0.164090919333445</v>
      </c>
      <c r="AG26">
        <f t="shared" ca="1" si="5"/>
        <v>527.05136672790093</v>
      </c>
      <c r="AH26">
        <f t="shared" ca="1" si="8"/>
        <v>0</v>
      </c>
      <c r="AI26">
        <f t="shared" ca="1" si="9"/>
        <v>0</v>
      </c>
      <c r="AJ26">
        <f t="shared" ca="1" si="10"/>
        <v>0</v>
      </c>
      <c r="AK26">
        <f t="shared" ca="1" si="11"/>
        <v>57.599999999999902</v>
      </c>
      <c r="AL26">
        <f t="shared" ca="1" si="12"/>
        <v>96.934169335994497</v>
      </c>
    </row>
    <row r="27" spans="1:38" hidden="1">
      <c r="A27" t="str">
        <f ca="1">IF(ISNA(A$1), 0, OFFSET(data!$A$1, ROW()-1, A$1-1))</f>
        <v>Oahu</v>
      </c>
      <c r="B27">
        <f ca="1">IF(ISNA(B$1), 0, OFFSET(data!$A$1, ROW()-1, B$1-1))</f>
        <v>2020</v>
      </c>
      <c r="C27" t="str">
        <f ca="1">IF(ISNA(C$1), 0, OFFSET(data!$A$1, ROW()-1, C$1-1))</f>
        <v>2020-04-09-00:00</v>
      </c>
      <c r="D27">
        <f ca="1">IF(ISNA(D$1), 0, OFFSET(data!$A$1, ROW()-1, D$1-1))</f>
        <v>175.98873458899399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46.803955976043802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458.59269056503803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478.08193007199998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-19.489239506961901</v>
      </c>
      <c r="X27">
        <f ca="1">IF(ISNA(X$1), 0, OFFSET(data!$A$1, ROW()-1, X$1-1))</f>
        <v>0</v>
      </c>
      <c r="Y27">
        <f ca="1">IF(ISNA(Y$1), 0, OFFSET(data!$A$1, ROW()-1, Y$1-1))</f>
        <v>0</v>
      </c>
      <c r="Z27">
        <f ca="1">IF(ISNA(Z$1), 0, OFFSET(data!$A$1, ROW()-1, Z$1-1))</f>
        <v>164.09091933344499</v>
      </c>
      <c r="AA27" t="str">
        <f ca="1">IF(ISNA(AA$1), #N/A, OFFSET(data!$A$1, ROW()-1, AA$1-1))</f>
        <v>peak</v>
      </c>
      <c r="AB27">
        <f t="shared" ca="1" si="0"/>
        <v>2020</v>
      </c>
      <c r="AC27">
        <f t="shared" ca="1" si="1"/>
        <v>4</v>
      </c>
      <c r="AD27" t="str">
        <f t="shared" ca="1" si="2"/>
        <v>04/09/2020</v>
      </c>
      <c r="AE27" t="str">
        <f t="shared" ca="1" si="3"/>
        <v/>
      </c>
      <c r="AF27" s="6">
        <f t="shared" ca="1" si="4"/>
        <v>0.164090919333445</v>
      </c>
      <c r="AG27">
        <f t="shared" ca="1" si="5"/>
        <v>458.59269056503808</v>
      </c>
      <c r="AH27">
        <f t="shared" ca="1" si="8"/>
        <v>0</v>
      </c>
      <c r="AI27">
        <f t="shared" ca="1" si="9"/>
        <v>0</v>
      </c>
      <c r="AJ27">
        <f t="shared" ca="1" si="10"/>
        <v>0</v>
      </c>
      <c r="AK27">
        <f t="shared" ca="1" si="11"/>
        <v>57.599999999999902</v>
      </c>
      <c r="AL27">
        <f t="shared" ca="1" si="12"/>
        <v>46.803955976043802</v>
      </c>
    </row>
    <row r="28" spans="1:38" hidden="1">
      <c r="A28" t="str">
        <f ca="1">IF(ISNA(A$1), 0, OFFSET(data!$A$1, ROW()-1, A$1-1))</f>
        <v>Oahu</v>
      </c>
      <c r="B28">
        <f ca="1">IF(ISNA(B$1), 0, OFFSET(data!$A$1, ROW()-1, B$1-1))</f>
        <v>2020</v>
      </c>
      <c r="C28" t="str">
        <f ca="1">IF(ISNA(C$1), 0, OFFSET(data!$A$1, ROW()-1, C$1-1))</f>
        <v>2020-04-09-02:00</v>
      </c>
      <c r="D28">
        <f ca="1">IF(ISNA(D$1), 0, OFFSET(data!$A$1, ROW()-1, D$1-1))</f>
        <v>175.98873458899399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49.823999999999998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49.049374214137302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510.66210880313099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424.27143827999998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86.390670523131604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164.09091933344499</v>
      </c>
      <c r="AA28" t="str">
        <f ca="1">IF(ISNA(AA$1), #N/A, OFFSET(data!$A$1, ROW()-1, AA$1-1))</f>
        <v>peak</v>
      </c>
      <c r="AB28">
        <f t="shared" ca="1" si="0"/>
        <v>2020</v>
      </c>
      <c r="AC28">
        <f t="shared" ca="1" si="1"/>
        <v>4</v>
      </c>
      <c r="AD28" t="str">
        <f t="shared" ca="1" si="2"/>
        <v>04/09/2020</v>
      </c>
      <c r="AE28" t="str">
        <f t="shared" ca="1" si="3"/>
        <v/>
      </c>
      <c r="AF28" s="6">
        <f t="shared" ca="1" si="4"/>
        <v>0.164090919333445</v>
      </c>
      <c r="AG28">
        <f t="shared" ca="1" si="5"/>
        <v>510.66210880313156</v>
      </c>
      <c r="AH28">
        <f t="shared" ca="1" si="8"/>
        <v>0</v>
      </c>
      <c r="AI28">
        <f t="shared" ca="1" si="9"/>
        <v>0</v>
      </c>
      <c r="AJ28">
        <f t="shared" ca="1" si="10"/>
        <v>0</v>
      </c>
      <c r="AK28">
        <f t="shared" ca="1" si="11"/>
        <v>57.599999999999902</v>
      </c>
      <c r="AL28">
        <f t="shared" ca="1" si="12"/>
        <v>49.049374214137302</v>
      </c>
    </row>
    <row r="29" spans="1:38" hidden="1">
      <c r="A29" t="str">
        <f ca="1">IF(ISNA(A$1), 0, OFFSET(data!$A$1, ROW()-1, A$1-1))</f>
        <v>Oahu</v>
      </c>
      <c r="B29">
        <f ca="1">IF(ISNA(B$1), 0, OFFSET(data!$A$1, ROW()-1, B$1-1))</f>
        <v>2020</v>
      </c>
      <c r="C29" t="str">
        <f ca="1">IF(ISNA(C$1), 0, OFFSET(data!$A$1, ROW()-1, C$1-1))</f>
        <v>2020-04-09-04:00</v>
      </c>
      <c r="D29">
        <f ca="1">IF(ISNA(D$1), 0, OFFSET(data!$A$1, ROW()-1, D$1-1))</f>
        <v>175.98873458899399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49.727999999999902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24.982759106658001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486.49949369565201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515.13012993100006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-28.630636235347701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164.09091933344499</v>
      </c>
      <c r="AA29" t="str">
        <f ca="1">IF(ISNA(AA$1), #N/A, OFFSET(data!$A$1, ROW()-1, AA$1-1))</f>
        <v>peak</v>
      </c>
      <c r="AB29">
        <f t="shared" ca="1" si="0"/>
        <v>2020</v>
      </c>
      <c r="AC29">
        <f t="shared" ca="1" si="1"/>
        <v>4</v>
      </c>
      <c r="AD29" t="str">
        <f t="shared" ca="1" si="2"/>
        <v>04/09/2020</v>
      </c>
      <c r="AE29" t="str">
        <f t="shared" ca="1" si="3"/>
        <v/>
      </c>
      <c r="AF29" s="6">
        <f t="shared" ca="1" si="4"/>
        <v>0.164090919333445</v>
      </c>
      <c r="AG29">
        <f t="shared" ca="1" si="5"/>
        <v>486.49949369565235</v>
      </c>
      <c r="AH29">
        <f t="shared" ca="1" si="8"/>
        <v>0</v>
      </c>
      <c r="AI29">
        <f t="shared" ca="1" si="9"/>
        <v>0</v>
      </c>
      <c r="AJ29">
        <f t="shared" ca="1" si="10"/>
        <v>0</v>
      </c>
      <c r="AK29">
        <f t="shared" ca="1" si="11"/>
        <v>57.599999999999902</v>
      </c>
      <c r="AL29">
        <f t="shared" ca="1" si="12"/>
        <v>24.982759106658001</v>
      </c>
    </row>
    <row r="30" spans="1:38" hidden="1">
      <c r="A30" t="str">
        <f ca="1">IF(ISNA(A$1), 0, OFFSET(data!$A$1, ROW()-1, A$1-1))</f>
        <v>Oahu</v>
      </c>
      <c r="B30">
        <f ca="1">IF(ISNA(B$1), 0, OFFSET(data!$A$1, ROW()-1, B$1-1))</f>
        <v>2020</v>
      </c>
      <c r="C30" t="str">
        <f ca="1">IF(ISNA(C$1), 0, OFFSET(data!$A$1, ROW()-1, C$1-1))</f>
        <v>2020-04-09-06:00</v>
      </c>
      <c r="D30">
        <f ca="1">IF(ISNA(D$1), 0, OFFSET(data!$A$1, ROW()-1, D$1-1))</f>
        <v>175.98873458899399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107.917717649301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23.842491390586002</v>
      </c>
      <c r="L30">
        <f ca="1">IF(ISNA(L$1), 0, OFFSET(data!$A$1, ROW()-1, L$1-1))</f>
        <v>57.599999999999902</v>
      </c>
      <c r="M30">
        <f ca="1">IF(ISNA(M$1), 0, OFFSET(data!$A$1, ROW()-1, M$1-1))</f>
        <v>39.300637613018502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582.84958124189995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832.64225891700005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-249.79267767510001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164.09091933344499</v>
      </c>
      <c r="AA30" t="str">
        <f ca="1">IF(ISNA(AA$1), #N/A, OFFSET(data!$A$1, ROW()-1, AA$1-1))</f>
        <v>peak</v>
      </c>
      <c r="AB30">
        <f t="shared" ca="1" si="0"/>
        <v>2020</v>
      </c>
      <c r="AC30">
        <f t="shared" ca="1" si="1"/>
        <v>4</v>
      </c>
      <c r="AD30" t="str">
        <f t="shared" ca="1" si="2"/>
        <v>04/09/2020</v>
      </c>
      <c r="AE30" t="str">
        <f t="shared" ca="1" si="3"/>
        <v/>
      </c>
      <c r="AF30" s="6">
        <f t="shared" ca="1" si="4"/>
        <v>0.164090919333445</v>
      </c>
      <c r="AG30">
        <f t="shared" ca="1" si="5"/>
        <v>582.84958124190007</v>
      </c>
      <c r="AH30">
        <f t="shared" ca="1" si="8"/>
        <v>0</v>
      </c>
      <c r="AI30">
        <f t="shared" ca="1" si="9"/>
        <v>0</v>
      </c>
      <c r="AJ30">
        <f t="shared" ca="1" si="10"/>
        <v>23.842491390586002</v>
      </c>
      <c r="AK30">
        <f t="shared" ca="1" si="11"/>
        <v>57.599999999999902</v>
      </c>
      <c r="AL30">
        <f t="shared" ca="1" si="12"/>
        <v>39.300637613018502</v>
      </c>
    </row>
    <row r="31" spans="1:38" hidden="1">
      <c r="A31" t="str">
        <f ca="1">IF(ISNA(A$1), 0, OFFSET(data!$A$1, ROW()-1, A$1-1))</f>
        <v>Oahu</v>
      </c>
      <c r="B31">
        <f ca="1">IF(ISNA(B$1), 0, OFFSET(data!$A$1, ROW()-1, B$1-1))</f>
        <v>2020</v>
      </c>
      <c r="C31" t="str">
        <f ca="1">IF(ISNA(C$1), 0, OFFSET(data!$A$1, ROW()-1, C$1-1))</f>
        <v>2020-04-09-08:00</v>
      </c>
      <c r="D31">
        <f ca="1">IF(ISNA(D$1), 0, OFFSET(data!$A$1, ROW()-1, D$1-1))</f>
        <v>175.98873458899399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614.29766433489601</v>
      </c>
      <c r="L31">
        <f ca="1">IF(ISNA(L$1), 0, OFFSET(data!$A$1, ROW()-1, L$1-1))</f>
        <v>57.599999999999902</v>
      </c>
      <c r="M31">
        <f ca="1">IF(ISNA(M$1), 0, OFFSET(data!$A$1, ROW()-1, M$1-1))</f>
        <v>37.372364479275198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1063.45876340316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981.61044324800002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81.848320155165695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164.09091933344499</v>
      </c>
      <c r="AA31" t="str">
        <f ca="1">IF(ISNA(AA$1), #N/A, OFFSET(data!$A$1, ROW()-1, AA$1-1))</f>
        <v>peak</v>
      </c>
      <c r="AB31">
        <f t="shared" ca="1" si="0"/>
        <v>2020</v>
      </c>
      <c r="AC31">
        <f t="shared" ca="1" si="1"/>
        <v>4</v>
      </c>
      <c r="AD31" t="str">
        <f t="shared" ca="1" si="2"/>
        <v>04/09/2020</v>
      </c>
      <c r="AE31" t="str">
        <f t="shared" ca="1" si="3"/>
        <v/>
      </c>
      <c r="AF31" s="6">
        <f t="shared" ca="1" si="4"/>
        <v>0.164090919333445</v>
      </c>
      <c r="AG31">
        <f t="shared" ca="1" si="5"/>
        <v>1063.4587634031657</v>
      </c>
      <c r="AH31">
        <f t="shared" ca="1" si="8"/>
        <v>0</v>
      </c>
      <c r="AI31">
        <f t="shared" ca="1" si="9"/>
        <v>0</v>
      </c>
      <c r="AJ31">
        <f t="shared" ca="1" si="10"/>
        <v>614.29766433489601</v>
      </c>
      <c r="AK31">
        <f t="shared" ca="1" si="11"/>
        <v>57.599999999999902</v>
      </c>
      <c r="AL31">
        <f t="shared" ca="1" si="12"/>
        <v>37.372364479275198</v>
      </c>
    </row>
    <row r="32" spans="1:38" hidden="1">
      <c r="A32" t="str">
        <f ca="1">IF(ISNA(A$1), 0, OFFSET(data!$A$1, ROW()-1, A$1-1))</f>
        <v>Oahu</v>
      </c>
      <c r="B32">
        <f ca="1">IF(ISNA(B$1), 0, OFFSET(data!$A$1, ROW()-1, B$1-1))</f>
        <v>2020</v>
      </c>
      <c r="C32" t="str">
        <f ca="1">IF(ISNA(C$1), 0, OFFSET(data!$A$1, ROW()-1, C$1-1))</f>
        <v>2020-04-09-10:00</v>
      </c>
      <c r="D32">
        <f ca="1">IF(ISNA(D$1), 0, OFFSET(data!$A$1, ROW()-1, D$1-1))</f>
        <v>175.98873458899399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77.155389492977605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816.26215900413797</v>
      </c>
      <c r="L32">
        <f ca="1">IF(ISNA(L$1), 0, OFFSET(data!$A$1, ROW()-1, L$1-1))</f>
        <v>57.599999999999902</v>
      </c>
      <c r="M32">
        <f ca="1">IF(ISNA(M$1), 0, OFFSET(data!$A$1, ROW()-1, M$1-1))</f>
        <v>43.543925391987003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1348.7502084780899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1061.8726895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286.87751897809699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164.09091933344499</v>
      </c>
      <c r="AA32" t="str">
        <f ca="1">IF(ISNA(AA$1), #N/A, OFFSET(data!$A$1, ROW()-1, AA$1-1))</f>
        <v>peak</v>
      </c>
      <c r="AB32">
        <f t="shared" ca="1" si="0"/>
        <v>2020</v>
      </c>
      <c r="AC32">
        <f t="shared" ca="1" si="1"/>
        <v>4</v>
      </c>
      <c r="AD32" t="str">
        <f t="shared" ca="1" si="2"/>
        <v>04/09/2020</v>
      </c>
      <c r="AE32" t="str">
        <f t="shared" ca="1" si="3"/>
        <v/>
      </c>
      <c r="AF32" s="6">
        <f t="shared" ca="1" si="4"/>
        <v>0.164090919333445</v>
      </c>
      <c r="AG32">
        <f t="shared" ca="1" si="5"/>
        <v>1348.750208478097</v>
      </c>
      <c r="AH32">
        <f t="shared" ca="1" si="8"/>
        <v>0</v>
      </c>
      <c r="AI32">
        <f t="shared" ca="1" si="9"/>
        <v>0</v>
      </c>
      <c r="AJ32">
        <f t="shared" ca="1" si="10"/>
        <v>816.26215900413797</v>
      </c>
      <c r="AK32">
        <f t="shared" ca="1" si="11"/>
        <v>57.599999999999902</v>
      </c>
      <c r="AL32">
        <f t="shared" ca="1" si="12"/>
        <v>43.543925391987003</v>
      </c>
    </row>
    <row r="33" spans="1:38" hidden="1">
      <c r="A33" t="str">
        <f ca="1">IF(ISNA(A$1), 0, OFFSET(data!$A$1, ROW()-1, A$1-1))</f>
        <v>Oahu</v>
      </c>
      <c r="B33">
        <f ca="1">IF(ISNA(B$1), 0, OFFSET(data!$A$1, ROW()-1, B$1-1))</f>
        <v>2020</v>
      </c>
      <c r="C33" t="str">
        <f ca="1">IF(ISNA(C$1), 0, OFFSET(data!$A$1, ROW()-1, C$1-1))</f>
        <v>2020-04-09-12:00</v>
      </c>
      <c r="D33">
        <f ca="1">IF(ISNA(D$1), 0, OFFSET(data!$A$1, ROW()-1, D$1-1))</f>
        <v>175.98873458899399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843.27353016105997</v>
      </c>
      <c r="L33">
        <f ca="1">IF(ISNA(L$1), 0, OFFSET(data!$A$1, ROW()-1, L$1-1))</f>
        <v>57.599999999999902</v>
      </c>
      <c r="M33">
        <f ca="1">IF(ISNA(M$1), 0, OFFSET(data!$A$1, ROW()-1, M$1-1))</f>
        <v>50.5237172292113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1305.5859819792599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1089.8494558499999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215.736526129265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164.09091933344499</v>
      </c>
      <c r="AA33" t="str">
        <f ca="1">IF(ISNA(AA$1), #N/A, OFFSET(data!$A$1, ROW()-1, AA$1-1))</f>
        <v>peak</v>
      </c>
      <c r="AB33">
        <f t="shared" ca="1" si="0"/>
        <v>2020</v>
      </c>
      <c r="AC33">
        <f t="shared" ca="1" si="1"/>
        <v>4</v>
      </c>
      <c r="AD33" t="str">
        <f t="shared" ca="1" si="2"/>
        <v>04/09/2020</v>
      </c>
      <c r="AE33" t="str">
        <f t="shared" ca="1" si="3"/>
        <v>04/09/2020</v>
      </c>
      <c r="AF33" s="6">
        <f t="shared" ca="1" si="4"/>
        <v>0.164090919333445</v>
      </c>
      <c r="AG33">
        <f t="shared" ca="1" si="5"/>
        <v>1305.5859819792649</v>
      </c>
      <c r="AH33">
        <f t="shared" ca="1" si="8"/>
        <v>0</v>
      </c>
      <c r="AI33">
        <f t="shared" ca="1" si="9"/>
        <v>0</v>
      </c>
      <c r="AJ33">
        <f t="shared" ca="1" si="10"/>
        <v>843.27353016105997</v>
      </c>
      <c r="AK33">
        <f t="shared" ca="1" si="11"/>
        <v>57.599999999999902</v>
      </c>
      <c r="AL33">
        <f t="shared" ca="1" si="12"/>
        <v>50.5237172292113</v>
      </c>
    </row>
    <row r="34" spans="1:38" hidden="1">
      <c r="A34" t="str">
        <f ca="1">IF(ISNA(A$1), 0, OFFSET(data!$A$1, ROW()-1, A$1-1))</f>
        <v>Oahu</v>
      </c>
      <c r="B34">
        <f ca="1">IF(ISNA(B$1), 0, OFFSET(data!$A$1, ROW()-1, B$1-1))</f>
        <v>2020</v>
      </c>
      <c r="C34" t="str">
        <f ca="1">IF(ISNA(C$1), 0, OFFSET(data!$A$1, ROW()-1, C$1-1))</f>
        <v>2020-04-09-14:00</v>
      </c>
      <c r="D34">
        <f ca="1">IF(ISNA(D$1), 0, OFFSET(data!$A$1, ROW()-1, D$1-1))</f>
        <v>175.98873458899399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49.823999999999998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827.958077982997</v>
      </c>
      <c r="L34">
        <f ca="1">IF(ISNA(L$1), 0, OFFSET(data!$A$1, ROW()-1, L$1-1))</f>
        <v>57.599999999999902</v>
      </c>
      <c r="M34">
        <f ca="1">IF(ISNA(M$1), 0, OFFSET(data!$A$1, ROW()-1, M$1-1))</f>
        <v>56.4941584968253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1346.0649710688101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1086.2602013600001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259.80476970881602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164.09091933344499</v>
      </c>
      <c r="AA34" t="str">
        <f ca="1">IF(ISNA(AA$1), #N/A, OFFSET(data!$A$1, ROW()-1, AA$1-1))</f>
        <v>peak</v>
      </c>
      <c r="AB34">
        <f t="shared" ca="1" si="0"/>
        <v>2020</v>
      </c>
      <c r="AC34">
        <f t="shared" ca="1" si="1"/>
        <v>4</v>
      </c>
      <c r="AD34" t="str">
        <f t="shared" ca="1" si="2"/>
        <v>04/09/2020</v>
      </c>
      <c r="AE34" t="str">
        <f t="shared" ca="1" si="3"/>
        <v/>
      </c>
      <c r="AF34" s="6">
        <f t="shared" ca="1" si="4"/>
        <v>0.164090919333445</v>
      </c>
      <c r="AG34">
        <f t="shared" ca="1" si="5"/>
        <v>1346.0649710688162</v>
      </c>
      <c r="AH34">
        <f t="shared" ca="1" si="8"/>
        <v>0</v>
      </c>
      <c r="AI34">
        <f t="shared" ca="1" si="9"/>
        <v>0</v>
      </c>
      <c r="AJ34">
        <f t="shared" ca="1" si="10"/>
        <v>827.958077982997</v>
      </c>
      <c r="AK34">
        <f t="shared" ca="1" si="11"/>
        <v>57.599999999999902</v>
      </c>
      <c r="AL34">
        <f t="shared" ca="1" si="12"/>
        <v>56.4941584968253</v>
      </c>
    </row>
    <row r="35" spans="1:38" hidden="1">
      <c r="A35" t="str">
        <f ca="1">IF(ISNA(A$1), 0, OFFSET(data!$A$1, ROW()-1, A$1-1))</f>
        <v>Oahu</v>
      </c>
      <c r="B35">
        <f ca="1">IF(ISNA(B$1), 0, OFFSET(data!$A$1, ROW()-1, B$1-1))</f>
        <v>2020</v>
      </c>
      <c r="C35" t="str">
        <f ca="1">IF(ISNA(C$1), 0, OFFSET(data!$A$1, ROW()-1, C$1-1))</f>
        <v>2020-04-09-16:00</v>
      </c>
      <c r="D35">
        <f ca="1">IF(ISNA(D$1), 0, OFFSET(data!$A$1, ROW()-1, D$1-1))</f>
        <v>175.98873458899399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712.63773983890906</v>
      </c>
      <c r="L35">
        <f ca="1">IF(ISNA(L$1), 0, OFFSET(data!$A$1, ROW()-1, L$1-1))</f>
        <v>57.599999999999902</v>
      </c>
      <c r="M35">
        <f ca="1">IF(ISNA(M$1), 0, OFFSET(data!$A$1, ROW()-1, M$1-1))</f>
        <v>42.816275039595901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1167.2427494675001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1056.9950587400001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110.24769072749901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164.09091933344499</v>
      </c>
      <c r="AA35" t="str">
        <f ca="1">IF(ISNA(AA$1), #N/A, OFFSET(data!$A$1, ROW()-1, AA$1-1))</f>
        <v>peak</v>
      </c>
      <c r="AB35">
        <f t="shared" ca="1" si="0"/>
        <v>2020</v>
      </c>
      <c r="AC35">
        <f t="shared" ca="1" si="1"/>
        <v>4</v>
      </c>
      <c r="AD35" t="str">
        <f t="shared" ca="1" si="2"/>
        <v>04/09/2020</v>
      </c>
      <c r="AE35" t="str">
        <f t="shared" ca="1" si="3"/>
        <v/>
      </c>
      <c r="AF35" s="6">
        <f t="shared" ca="1" si="4"/>
        <v>0.164090919333445</v>
      </c>
      <c r="AG35">
        <f t="shared" ca="1" si="5"/>
        <v>1167.2427494674992</v>
      </c>
      <c r="AH35">
        <f t="shared" ca="1" si="8"/>
        <v>0</v>
      </c>
      <c r="AI35">
        <f t="shared" ca="1" si="9"/>
        <v>0</v>
      </c>
      <c r="AJ35">
        <f t="shared" ca="1" si="10"/>
        <v>712.63773983890906</v>
      </c>
      <c r="AK35">
        <f t="shared" ca="1" si="11"/>
        <v>57.599999999999902</v>
      </c>
      <c r="AL35">
        <f t="shared" ca="1" si="12"/>
        <v>42.816275039595901</v>
      </c>
    </row>
    <row r="36" spans="1:38" hidden="1">
      <c r="A36" t="str">
        <f ca="1">IF(ISNA(A$1), 0, OFFSET(data!$A$1, ROW()-1, A$1-1))</f>
        <v>Oahu</v>
      </c>
      <c r="B36">
        <f ca="1">IF(ISNA(B$1), 0, OFFSET(data!$A$1, ROW()-1, B$1-1))</f>
        <v>2020</v>
      </c>
      <c r="C36" t="str">
        <f ca="1">IF(ISNA(C$1), 0, OFFSET(data!$A$1, ROW()-1, C$1-1))</f>
        <v>2020-04-09-18:00</v>
      </c>
      <c r="D36">
        <f ca="1">IF(ISNA(D$1), 0, OFFSET(data!$A$1, ROW()-1, D$1-1))</f>
        <v>175.98873458899399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209.84254035299301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75.477996445031394</v>
      </c>
      <c r="L36">
        <f ca="1">IF(ISNA(L$1), 0, OFFSET(data!$A$1, ROW()-1, L$1-1))</f>
        <v>57.599999999999902</v>
      </c>
      <c r="M36">
        <f ca="1">IF(ISNA(M$1), 0, OFFSET(data!$A$1, ROW()-1, M$1-1))</f>
        <v>73.064737783980405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770.17400917099906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1100.24858453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-330.07457535899999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164.09091933344499</v>
      </c>
      <c r="AA36" t="str">
        <f ca="1">IF(ISNA(AA$1), #N/A, OFFSET(data!$A$1, ROW()-1, AA$1-1))</f>
        <v>peak</v>
      </c>
      <c r="AB36">
        <f t="shared" ca="1" si="0"/>
        <v>2020</v>
      </c>
      <c r="AC36">
        <f t="shared" ca="1" si="1"/>
        <v>4</v>
      </c>
      <c r="AD36" t="str">
        <f t="shared" ca="1" si="2"/>
        <v>04/09/2020</v>
      </c>
      <c r="AE36" t="str">
        <f t="shared" ca="1" si="3"/>
        <v/>
      </c>
      <c r="AF36" s="6">
        <f t="shared" ca="1" si="4"/>
        <v>0.164090919333445</v>
      </c>
      <c r="AG36">
        <f t="shared" ca="1" si="5"/>
        <v>770.17400917100008</v>
      </c>
      <c r="AH36">
        <f t="shared" ca="1" si="8"/>
        <v>0</v>
      </c>
      <c r="AI36">
        <f t="shared" ca="1" si="9"/>
        <v>0</v>
      </c>
      <c r="AJ36">
        <f t="shared" ca="1" si="10"/>
        <v>75.477996445031394</v>
      </c>
      <c r="AK36">
        <f t="shared" ca="1" si="11"/>
        <v>57.599999999999902</v>
      </c>
      <c r="AL36">
        <f t="shared" ca="1" si="12"/>
        <v>73.064737783980405</v>
      </c>
    </row>
    <row r="37" spans="1:38" hidden="1">
      <c r="A37" t="str">
        <f ca="1">IF(ISNA(A$1), 0, OFFSET(data!$A$1, ROW()-1, A$1-1))</f>
        <v>Oahu</v>
      </c>
      <c r="B37">
        <f ca="1">IF(ISNA(B$1), 0, OFFSET(data!$A$1, ROW()-1, B$1-1))</f>
        <v>2020</v>
      </c>
      <c r="C37" t="str">
        <f ca="1">IF(ISNA(C$1), 0, OFFSET(data!$A$1, ROW()-1, C$1-1))</f>
        <v>2020-04-09-20:00</v>
      </c>
      <c r="D37">
        <f ca="1">IF(ISNA(D$1), 0, OFFSET(data!$A$1, ROW()-1, D$1-1))</f>
        <v>175.98873458899399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214.44022658546399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84.015956550540807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710.24491772500005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1014.63559675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-304.390679025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164.09091933344499</v>
      </c>
      <c r="AA37" t="str">
        <f ca="1">IF(ISNA(AA$1), #N/A, OFFSET(data!$A$1, ROW()-1, AA$1-1))</f>
        <v>peak</v>
      </c>
      <c r="AB37">
        <f t="shared" ca="1" si="0"/>
        <v>2020</v>
      </c>
      <c r="AC37">
        <f t="shared" ca="1" si="1"/>
        <v>4</v>
      </c>
      <c r="AD37" t="str">
        <f t="shared" ca="1" si="2"/>
        <v>04/09/2020</v>
      </c>
      <c r="AE37" t="str">
        <f t="shared" ca="1" si="3"/>
        <v/>
      </c>
      <c r="AF37" s="6">
        <f t="shared" ca="1" si="4"/>
        <v>0.164090919333445</v>
      </c>
      <c r="AG37">
        <f t="shared" ca="1" si="5"/>
        <v>710.24491772500005</v>
      </c>
      <c r="AH37">
        <f t="shared" ca="1" si="8"/>
        <v>0</v>
      </c>
      <c r="AI37">
        <f t="shared" ca="1" si="9"/>
        <v>0</v>
      </c>
      <c r="AJ37">
        <f t="shared" ca="1" si="10"/>
        <v>0</v>
      </c>
      <c r="AK37">
        <f t="shared" ca="1" si="11"/>
        <v>57.599999999999902</v>
      </c>
      <c r="AL37">
        <f t="shared" ca="1" si="12"/>
        <v>84.015956550540807</v>
      </c>
    </row>
    <row r="38" spans="1:38" hidden="1">
      <c r="A38" t="str">
        <f ca="1">IF(ISNA(A$1), 0, OFFSET(data!$A$1, ROW()-1, A$1-1))</f>
        <v>Oahu</v>
      </c>
      <c r="B38">
        <f ca="1">IF(ISNA(B$1), 0, OFFSET(data!$A$1, ROW()-1, B$1-1))</f>
        <v>2020</v>
      </c>
      <c r="C38" t="str">
        <f ca="1">IF(ISNA(C$1), 0, OFFSET(data!$A$1, ROW()-1, C$1-1))</f>
        <v>2020-04-09-22:00</v>
      </c>
      <c r="D38">
        <f ca="1">IF(ISNA(D$1), 0, OFFSET(data!$A$1, ROW()-1, D$1-1))</f>
        <v>175.98873458899399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99.551999999999893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90.756916642438597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602.097651231432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710.62533965199998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-108.527688420567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164.09091933344499</v>
      </c>
      <c r="AA38" t="str">
        <f ca="1">IF(ISNA(AA$1), #N/A, OFFSET(data!$A$1, ROW()-1, AA$1-1))</f>
        <v>peak</v>
      </c>
      <c r="AB38">
        <f t="shared" ca="1" si="0"/>
        <v>2020</v>
      </c>
      <c r="AC38">
        <f t="shared" ca="1" si="1"/>
        <v>4</v>
      </c>
      <c r="AD38" t="str">
        <f t="shared" ca="1" si="2"/>
        <v>04/09/2020</v>
      </c>
      <c r="AE38" t="str">
        <f t="shared" ca="1" si="3"/>
        <v/>
      </c>
      <c r="AF38" s="6">
        <f t="shared" ca="1" si="4"/>
        <v>0.164090919333445</v>
      </c>
      <c r="AG38">
        <f t="shared" ca="1" si="5"/>
        <v>602.09765123143302</v>
      </c>
      <c r="AH38">
        <f t="shared" ca="1" si="8"/>
        <v>0</v>
      </c>
      <c r="AI38">
        <f t="shared" ca="1" si="9"/>
        <v>0</v>
      </c>
      <c r="AJ38">
        <f t="shared" ca="1" si="10"/>
        <v>0</v>
      </c>
      <c r="AK38">
        <f t="shared" ca="1" si="11"/>
        <v>57.599999999999902</v>
      </c>
      <c r="AL38">
        <f t="shared" ca="1" si="12"/>
        <v>90.756916642438597</v>
      </c>
    </row>
    <row r="39" spans="1:38" hidden="1">
      <c r="A39" t="str">
        <f ca="1">IF(ISNA(A$1), 0, OFFSET(data!$A$1, ROW()-1, A$1-1))</f>
        <v>Oahu</v>
      </c>
      <c r="B39">
        <f ca="1">IF(ISNA(B$1), 0, OFFSET(data!$A$1, ROW()-1, B$1-1))</f>
        <v>2020</v>
      </c>
      <c r="C39" t="str">
        <f ca="1">IF(ISNA(C$1), 0, OFFSET(data!$A$1, ROW()-1, C$1-1))</f>
        <v>2020-04-23-00:00</v>
      </c>
      <c r="D39">
        <f ca="1">IF(ISNA(D$1), 0, OFFSET(data!$A$1, ROW()-1, D$1-1))</f>
        <v>175.98873458899399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49.823999999999998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34.983487666570603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496.59622225556399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487.238004252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9.3582180035649802</v>
      </c>
      <c r="X39">
        <f ca="1">IF(ISNA(X$1), 0, OFFSET(data!$A$1, ROW()-1, X$1-1))</f>
        <v>0</v>
      </c>
      <c r="Y39">
        <f ca="1">IF(ISNA(Y$1), 0, OFFSET(data!$A$1, ROW()-1, Y$1-1))</f>
        <v>0</v>
      </c>
      <c r="Z39">
        <f ca="1">IF(ISNA(Z$1), 0, OFFSET(data!$A$1, ROW()-1, Z$1-1))</f>
        <v>164.09091933344499</v>
      </c>
      <c r="AA39" t="str">
        <f ca="1">IF(ISNA(AA$1), #N/A, OFFSET(data!$A$1, ROW()-1, AA$1-1))</f>
        <v>typical</v>
      </c>
      <c r="AB39">
        <f t="shared" ca="1" si="0"/>
        <v>2020</v>
      </c>
      <c r="AC39">
        <f t="shared" ca="1" si="1"/>
        <v>4</v>
      </c>
      <c r="AD39" t="str">
        <f t="shared" ca="1" si="2"/>
        <v>04/23/2020</v>
      </c>
      <c r="AE39" t="str">
        <f t="shared" ca="1" si="3"/>
        <v/>
      </c>
      <c r="AF39" s="6">
        <f t="shared" ca="1" si="4"/>
        <v>0.164090919333445</v>
      </c>
      <c r="AG39">
        <f t="shared" ca="1" si="5"/>
        <v>496.59622225556495</v>
      </c>
      <c r="AH39">
        <f t="shared" ca="1" si="8"/>
        <v>0</v>
      </c>
      <c r="AI39">
        <f t="shared" ca="1" si="9"/>
        <v>0</v>
      </c>
      <c r="AJ39">
        <f t="shared" ca="1" si="10"/>
        <v>0</v>
      </c>
      <c r="AK39">
        <f t="shared" ca="1" si="11"/>
        <v>57.599999999999902</v>
      </c>
      <c r="AL39">
        <f t="shared" ca="1" si="12"/>
        <v>34.983487666570603</v>
      </c>
    </row>
    <row r="40" spans="1:38" hidden="1">
      <c r="A40" t="str">
        <f ca="1">IF(ISNA(A$1), 0, OFFSET(data!$A$1, ROW()-1, A$1-1))</f>
        <v>Oahu</v>
      </c>
      <c r="B40">
        <f ca="1">IF(ISNA(B$1), 0, OFFSET(data!$A$1, ROW()-1, B$1-1))</f>
        <v>2020</v>
      </c>
      <c r="C40" t="str">
        <f ca="1">IF(ISNA(C$1), 0, OFFSET(data!$A$1, ROW()-1, C$1-1))</f>
        <v>2020-04-23-02:00</v>
      </c>
      <c r="D40">
        <f ca="1">IF(ISNA(D$1), 0, OFFSET(data!$A$1, ROW()-1, D$1-1))</f>
        <v>175.98873458899399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199.2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13.0068553703221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623.99558995931602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428.59328604699999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195.402303912316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164.09091933344499</v>
      </c>
      <c r="AA40" t="str">
        <f ca="1">IF(ISNA(AA$1), #N/A, OFFSET(data!$A$1, ROW()-1, AA$1-1))</f>
        <v>typical</v>
      </c>
      <c r="AB40">
        <f t="shared" ca="1" si="0"/>
        <v>2020</v>
      </c>
      <c r="AC40">
        <f t="shared" ca="1" si="1"/>
        <v>4</v>
      </c>
      <c r="AD40" t="str">
        <f t="shared" ca="1" si="2"/>
        <v>04/23/2020</v>
      </c>
      <c r="AE40" t="str">
        <f t="shared" ca="1" si="3"/>
        <v/>
      </c>
      <c r="AF40" s="6">
        <f t="shared" ca="1" si="4"/>
        <v>0.164090919333445</v>
      </c>
      <c r="AG40">
        <f t="shared" ca="1" si="5"/>
        <v>623.99558995931602</v>
      </c>
      <c r="AH40">
        <f t="shared" ca="1" si="8"/>
        <v>0</v>
      </c>
      <c r="AI40">
        <f t="shared" ca="1" si="9"/>
        <v>0</v>
      </c>
      <c r="AJ40">
        <f t="shared" ca="1" si="10"/>
        <v>0</v>
      </c>
      <c r="AK40">
        <f t="shared" ca="1" si="11"/>
        <v>57.599999999999902</v>
      </c>
      <c r="AL40">
        <f t="shared" ca="1" si="12"/>
        <v>13.0068553703221</v>
      </c>
    </row>
    <row r="41" spans="1:38" hidden="1">
      <c r="A41" t="str">
        <f ca="1">IF(ISNA(A$1), 0, OFFSET(data!$A$1, ROW()-1, A$1-1))</f>
        <v>Oahu</v>
      </c>
      <c r="B41">
        <f ca="1">IF(ISNA(B$1), 0, OFFSET(data!$A$1, ROW()-1, B$1-1))</f>
        <v>2020</v>
      </c>
      <c r="C41" t="str">
        <f ca="1">IF(ISNA(C$1), 0, OFFSET(data!$A$1, ROW()-1, C$1-1))</f>
        <v>2020-04-23-04:00</v>
      </c>
      <c r="D41">
        <f ca="1">IF(ISNA(D$1), 0, OFFSET(data!$A$1, ROW()-1, D$1-1))</f>
        <v>175.98873458899399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199.2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9.1154124389968398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620.10414702799096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507.92678806100002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112.17735896699099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164.09091933344499</v>
      </c>
      <c r="AA41" t="str">
        <f ca="1">IF(ISNA(AA$1), #N/A, OFFSET(data!$A$1, ROW()-1, AA$1-1))</f>
        <v>typical</v>
      </c>
      <c r="AB41">
        <f t="shared" ca="1" si="0"/>
        <v>2020</v>
      </c>
      <c r="AC41">
        <f t="shared" ca="1" si="1"/>
        <v>4</v>
      </c>
      <c r="AD41" t="str">
        <f t="shared" ca="1" si="2"/>
        <v>04/23/2020</v>
      </c>
      <c r="AE41" t="str">
        <f t="shared" ca="1" si="3"/>
        <v/>
      </c>
      <c r="AF41" s="6">
        <f t="shared" ca="1" si="4"/>
        <v>0.164090919333445</v>
      </c>
      <c r="AG41">
        <f t="shared" ca="1" si="5"/>
        <v>620.10414702799108</v>
      </c>
      <c r="AH41">
        <f t="shared" ca="1" si="8"/>
        <v>0</v>
      </c>
      <c r="AI41">
        <f t="shared" ca="1" si="9"/>
        <v>0</v>
      </c>
      <c r="AJ41">
        <f t="shared" ca="1" si="10"/>
        <v>0</v>
      </c>
      <c r="AK41">
        <f t="shared" ca="1" si="11"/>
        <v>57.599999999999902</v>
      </c>
      <c r="AL41">
        <f t="shared" ca="1" si="12"/>
        <v>9.1154124389968398</v>
      </c>
    </row>
    <row r="42" spans="1:38" hidden="1">
      <c r="A42" t="str">
        <f ca="1">IF(ISNA(A$1), 0, OFFSET(data!$A$1, ROW()-1, A$1-1))</f>
        <v>Oahu</v>
      </c>
      <c r="B42">
        <f ca="1">IF(ISNA(B$1), 0, OFFSET(data!$A$1, ROW()-1, B$1-1))</f>
        <v>2020</v>
      </c>
      <c r="C42" t="str">
        <f ca="1">IF(ISNA(C$1), 0, OFFSET(data!$A$1, ROW()-1, C$1-1))</f>
        <v>2020-04-23-06:00</v>
      </c>
      <c r="D42">
        <f ca="1">IF(ISNA(D$1), 0, OFFSET(data!$A$1, ROW()-1, D$1-1))</f>
        <v>175.98873458899399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75.8438981914571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53.432764452227602</v>
      </c>
      <c r="L42">
        <f ca="1">IF(ISNA(L$1), 0, OFFSET(data!$A$1, ROW()-1, L$1-1))</f>
        <v>57.599999999999902</v>
      </c>
      <c r="M42">
        <f ca="1">IF(ISNA(M$1), 0, OFFSET(data!$A$1, ROW()-1, M$1-1))</f>
        <v>27.056001246920701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568.12139847959895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811.60199782799998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-243.48059934839901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164.09091933344499</v>
      </c>
      <c r="AA42" t="str">
        <f ca="1">IF(ISNA(AA$1), #N/A, OFFSET(data!$A$1, ROW()-1, AA$1-1))</f>
        <v>typical</v>
      </c>
      <c r="AB42">
        <f t="shared" ca="1" si="0"/>
        <v>2020</v>
      </c>
      <c r="AC42">
        <f t="shared" ca="1" si="1"/>
        <v>4</v>
      </c>
      <c r="AD42" t="str">
        <f t="shared" ca="1" si="2"/>
        <v>04/23/2020</v>
      </c>
      <c r="AE42" t="str">
        <f t="shared" ca="1" si="3"/>
        <v/>
      </c>
      <c r="AF42" s="6">
        <f t="shared" ca="1" si="4"/>
        <v>0.164090919333445</v>
      </c>
      <c r="AG42">
        <f t="shared" ca="1" si="5"/>
        <v>568.121398479601</v>
      </c>
      <c r="AH42">
        <f t="shared" ca="1" si="8"/>
        <v>0</v>
      </c>
      <c r="AI42">
        <f t="shared" ca="1" si="9"/>
        <v>0</v>
      </c>
      <c r="AJ42">
        <f t="shared" ca="1" si="10"/>
        <v>53.432764452227602</v>
      </c>
      <c r="AK42">
        <f t="shared" ca="1" si="11"/>
        <v>57.599999999999902</v>
      </c>
      <c r="AL42">
        <f t="shared" ca="1" si="12"/>
        <v>27.056001246920701</v>
      </c>
    </row>
    <row r="43" spans="1:38" hidden="1">
      <c r="A43" t="str">
        <f ca="1">IF(ISNA(A$1), 0, OFFSET(data!$A$1, ROW()-1, A$1-1))</f>
        <v>Oahu</v>
      </c>
      <c r="B43">
        <f ca="1">IF(ISNA(B$1), 0, OFFSET(data!$A$1, ROW()-1, B$1-1))</f>
        <v>2020</v>
      </c>
      <c r="C43" t="str">
        <f ca="1">IF(ISNA(C$1), 0, OFFSET(data!$A$1, ROW()-1, C$1-1))</f>
        <v>2020-04-23-08:00</v>
      </c>
      <c r="D43">
        <f ca="1">IF(ISNA(D$1), 0, OFFSET(data!$A$1, ROW()-1, D$1-1))</f>
        <v>175.98873458899399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99.551999999999893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605.63544195270003</v>
      </c>
      <c r="L43">
        <f ca="1">IF(ISNA(L$1), 0, OFFSET(data!$A$1, ROW()-1, L$1-1))</f>
        <v>57.599999999999902</v>
      </c>
      <c r="M43">
        <f ca="1">IF(ISNA(M$1), 0, OFFSET(data!$A$1, ROW()-1, M$1-1))</f>
        <v>3.6172560722398499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1120.59343261393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976.87122204399998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143.72221056993399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164.09091933344499</v>
      </c>
      <c r="AA43" t="str">
        <f ca="1">IF(ISNA(AA$1), #N/A, OFFSET(data!$A$1, ROW()-1, AA$1-1))</f>
        <v>typical</v>
      </c>
      <c r="AB43">
        <f t="shared" ca="1" si="0"/>
        <v>2020</v>
      </c>
      <c r="AC43">
        <f t="shared" ca="1" si="1"/>
        <v>4</v>
      </c>
      <c r="AD43" t="str">
        <f t="shared" ca="1" si="2"/>
        <v>04/23/2020</v>
      </c>
      <c r="AE43" t="str">
        <f t="shared" ca="1" si="3"/>
        <v/>
      </c>
      <c r="AF43" s="6">
        <f t="shared" ca="1" si="4"/>
        <v>0.164090919333445</v>
      </c>
      <c r="AG43">
        <f t="shared" ca="1" si="5"/>
        <v>1120.5934326139341</v>
      </c>
      <c r="AH43">
        <f t="shared" ca="1" si="8"/>
        <v>0</v>
      </c>
      <c r="AI43">
        <f t="shared" ca="1" si="9"/>
        <v>0</v>
      </c>
      <c r="AJ43">
        <f t="shared" ca="1" si="10"/>
        <v>605.63544195270003</v>
      </c>
      <c r="AK43">
        <f t="shared" ca="1" si="11"/>
        <v>57.599999999999902</v>
      </c>
      <c r="AL43">
        <f t="shared" ca="1" si="12"/>
        <v>3.6172560722398499</v>
      </c>
    </row>
    <row r="44" spans="1:38" hidden="1">
      <c r="A44" t="str">
        <f ca="1">IF(ISNA(A$1), 0, OFFSET(data!$A$1, ROW()-1, A$1-1))</f>
        <v>Oahu</v>
      </c>
      <c r="B44">
        <f ca="1">IF(ISNA(B$1), 0, OFFSET(data!$A$1, ROW()-1, B$1-1))</f>
        <v>2020</v>
      </c>
      <c r="C44" t="str">
        <f ca="1">IF(ISNA(C$1), 0, OFFSET(data!$A$1, ROW()-1, C$1-1))</f>
        <v>2020-04-23-10:00</v>
      </c>
      <c r="D44">
        <f ca="1">IF(ISNA(D$1), 0, OFFSET(data!$A$1, ROW()-1, D$1-1))</f>
        <v>175.98873458899399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99.551999999999893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718.94245825412202</v>
      </c>
      <c r="L44">
        <f ca="1">IF(ISNA(L$1), 0, OFFSET(data!$A$1, ROW()-1, L$1-1))</f>
        <v>57.599999999999902</v>
      </c>
      <c r="M44">
        <f ca="1">IF(ISNA(M$1), 0, OFFSET(data!$A$1, ROW()-1, M$1-1))</f>
        <v>3.8699207355647798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1234.1531135786799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1055.10888129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179.044232288681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164.09091933344499</v>
      </c>
      <c r="AA44" t="str">
        <f ca="1">IF(ISNA(AA$1), #N/A, OFFSET(data!$A$1, ROW()-1, AA$1-1))</f>
        <v>typical</v>
      </c>
      <c r="AB44">
        <f t="shared" ca="1" si="0"/>
        <v>2020</v>
      </c>
      <c r="AC44">
        <f t="shared" ca="1" si="1"/>
        <v>4</v>
      </c>
      <c r="AD44" t="str">
        <f t="shared" ca="1" si="2"/>
        <v>04/23/2020</v>
      </c>
      <c r="AE44" t="str">
        <f t="shared" ca="1" si="3"/>
        <v/>
      </c>
      <c r="AF44" s="6">
        <f t="shared" ca="1" si="4"/>
        <v>0.164090919333445</v>
      </c>
      <c r="AG44">
        <f t="shared" ca="1" si="5"/>
        <v>1234.1531135786811</v>
      </c>
      <c r="AH44">
        <f t="shared" ca="1" si="8"/>
        <v>0</v>
      </c>
      <c r="AI44">
        <f t="shared" ca="1" si="9"/>
        <v>0</v>
      </c>
      <c r="AJ44">
        <f t="shared" ca="1" si="10"/>
        <v>718.94245825412202</v>
      </c>
      <c r="AK44">
        <f t="shared" ca="1" si="11"/>
        <v>57.599999999999902</v>
      </c>
      <c r="AL44">
        <f t="shared" ca="1" si="12"/>
        <v>3.8699207355647798</v>
      </c>
    </row>
    <row r="45" spans="1:38" hidden="1">
      <c r="A45" t="str">
        <f ca="1">IF(ISNA(A$1), 0, OFFSET(data!$A$1, ROW()-1, A$1-1))</f>
        <v>Oahu</v>
      </c>
      <c r="B45">
        <f ca="1">IF(ISNA(B$1), 0, OFFSET(data!$A$1, ROW()-1, B$1-1))</f>
        <v>2020</v>
      </c>
      <c r="C45" t="str">
        <f ca="1">IF(ISNA(C$1), 0, OFFSET(data!$A$1, ROW()-1, C$1-1))</f>
        <v>2020-04-23-12:00</v>
      </c>
      <c r="D45">
        <f ca="1">IF(ISNA(D$1), 0, OFFSET(data!$A$1, ROW()-1, D$1-1))</f>
        <v>175.98873458899399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15.4464197202417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782.07478761208097</v>
      </c>
      <c r="L45">
        <f ca="1">IF(ISNA(L$1), 0, OFFSET(data!$A$1, ROW()-1, L$1-1))</f>
        <v>57.599999999999902</v>
      </c>
      <c r="M45">
        <f ca="1">IF(ISNA(M$1), 0, OFFSET(data!$A$1, ROW()-1, M$1-1))</f>
        <v>4.3698636595962697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1213.6798055809099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1082.4532336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131.22657198091301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164.09091933344499</v>
      </c>
      <c r="AA45" t="str">
        <f ca="1">IF(ISNA(AA$1), #N/A, OFFSET(data!$A$1, ROW()-1, AA$1-1))</f>
        <v>typical</v>
      </c>
      <c r="AB45">
        <f t="shared" ca="1" si="0"/>
        <v>2020</v>
      </c>
      <c r="AC45">
        <f t="shared" ca="1" si="1"/>
        <v>4</v>
      </c>
      <c r="AD45" t="str">
        <f t="shared" ca="1" si="2"/>
        <v>04/23/2020</v>
      </c>
      <c r="AE45" t="str">
        <f t="shared" ca="1" si="3"/>
        <v>04/23/2020</v>
      </c>
      <c r="AF45" s="6">
        <f t="shared" ca="1" si="4"/>
        <v>0.164090919333445</v>
      </c>
      <c r="AG45">
        <f t="shared" ca="1" si="5"/>
        <v>1213.6798055809129</v>
      </c>
      <c r="AH45">
        <f t="shared" ca="1" si="8"/>
        <v>0</v>
      </c>
      <c r="AI45">
        <f t="shared" ca="1" si="9"/>
        <v>0</v>
      </c>
      <c r="AJ45">
        <f t="shared" ca="1" si="10"/>
        <v>782.07478761208097</v>
      </c>
      <c r="AK45">
        <f t="shared" ca="1" si="11"/>
        <v>57.599999999999902</v>
      </c>
      <c r="AL45">
        <f t="shared" ca="1" si="12"/>
        <v>4.3698636595962697</v>
      </c>
    </row>
    <row r="46" spans="1:38" hidden="1">
      <c r="A46" t="str">
        <f ca="1">IF(ISNA(A$1), 0, OFFSET(data!$A$1, ROW()-1, A$1-1))</f>
        <v>Oahu</v>
      </c>
      <c r="B46">
        <f ca="1">IF(ISNA(B$1), 0, OFFSET(data!$A$1, ROW()-1, B$1-1))</f>
        <v>2020</v>
      </c>
      <c r="C46" t="str">
        <f ca="1">IF(ISNA(C$1), 0, OFFSET(data!$A$1, ROW()-1, C$1-1))</f>
        <v>2020-04-23-14:00</v>
      </c>
      <c r="D46">
        <f ca="1">IF(ISNA(D$1), 0, OFFSET(data!$A$1, ROW()-1, D$1-1))</f>
        <v>175.98873458899399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199.2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772.17581790254599</v>
      </c>
      <c r="L46">
        <f ca="1">IF(ISNA(L$1), 0, OFFSET(data!$A$1, ROW()-1, L$1-1))</f>
        <v>57.599999999999902</v>
      </c>
      <c r="M46">
        <f ca="1">IF(ISNA(M$1), 0, OFFSET(data!$A$1, ROW()-1, M$1-1))</f>
        <v>4.0490486321249604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1387.2136011236601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1088.2135456999999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299.00005542366603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164.09091933344499</v>
      </c>
      <c r="AA46" t="str">
        <f ca="1">IF(ISNA(AA$1), #N/A, OFFSET(data!$A$1, ROW()-1, AA$1-1))</f>
        <v>typical</v>
      </c>
      <c r="AB46">
        <f t="shared" ca="1" si="0"/>
        <v>2020</v>
      </c>
      <c r="AC46">
        <f t="shared" ca="1" si="1"/>
        <v>4</v>
      </c>
      <c r="AD46" t="str">
        <f t="shared" ca="1" si="2"/>
        <v>04/23/2020</v>
      </c>
      <c r="AE46" t="str">
        <f t="shared" ca="1" si="3"/>
        <v/>
      </c>
      <c r="AF46" s="6">
        <f t="shared" ca="1" si="4"/>
        <v>0.164090919333445</v>
      </c>
      <c r="AG46">
        <f t="shared" ca="1" si="5"/>
        <v>1387.213601123666</v>
      </c>
      <c r="AH46">
        <f t="shared" ca="1" si="8"/>
        <v>0</v>
      </c>
      <c r="AI46">
        <f t="shared" ca="1" si="9"/>
        <v>0</v>
      </c>
      <c r="AJ46">
        <f t="shared" ca="1" si="10"/>
        <v>772.17581790254599</v>
      </c>
      <c r="AK46">
        <f t="shared" ca="1" si="11"/>
        <v>57.599999999999902</v>
      </c>
      <c r="AL46">
        <f t="shared" ca="1" si="12"/>
        <v>4.0490486321249604</v>
      </c>
    </row>
    <row r="47" spans="1:38" hidden="1">
      <c r="A47" t="str">
        <f ca="1">IF(ISNA(A$1), 0, OFFSET(data!$A$1, ROW()-1, A$1-1))</f>
        <v>Oahu</v>
      </c>
      <c r="B47">
        <f ca="1">IF(ISNA(B$1), 0, OFFSET(data!$A$1, ROW()-1, B$1-1))</f>
        <v>2020</v>
      </c>
      <c r="C47" t="str">
        <f ca="1">IF(ISNA(C$1), 0, OFFSET(data!$A$1, ROW()-1, C$1-1))</f>
        <v>2020-04-23-16:00</v>
      </c>
      <c r="D47">
        <f ca="1">IF(ISNA(D$1), 0, OFFSET(data!$A$1, ROW()-1, D$1-1))</f>
        <v>175.98873458899399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665.07922520843795</v>
      </c>
      <c r="L47">
        <f ca="1">IF(ISNA(L$1), 0, OFFSET(data!$A$1, ROW()-1, L$1-1))</f>
        <v>57.599999999999902</v>
      </c>
      <c r="M47">
        <f ca="1">IF(ISNA(M$1), 0, OFFSET(data!$A$1, ROW()-1, M$1-1))</f>
        <v>3.1810355298530699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1080.04899532728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1073.12462121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6.9243741172858497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164.09091933344499</v>
      </c>
      <c r="AA47" t="str">
        <f ca="1">IF(ISNA(AA$1), #N/A, OFFSET(data!$A$1, ROW()-1, AA$1-1))</f>
        <v>typical</v>
      </c>
      <c r="AB47">
        <f t="shared" ca="1" si="0"/>
        <v>2020</v>
      </c>
      <c r="AC47">
        <f t="shared" ca="1" si="1"/>
        <v>4</v>
      </c>
      <c r="AD47" t="str">
        <f t="shared" ca="1" si="2"/>
        <v>04/23/2020</v>
      </c>
      <c r="AE47" t="str">
        <f t="shared" ca="1" si="3"/>
        <v/>
      </c>
      <c r="AF47" s="6">
        <f t="shared" ca="1" si="4"/>
        <v>0.164090919333445</v>
      </c>
      <c r="AG47">
        <f t="shared" ca="1" si="5"/>
        <v>1080.0489953272859</v>
      </c>
      <c r="AH47">
        <f t="shared" ca="1" si="8"/>
        <v>0</v>
      </c>
      <c r="AI47">
        <f t="shared" ca="1" si="9"/>
        <v>0</v>
      </c>
      <c r="AJ47">
        <f t="shared" ca="1" si="10"/>
        <v>665.07922520843795</v>
      </c>
      <c r="AK47">
        <f t="shared" ca="1" si="11"/>
        <v>57.599999999999902</v>
      </c>
      <c r="AL47">
        <f t="shared" ca="1" si="12"/>
        <v>3.1810355298530699</v>
      </c>
    </row>
    <row r="48" spans="1:38" hidden="1">
      <c r="A48" t="str">
        <f ca="1">IF(ISNA(A$1), 0, OFFSET(data!$A$1, ROW()-1, A$1-1))</f>
        <v>Oahu</v>
      </c>
      <c r="B48">
        <f ca="1">IF(ISNA(B$1), 0, OFFSET(data!$A$1, ROW()-1, B$1-1))</f>
        <v>2020</v>
      </c>
      <c r="C48" t="str">
        <f ca="1">IF(ISNA(C$1), 0, OFFSET(data!$A$1, ROW()-1, C$1-1))</f>
        <v>2020-04-23-18:00</v>
      </c>
      <c r="D48">
        <f ca="1">IF(ISNA(D$1), 0, OFFSET(data!$A$1, ROW()-1, D$1-1))</f>
        <v>175.98873458899399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248.928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93.446845101062294</v>
      </c>
      <c r="L48">
        <f ca="1">IF(ISNA(L$1), 0, OFFSET(data!$A$1, ROW()-1, L$1-1))</f>
        <v>57.599999999999902</v>
      </c>
      <c r="M48">
        <f ca="1">IF(ISNA(M$1), 0, OFFSET(data!$A$1, ROW()-1, M$1-1))</f>
        <v>4.57201893883286E-2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754.20929987944396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1074.74187435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-320.53257447055501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164.09091933344499</v>
      </c>
      <c r="AA48" t="str">
        <f ca="1">IF(ISNA(AA$1), #N/A, OFFSET(data!$A$1, ROW()-1, AA$1-1))</f>
        <v>typical</v>
      </c>
      <c r="AB48">
        <f t="shared" ca="1" si="0"/>
        <v>2020</v>
      </c>
      <c r="AC48">
        <f t="shared" ca="1" si="1"/>
        <v>4</v>
      </c>
      <c r="AD48" t="str">
        <f t="shared" ca="1" si="2"/>
        <v>04/23/2020</v>
      </c>
      <c r="AE48" t="str">
        <f t="shared" ca="1" si="3"/>
        <v/>
      </c>
      <c r="AF48" s="6">
        <f t="shared" ca="1" si="4"/>
        <v>0.164090919333445</v>
      </c>
      <c r="AG48">
        <f t="shared" ca="1" si="5"/>
        <v>754.20929987944498</v>
      </c>
      <c r="AH48">
        <f t="shared" ca="1" si="8"/>
        <v>0</v>
      </c>
      <c r="AI48">
        <f t="shared" ca="1" si="9"/>
        <v>0</v>
      </c>
      <c r="AJ48">
        <f t="shared" ca="1" si="10"/>
        <v>93.446845101062294</v>
      </c>
      <c r="AK48">
        <f t="shared" ca="1" si="11"/>
        <v>57.599999999999902</v>
      </c>
      <c r="AL48">
        <f t="shared" ca="1" si="12"/>
        <v>4.57201893883286E-2</v>
      </c>
    </row>
    <row r="49" spans="1:38" hidden="1">
      <c r="A49" t="str">
        <f ca="1">IF(ISNA(A$1), 0, OFFSET(data!$A$1, ROW()-1, A$1-1))</f>
        <v>Oahu</v>
      </c>
      <c r="B49">
        <f ca="1">IF(ISNA(B$1), 0, OFFSET(data!$A$1, ROW()-1, B$1-1))</f>
        <v>2020</v>
      </c>
      <c r="C49" t="str">
        <f ca="1">IF(ISNA(C$1), 0, OFFSET(data!$A$1, ROW()-1, C$1-1))</f>
        <v>2020-04-23-20:00</v>
      </c>
      <c r="D49">
        <f ca="1">IF(ISNA(D$1), 0, OFFSET(data!$A$1, ROW()-1, D$1-1))</f>
        <v>175.98873458899399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287.91208776230098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1.3158870204159E-2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699.71398122150003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999.59140174499998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-299.87742052350001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166.91962553905</v>
      </c>
      <c r="AA49" t="str">
        <f ca="1">IF(ISNA(AA$1), #N/A, OFFSET(data!$A$1, ROW()-1, AA$1-1))</f>
        <v>typical</v>
      </c>
      <c r="AB49">
        <f t="shared" ca="1" si="0"/>
        <v>2020</v>
      </c>
      <c r="AC49">
        <f t="shared" ca="1" si="1"/>
        <v>4</v>
      </c>
      <c r="AD49" t="str">
        <f t="shared" ca="1" si="2"/>
        <v>04/23/2020</v>
      </c>
      <c r="AE49" t="str">
        <f t="shared" ca="1" si="3"/>
        <v/>
      </c>
      <c r="AF49" s="6">
        <f t="shared" ca="1" si="4"/>
        <v>0.16691962553905001</v>
      </c>
      <c r="AG49">
        <f t="shared" ca="1" si="5"/>
        <v>699.71398122150003</v>
      </c>
      <c r="AH49">
        <f t="shared" ca="1" si="8"/>
        <v>0</v>
      </c>
      <c r="AI49">
        <f t="shared" ca="1" si="9"/>
        <v>0</v>
      </c>
      <c r="AJ49">
        <f t="shared" ca="1" si="10"/>
        <v>0</v>
      </c>
      <c r="AK49">
        <f t="shared" ca="1" si="11"/>
        <v>57.599999999999902</v>
      </c>
      <c r="AL49">
        <f t="shared" ca="1" si="12"/>
        <v>1.3158870204159E-2</v>
      </c>
    </row>
    <row r="50" spans="1:38" hidden="1">
      <c r="A50" t="str">
        <f ca="1">IF(ISNA(A$1), 0, OFFSET(data!$A$1, ROW()-1, A$1-1))</f>
        <v>Oahu</v>
      </c>
      <c r="B50">
        <f ca="1">IF(ISNA(B$1), 0, OFFSET(data!$A$1, ROW()-1, B$1-1))</f>
        <v>2020</v>
      </c>
      <c r="C50" t="str">
        <f ca="1">IF(ISNA(C$1), 0, OFFSET(data!$A$1, ROW()-1, C$1-1))</f>
        <v>2020-04-23-22:00</v>
      </c>
      <c r="D50">
        <f ca="1">IF(ISNA(D$1), 0, OFFSET(data!$A$1, ROW()-1, D$1-1))</f>
        <v>175.98873458899399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84.384067250094603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0.74490364301105505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496.91770548210002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709.88243640300004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-212.9647309209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164.09091933344499</v>
      </c>
      <c r="AA50" t="str">
        <f ca="1">IF(ISNA(AA$1), #N/A, OFFSET(data!$A$1, ROW()-1, AA$1-1))</f>
        <v>typical</v>
      </c>
      <c r="AB50">
        <f t="shared" ca="1" si="0"/>
        <v>2020</v>
      </c>
      <c r="AC50">
        <f t="shared" ca="1" si="1"/>
        <v>4</v>
      </c>
      <c r="AD50" t="str">
        <f t="shared" ca="1" si="2"/>
        <v>04/23/2020</v>
      </c>
      <c r="AE50" t="str">
        <f t="shared" ca="1" si="3"/>
        <v/>
      </c>
      <c r="AF50" s="6">
        <f t="shared" ca="1" si="4"/>
        <v>0.164090919333445</v>
      </c>
      <c r="AG50">
        <f t="shared" ca="1" si="5"/>
        <v>496.91770548210002</v>
      </c>
      <c r="AH50">
        <f t="shared" ca="1" si="8"/>
        <v>0</v>
      </c>
      <c r="AI50">
        <f t="shared" ca="1" si="9"/>
        <v>0</v>
      </c>
      <c r="AJ50">
        <f t="shared" ca="1" si="10"/>
        <v>0</v>
      </c>
      <c r="AK50">
        <f t="shared" ca="1" si="11"/>
        <v>57.599999999999902</v>
      </c>
      <c r="AL50">
        <f t="shared" ca="1" si="12"/>
        <v>0.74490364301105505</v>
      </c>
    </row>
    <row r="51" spans="1:38" hidden="1">
      <c r="A51" t="str">
        <f ca="1">IF(ISNA(A$1), 0, OFFSET(data!$A$1, ROW()-1, A$1-1))</f>
        <v>Oahu</v>
      </c>
      <c r="B51">
        <f ca="1">IF(ISNA(B$1), 0, OFFSET(data!$A$1, ROW()-1, B$1-1))</f>
        <v>2020</v>
      </c>
      <c r="C51" t="str">
        <f ca="1">IF(ISNA(C$1), 0, OFFSET(data!$A$1, ROW()-1, C$1-1))</f>
        <v>2020-06-05-00:00</v>
      </c>
      <c r="D51">
        <f ca="1">IF(ISNA(D$1), 0, OFFSET(data!$A$1, ROW()-1, D$1-1))</f>
        <v>175.98873458899399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34.552734129482403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446.34146871847599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555.63590607200001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-109.29443735352299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164.09091933344499</v>
      </c>
      <c r="AA51" t="str">
        <f ca="1">IF(ISNA(AA$1), #N/A, OFFSET(data!$A$1, ROW()-1, AA$1-1))</f>
        <v>peak</v>
      </c>
      <c r="AB51">
        <f t="shared" ca="1" si="0"/>
        <v>2020</v>
      </c>
      <c r="AC51">
        <f t="shared" ca="1" si="1"/>
        <v>6</v>
      </c>
      <c r="AD51" t="str">
        <f t="shared" ca="1" si="2"/>
        <v>06/05/2020</v>
      </c>
      <c r="AE51" t="str">
        <f t="shared" ca="1" si="3"/>
        <v/>
      </c>
      <c r="AF51" s="6">
        <f t="shared" ca="1" si="4"/>
        <v>0.164090919333445</v>
      </c>
      <c r="AG51">
        <f t="shared" ca="1" si="5"/>
        <v>446.34146871847702</v>
      </c>
      <c r="AH51">
        <f t="shared" ca="1" si="8"/>
        <v>0</v>
      </c>
      <c r="AI51">
        <f t="shared" ca="1" si="9"/>
        <v>0</v>
      </c>
      <c r="AJ51">
        <f t="shared" ca="1" si="10"/>
        <v>0</v>
      </c>
      <c r="AK51">
        <f t="shared" ca="1" si="11"/>
        <v>57.599999999999902</v>
      </c>
      <c r="AL51">
        <f t="shared" ca="1" si="12"/>
        <v>34.552734129482403</v>
      </c>
    </row>
    <row r="52" spans="1:38" hidden="1">
      <c r="A52" t="str">
        <f ca="1">IF(ISNA(A$1), 0, OFFSET(data!$A$1, ROW()-1, A$1-1))</f>
        <v>Oahu</v>
      </c>
      <c r="B52">
        <f ca="1">IF(ISNA(B$1), 0, OFFSET(data!$A$1, ROW()-1, B$1-1))</f>
        <v>2020</v>
      </c>
      <c r="C52" t="str">
        <f ca="1">IF(ISNA(C$1), 0, OFFSET(data!$A$1, ROW()-1, C$1-1))</f>
        <v>2020-06-05-02:00</v>
      </c>
      <c r="D52">
        <f ca="1">IF(ISNA(D$1), 0, OFFSET(data!$A$1, ROW()-1, D$1-1))</f>
        <v>175.98873458899399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49.727999999999902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44.750405113493002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506.26713970248699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515.84003680700005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-9.5728971045126894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164.09091933344499</v>
      </c>
      <c r="AA52" t="str">
        <f ca="1">IF(ISNA(AA$1), #N/A, OFFSET(data!$A$1, ROW()-1, AA$1-1))</f>
        <v>peak</v>
      </c>
      <c r="AB52">
        <f t="shared" ca="1" si="0"/>
        <v>2020</v>
      </c>
      <c r="AC52">
        <f t="shared" ca="1" si="1"/>
        <v>6</v>
      </c>
      <c r="AD52" t="str">
        <f t="shared" ca="1" si="2"/>
        <v>06/05/2020</v>
      </c>
      <c r="AE52" t="str">
        <f t="shared" ca="1" si="3"/>
        <v/>
      </c>
      <c r="AF52" s="6">
        <f t="shared" ca="1" si="4"/>
        <v>0.164090919333445</v>
      </c>
      <c r="AG52">
        <f t="shared" ca="1" si="5"/>
        <v>506.26713970248738</v>
      </c>
      <c r="AH52">
        <f t="shared" ca="1" si="8"/>
        <v>0</v>
      </c>
      <c r="AI52">
        <f t="shared" ca="1" si="9"/>
        <v>0</v>
      </c>
      <c r="AJ52">
        <f t="shared" ca="1" si="10"/>
        <v>0</v>
      </c>
      <c r="AK52">
        <f t="shared" ca="1" si="11"/>
        <v>57.599999999999902</v>
      </c>
      <c r="AL52">
        <f t="shared" ca="1" si="12"/>
        <v>44.750405113493002</v>
      </c>
    </row>
    <row r="53" spans="1:38" hidden="1">
      <c r="A53" t="str">
        <f ca="1">IF(ISNA(A$1), 0, OFFSET(data!$A$1, ROW()-1, A$1-1))</f>
        <v>Oahu</v>
      </c>
      <c r="B53">
        <f ca="1">IF(ISNA(B$1), 0, OFFSET(data!$A$1, ROW()-1, B$1-1))</f>
        <v>2020</v>
      </c>
      <c r="C53" t="str">
        <f ca="1">IF(ISNA(C$1), 0, OFFSET(data!$A$1, ROW()-1, C$1-1))</f>
        <v>2020-06-05-04:00</v>
      </c>
      <c r="D53">
        <f ca="1">IF(ISNA(D$1), 0, OFFSET(data!$A$1, ROW()-1, D$1-1))</f>
        <v>175.98873458899399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199.2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84.261409517575999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695.25014410657002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604.13497524700006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91.115168859570204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164.09091933344499</v>
      </c>
      <c r="AA53" t="str">
        <f ca="1">IF(ISNA(AA$1), #N/A, OFFSET(data!$A$1, ROW()-1, AA$1-1))</f>
        <v>peak</v>
      </c>
      <c r="AB53">
        <f t="shared" ca="1" si="0"/>
        <v>2020</v>
      </c>
      <c r="AC53">
        <f t="shared" ca="1" si="1"/>
        <v>6</v>
      </c>
      <c r="AD53" t="str">
        <f t="shared" ca="1" si="2"/>
        <v>06/05/2020</v>
      </c>
      <c r="AE53" t="str">
        <f t="shared" ca="1" si="3"/>
        <v/>
      </c>
      <c r="AF53" s="6">
        <f t="shared" ca="1" si="4"/>
        <v>0.164090919333445</v>
      </c>
      <c r="AG53">
        <f t="shared" ca="1" si="5"/>
        <v>695.25014410657025</v>
      </c>
      <c r="AH53">
        <f t="shared" ca="1" si="8"/>
        <v>0</v>
      </c>
      <c r="AI53">
        <f t="shared" ca="1" si="9"/>
        <v>0</v>
      </c>
      <c r="AJ53">
        <f t="shared" ca="1" si="10"/>
        <v>0</v>
      </c>
      <c r="AK53">
        <f t="shared" ca="1" si="11"/>
        <v>57.599999999999902</v>
      </c>
      <c r="AL53">
        <f t="shared" ca="1" si="12"/>
        <v>84.261409517575999</v>
      </c>
    </row>
    <row r="54" spans="1:38" hidden="1">
      <c r="A54" t="str">
        <f ca="1">IF(ISNA(A$1), 0, OFFSET(data!$A$1, ROW()-1, A$1-1))</f>
        <v>Oahu</v>
      </c>
      <c r="B54">
        <f ca="1">IF(ISNA(B$1), 0, OFFSET(data!$A$1, ROW()-1, B$1-1))</f>
        <v>2020</v>
      </c>
      <c r="C54" t="str">
        <f ca="1">IF(ISNA(C$1), 0, OFFSET(data!$A$1, ROW()-1, C$1-1))</f>
        <v>2020-06-05-06:00</v>
      </c>
      <c r="D54">
        <f ca="1">IF(ISNA(D$1), 0, OFFSET(data!$A$1, ROW()-1, D$1-1))</f>
        <v>175.98873458899399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154.667988741242</v>
      </c>
      <c r="L54">
        <f ca="1">IF(ISNA(L$1), 0, OFFSET(data!$A$1, ROW()-1, L$1-1))</f>
        <v>57.599999999999902</v>
      </c>
      <c r="M54">
        <f ca="1">IF(ISNA(M$1), 0, OFFSET(data!$A$1, ROW()-1, M$1-1))</f>
        <v>84.992363156429207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651.44908648666603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914.56095454800004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-263.11186806133298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164.09091933344499</v>
      </c>
      <c r="AA54" t="str">
        <f ca="1">IF(ISNA(AA$1), #N/A, OFFSET(data!$A$1, ROW()-1, AA$1-1))</f>
        <v>peak</v>
      </c>
      <c r="AB54">
        <f t="shared" ca="1" si="0"/>
        <v>2020</v>
      </c>
      <c r="AC54">
        <f t="shared" ca="1" si="1"/>
        <v>6</v>
      </c>
      <c r="AD54" t="str">
        <f t="shared" ca="1" si="2"/>
        <v>06/05/2020</v>
      </c>
      <c r="AE54" t="str">
        <f t="shared" ca="1" si="3"/>
        <v/>
      </c>
      <c r="AF54" s="6">
        <f t="shared" ca="1" si="4"/>
        <v>0.164090919333445</v>
      </c>
      <c r="AG54">
        <f t="shared" ca="1" si="5"/>
        <v>651.44908648666706</v>
      </c>
      <c r="AH54">
        <f t="shared" ca="1" si="8"/>
        <v>0</v>
      </c>
      <c r="AI54">
        <f t="shared" ca="1" si="9"/>
        <v>0</v>
      </c>
      <c r="AJ54">
        <f t="shared" ca="1" si="10"/>
        <v>154.667988741242</v>
      </c>
      <c r="AK54">
        <f t="shared" ca="1" si="11"/>
        <v>57.599999999999902</v>
      </c>
      <c r="AL54">
        <f t="shared" ca="1" si="12"/>
        <v>84.992363156429207</v>
      </c>
    </row>
    <row r="55" spans="1:38" hidden="1">
      <c r="A55" t="str">
        <f ca="1">IF(ISNA(A$1), 0, OFFSET(data!$A$1, ROW()-1, A$1-1))</f>
        <v>Oahu</v>
      </c>
      <c r="B55">
        <f ca="1">IF(ISNA(B$1), 0, OFFSET(data!$A$1, ROW()-1, B$1-1))</f>
        <v>2020</v>
      </c>
      <c r="C55" t="str">
        <f ca="1">IF(ISNA(C$1), 0, OFFSET(data!$A$1, ROW()-1, C$1-1))</f>
        <v>2020-06-05-08:00</v>
      </c>
      <c r="D55">
        <f ca="1">IF(ISNA(D$1), 0, OFFSET(data!$A$1, ROW()-1, D$1-1))</f>
        <v>175.98873458899399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49.727999999999902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648.30524633999903</v>
      </c>
      <c r="L55">
        <f ca="1">IF(ISNA(L$1), 0, OFFSET(data!$A$1, ROW()-1, L$1-1))</f>
        <v>57.599999999999902</v>
      </c>
      <c r="M55">
        <f ca="1">IF(ISNA(M$1), 0, OFFSET(data!$A$1, ROW()-1, M$1-1))</f>
        <v>61.874131312356397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1171.69611224134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1102.74653876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68.9495734813502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164.09091933344499</v>
      </c>
      <c r="AA55" t="str">
        <f ca="1">IF(ISNA(AA$1), #N/A, OFFSET(data!$A$1, ROW()-1, AA$1-1))</f>
        <v>peak</v>
      </c>
      <c r="AB55">
        <f t="shared" ca="1" si="0"/>
        <v>2020</v>
      </c>
      <c r="AC55">
        <f t="shared" ca="1" si="1"/>
        <v>6</v>
      </c>
      <c r="AD55" t="str">
        <f t="shared" ca="1" si="2"/>
        <v>06/05/2020</v>
      </c>
      <c r="AE55" t="str">
        <f t="shared" ca="1" si="3"/>
        <v/>
      </c>
      <c r="AF55" s="6">
        <f t="shared" ca="1" si="4"/>
        <v>0.164090919333445</v>
      </c>
      <c r="AG55">
        <f t="shared" ca="1" si="5"/>
        <v>1171.6961122413502</v>
      </c>
      <c r="AH55">
        <f t="shared" ca="1" si="8"/>
        <v>0</v>
      </c>
      <c r="AI55">
        <f t="shared" ca="1" si="9"/>
        <v>0</v>
      </c>
      <c r="AJ55">
        <f t="shared" ca="1" si="10"/>
        <v>648.30524633999903</v>
      </c>
      <c r="AK55">
        <f t="shared" ca="1" si="11"/>
        <v>57.599999999999902</v>
      </c>
      <c r="AL55">
        <f t="shared" ca="1" si="12"/>
        <v>61.874131312356397</v>
      </c>
    </row>
    <row r="56" spans="1:38" hidden="1">
      <c r="A56" t="str">
        <f ca="1">IF(ISNA(A$1), 0, OFFSET(data!$A$1, ROW()-1, A$1-1))</f>
        <v>Oahu</v>
      </c>
      <c r="B56">
        <f ca="1">IF(ISNA(B$1), 0, OFFSET(data!$A$1, ROW()-1, B$1-1))</f>
        <v>2020</v>
      </c>
      <c r="C56" t="str">
        <f ca="1">IF(ISNA(C$1), 0, OFFSET(data!$A$1, ROW()-1, C$1-1))</f>
        <v>2020-06-05-10:00</v>
      </c>
      <c r="D56">
        <f ca="1">IF(ISNA(D$1), 0, OFFSET(data!$A$1, ROW()-1, D$1-1))</f>
        <v>175.98873458899399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65.8053825410651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819.885604786145</v>
      </c>
      <c r="L56">
        <f ca="1">IF(ISNA(L$1), 0, OFFSET(data!$A$1, ROW()-1, L$1-1))</f>
        <v>57.599999999999902</v>
      </c>
      <c r="M56">
        <f ca="1">IF(ISNA(M$1), 0, OFFSET(data!$A$1, ROW()-1, M$1-1))</f>
        <v>43.318959699460201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1340.7986816156599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1177.8814390699999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162.917242545665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164.09091933344499</v>
      </c>
      <c r="AA56" t="str">
        <f ca="1">IF(ISNA(AA$1), #N/A, OFFSET(data!$A$1, ROW()-1, AA$1-1))</f>
        <v>peak</v>
      </c>
      <c r="AB56">
        <f t="shared" ca="1" si="0"/>
        <v>2020</v>
      </c>
      <c r="AC56">
        <f t="shared" ca="1" si="1"/>
        <v>6</v>
      </c>
      <c r="AD56" t="str">
        <f t="shared" ca="1" si="2"/>
        <v>06/05/2020</v>
      </c>
      <c r="AE56" t="str">
        <f t="shared" ca="1" si="3"/>
        <v/>
      </c>
      <c r="AF56" s="6">
        <f t="shared" ca="1" si="4"/>
        <v>0.164090919333445</v>
      </c>
      <c r="AG56">
        <f t="shared" ca="1" si="5"/>
        <v>1340.7986816156649</v>
      </c>
      <c r="AH56">
        <f t="shared" ca="1" si="8"/>
        <v>0</v>
      </c>
      <c r="AI56">
        <f t="shared" ca="1" si="9"/>
        <v>0</v>
      </c>
      <c r="AJ56">
        <f t="shared" ca="1" si="10"/>
        <v>819.885604786145</v>
      </c>
      <c r="AK56">
        <f t="shared" ca="1" si="11"/>
        <v>57.599999999999902</v>
      </c>
      <c r="AL56">
        <f t="shared" ca="1" si="12"/>
        <v>43.318959699460201</v>
      </c>
    </row>
    <row r="57" spans="1:38" hidden="1">
      <c r="A57" t="str">
        <f ca="1">IF(ISNA(A$1), 0, OFFSET(data!$A$1, ROW()-1, A$1-1))</f>
        <v>Oahu</v>
      </c>
      <c r="B57">
        <f ca="1">IF(ISNA(B$1), 0, OFFSET(data!$A$1, ROW()-1, B$1-1))</f>
        <v>2020</v>
      </c>
      <c r="C57" t="str">
        <f ca="1">IF(ISNA(C$1), 0, OFFSET(data!$A$1, ROW()-1, C$1-1))</f>
        <v>2020-06-05-12:00</v>
      </c>
      <c r="D57">
        <f ca="1">IF(ISNA(D$1), 0, OFFSET(data!$A$1, ROW()-1, D$1-1))</f>
        <v>175.98873458899399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248.928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843.27353016105997</v>
      </c>
      <c r="L57">
        <f ca="1">IF(ISNA(L$1), 0, OFFSET(data!$A$1, ROW()-1, L$1-1))</f>
        <v>57.599999999999902</v>
      </c>
      <c r="M57">
        <f ca="1">IF(ISNA(M$1), 0, OFFSET(data!$A$1, ROW()-1, M$1-1))</f>
        <v>68.742612916113103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1572.73287766616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1206.3971151799999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366.33576248616799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164.09091933344499</v>
      </c>
      <c r="AA57" t="str">
        <f ca="1">IF(ISNA(AA$1), #N/A, OFFSET(data!$A$1, ROW()-1, AA$1-1))</f>
        <v>peak</v>
      </c>
      <c r="AB57">
        <f t="shared" ca="1" si="0"/>
        <v>2020</v>
      </c>
      <c r="AC57">
        <f t="shared" ca="1" si="1"/>
        <v>6</v>
      </c>
      <c r="AD57" t="str">
        <f t="shared" ca="1" si="2"/>
        <v>06/05/2020</v>
      </c>
      <c r="AE57" t="str">
        <f t="shared" ca="1" si="3"/>
        <v>06/05/2020</v>
      </c>
      <c r="AF57" s="6">
        <f t="shared" ca="1" si="4"/>
        <v>0.164090919333445</v>
      </c>
      <c r="AG57">
        <f t="shared" ca="1" si="5"/>
        <v>1572.732877666168</v>
      </c>
      <c r="AH57">
        <f t="shared" ca="1" si="8"/>
        <v>0</v>
      </c>
      <c r="AI57">
        <f t="shared" ca="1" si="9"/>
        <v>0</v>
      </c>
      <c r="AJ57">
        <f t="shared" ca="1" si="10"/>
        <v>843.27353016105997</v>
      </c>
      <c r="AK57">
        <f t="shared" ca="1" si="11"/>
        <v>57.599999999999902</v>
      </c>
      <c r="AL57">
        <f t="shared" ca="1" si="12"/>
        <v>68.742612916113103</v>
      </c>
    </row>
    <row r="58" spans="1:38" hidden="1">
      <c r="A58" t="str">
        <f ca="1">IF(ISNA(A$1), 0, OFFSET(data!$A$1, ROW()-1, A$1-1))</f>
        <v>Oahu</v>
      </c>
      <c r="B58">
        <f ca="1">IF(ISNA(B$1), 0, OFFSET(data!$A$1, ROW()-1, B$1-1))</f>
        <v>2020</v>
      </c>
      <c r="C58" t="str">
        <f ca="1">IF(ISNA(C$1), 0, OFFSET(data!$A$1, ROW()-1, C$1-1))</f>
        <v>2020-06-05-14:00</v>
      </c>
      <c r="D58">
        <f ca="1">IF(ISNA(D$1), 0, OFFSET(data!$A$1, ROW()-1, D$1-1))</f>
        <v>175.98873458899399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841.59288208633802</v>
      </c>
      <c r="L58">
        <f ca="1">IF(ISNA(L$1), 0, OFFSET(data!$A$1, ROW()-1, L$1-1))</f>
        <v>57.599999999999902</v>
      </c>
      <c r="M58">
        <f ca="1">IF(ISNA(M$1), 0, OFFSET(data!$A$1, ROW()-1, M$1-1))</f>
        <v>63.186849549910001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1316.5684662252399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1216.30997329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100.258492935242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164.09091933344499</v>
      </c>
      <c r="AA58" t="str">
        <f ca="1">IF(ISNA(AA$1), #N/A, OFFSET(data!$A$1, ROW()-1, AA$1-1))</f>
        <v>peak</v>
      </c>
      <c r="AB58">
        <f t="shared" ca="1" si="0"/>
        <v>2020</v>
      </c>
      <c r="AC58">
        <f t="shared" ca="1" si="1"/>
        <v>6</v>
      </c>
      <c r="AD58" t="str">
        <f t="shared" ca="1" si="2"/>
        <v>06/05/2020</v>
      </c>
      <c r="AE58" t="str">
        <f t="shared" ca="1" si="3"/>
        <v/>
      </c>
      <c r="AF58" s="6">
        <f t="shared" ca="1" si="4"/>
        <v>0.164090919333445</v>
      </c>
      <c r="AG58">
        <f t="shared" ca="1" si="5"/>
        <v>1316.568466225242</v>
      </c>
      <c r="AH58">
        <f t="shared" ca="1" si="8"/>
        <v>0</v>
      </c>
      <c r="AI58">
        <f t="shared" ca="1" si="9"/>
        <v>0</v>
      </c>
      <c r="AJ58">
        <f t="shared" ca="1" si="10"/>
        <v>841.59288208633802</v>
      </c>
      <c r="AK58">
        <f t="shared" ca="1" si="11"/>
        <v>57.599999999999902</v>
      </c>
      <c r="AL58">
        <f t="shared" ca="1" si="12"/>
        <v>63.186849549910001</v>
      </c>
    </row>
    <row r="59" spans="1:38" hidden="1">
      <c r="A59" t="str">
        <f ca="1">IF(ISNA(A$1), 0, OFFSET(data!$A$1, ROW()-1, A$1-1))</f>
        <v>Oahu</v>
      </c>
      <c r="B59">
        <f ca="1">IF(ISNA(B$1), 0, OFFSET(data!$A$1, ROW()-1, B$1-1))</f>
        <v>2020</v>
      </c>
      <c r="C59" t="str">
        <f ca="1">IF(ISNA(C$1), 0, OFFSET(data!$A$1, ROW()-1, C$1-1))</f>
        <v>2020-06-05-16:00</v>
      </c>
      <c r="D59">
        <f ca="1">IF(ISNA(D$1), 0, OFFSET(data!$A$1, ROW()-1, D$1-1))</f>
        <v>175.98873458899399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99.551999999999893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730.39379634773798</v>
      </c>
      <c r="L59">
        <f ca="1">IF(ISNA(L$1), 0, OFFSET(data!$A$1, ROW()-1, L$1-1))</f>
        <v>57.599999999999902</v>
      </c>
      <c r="M59">
        <f ca="1">IF(ISNA(M$1), 0, OFFSET(data!$A$1, ROW()-1, M$1-1))</f>
        <v>48.947489741375399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1290.6820206780999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1184.53371666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106.148304018107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164.09091933344499</v>
      </c>
      <c r="AA59" t="str">
        <f ca="1">IF(ISNA(AA$1), #N/A, OFFSET(data!$A$1, ROW()-1, AA$1-1))</f>
        <v>peak</v>
      </c>
      <c r="AB59">
        <f t="shared" ca="1" si="0"/>
        <v>2020</v>
      </c>
      <c r="AC59">
        <f t="shared" ca="1" si="1"/>
        <v>6</v>
      </c>
      <c r="AD59" t="str">
        <f t="shared" ca="1" si="2"/>
        <v>06/05/2020</v>
      </c>
      <c r="AE59" t="str">
        <f t="shared" ca="1" si="3"/>
        <v/>
      </c>
      <c r="AF59" s="6">
        <f t="shared" ca="1" si="4"/>
        <v>0.164090919333445</v>
      </c>
      <c r="AG59">
        <f t="shared" ca="1" si="5"/>
        <v>1290.6820206781069</v>
      </c>
      <c r="AH59">
        <f t="shared" ca="1" si="8"/>
        <v>0</v>
      </c>
      <c r="AI59">
        <f t="shared" ca="1" si="9"/>
        <v>0</v>
      </c>
      <c r="AJ59">
        <f t="shared" ca="1" si="10"/>
        <v>730.39379634773798</v>
      </c>
      <c r="AK59">
        <f t="shared" ca="1" si="11"/>
        <v>57.599999999999902</v>
      </c>
      <c r="AL59">
        <f t="shared" ca="1" si="12"/>
        <v>48.947489741375399</v>
      </c>
    </row>
    <row r="60" spans="1:38" hidden="1">
      <c r="A60" t="str">
        <f ca="1">IF(ISNA(A$1), 0, OFFSET(data!$A$1, ROW()-1, A$1-1))</f>
        <v>Oahu</v>
      </c>
      <c r="B60">
        <f ca="1">IF(ISNA(B$1), 0, OFFSET(data!$A$1, ROW()-1, B$1-1))</f>
        <v>2020</v>
      </c>
      <c r="C60" t="str">
        <f ca="1">IF(ISNA(C$1), 0, OFFSET(data!$A$1, ROW()-1, C$1-1))</f>
        <v>2020-06-05-18:00</v>
      </c>
      <c r="D60">
        <f ca="1">IF(ISNA(D$1), 0, OFFSET(data!$A$1, ROW()-1, D$1-1))</f>
        <v>175.98873458899399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199.10399999999899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499.06823403974101</v>
      </c>
      <c r="L60">
        <f ca="1">IF(ISNA(L$1), 0, OFFSET(data!$A$1, ROW()-1, L$1-1))</f>
        <v>57.599999999999902</v>
      </c>
      <c r="M60">
        <f ca="1">IF(ISNA(M$1), 0, OFFSET(data!$A$1, ROW()-1, M$1-1))</f>
        <v>67.4306407963293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1177.3916094250601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1124.24178392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53.149825505065202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164.09091933344499</v>
      </c>
      <c r="AA60" t="str">
        <f ca="1">IF(ISNA(AA$1), #N/A, OFFSET(data!$A$1, ROW()-1, AA$1-1))</f>
        <v>peak</v>
      </c>
      <c r="AB60">
        <f t="shared" ca="1" si="0"/>
        <v>2020</v>
      </c>
      <c r="AC60">
        <f t="shared" ca="1" si="1"/>
        <v>6</v>
      </c>
      <c r="AD60" t="str">
        <f t="shared" ca="1" si="2"/>
        <v>06/05/2020</v>
      </c>
      <c r="AE60" t="str">
        <f t="shared" ca="1" si="3"/>
        <v/>
      </c>
      <c r="AF60" s="6">
        <f t="shared" ca="1" si="4"/>
        <v>0.164090919333445</v>
      </c>
      <c r="AG60">
        <f t="shared" ca="1" si="5"/>
        <v>1177.3916094250651</v>
      </c>
      <c r="AH60">
        <f t="shared" ca="1" si="8"/>
        <v>0</v>
      </c>
      <c r="AI60">
        <f t="shared" ca="1" si="9"/>
        <v>0</v>
      </c>
      <c r="AJ60">
        <f t="shared" ca="1" si="10"/>
        <v>499.06823403974101</v>
      </c>
      <c r="AK60">
        <f t="shared" ca="1" si="11"/>
        <v>57.599999999999902</v>
      </c>
      <c r="AL60">
        <f t="shared" ca="1" si="12"/>
        <v>67.4306407963293</v>
      </c>
    </row>
    <row r="61" spans="1:38" hidden="1">
      <c r="A61" t="str">
        <f ca="1">IF(ISNA(A$1), 0, OFFSET(data!$A$1, ROW()-1, A$1-1))</f>
        <v>Oahu</v>
      </c>
      <c r="B61">
        <f ca="1">IF(ISNA(B$1), 0, OFFSET(data!$A$1, ROW()-1, B$1-1))</f>
        <v>2020</v>
      </c>
      <c r="C61" t="str">
        <f ca="1">IF(ISNA(C$1), 0, OFFSET(data!$A$1, ROW()-1, C$1-1))</f>
        <v>2020-06-05-20:00</v>
      </c>
      <c r="D61">
        <f ca="1">IF(ISNA(D$1), 0, OFFSET(data!$A$1, ROW()-1, D$1-1))</f>
        <v>175.98873458899399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305.89900766464501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40.338522140360404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758.02626439400001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1082.8946634199999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-324.868399025999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166.91962553905</v>
      </c>
      <c r="AA61" t="str">
        <f ca="1">IF(ISNA(AA$1), #N/A, OFFSET(data!$A$1, ROW()-1, AA$1-1))</f>
        <v>peak</v>
      </c>
      <c r="AB61">
        <f t="shared" ca="1" si="0"/>
        <v>2020</v>
      </c>
      <c r="AC61">
        <f t="shared" ca="1" si="1"/>
        <v>6</v>
      </c>
      <c r="AD61" t="str">
        <f t="shared" ca="1" si="2"/>
        <v>06/05/2020</v>
      </c>
      <c r="AE61" t="str">
        <f t="shared" ca="1" si="3"/>
        <v/>
      </c>
      <c r="AF61" s="6">
        <f t="shared" ca="1" si="4"/>
        <v>0.16691962553905001</v>
      </c>
      <c r="AG61">
        <f t="shared" ca="1" si="5"/>
        <v>758.02626439400092</v>
      </c>
      <c r="AH61">
        <f t="shared" ca="1" si="8"/>
        <v>0</v>
      </c>
      <c r="AI61">
        <f t="shared" ca="1" si="9"/>
        <v>0</v>
      </c>
      <c r="AJ61">
        <f t="shared" ca="1" si="10"/>
        <v>0</v>
      </c>
      <c r="AK61">
        <f t="shared" ca="1" si="11"/>
        <v>57.599999999999902</v>
      </c>
      <c r="AL61">
        <f t="shared" ca="1" si="12"/>
        <v>40.338522140360404</v>
      </c>
    </row>
    <row r="62" spans="1:38" hidden="1">
      <c r="A62" t="str">
        <f ca="1">IF(ISNA(A$1), 0, OFFSET(data!$A$1, ROW()-1, A$1-1))</f>
        <v>Oahu</v>
      </c>
      <c r="B62">
        <f ca="1">IF(ISNA(B$1), 0, OFFSET(data!$A$1, ROW()-1, B$1-1))</f>
        <v>2020</v>
      </c>
      <c r="C62" t="str">
        <f ca="1">IF(ISNA(C$1), 0, OFFSET(data!$A$1, ROW()-1, C$1-1))</f>
        <v>2020-06-05-22:00</v>
      </c>
      <c r="D62">
        <f ca="1">IF(ISNA(D$1), 0, OFFSET(data!$A$1, ROW()-1, D$1-1))</f>
        <v>175.98873458899399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107.95449135216199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44.985900059042798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564.72912600019902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806.75589428599994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-242.02676828579899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164.09091933344499</v>
      </c>
      <c r="AA62" t="str">
        <f ca="1">IF(ISNA(AA$1), #N/A, OFFSET(data!$A$1, ROW()-1, AA$1-1))</f>
        <v>peak</v>
      </c>
      <c r="AB62">
        <f t="shared" ca="1" si="0"/>
        <v>2020</v>
      </c>
      <c r="AC62">
        <f t="shared" ca="1" si="1"/>
        <v>6</v>
      </c>
      <c r="AD62" t="str">
        <f t="shared" ca="1" si="2"/>
        <v>06/05/2020</v>
      </c>
      <c r="AE62" t="str">
        <f t="shared" ca="1" si="3"/>
        <v/>
      </c>
      <c r="AF62" s="6">
        <f t="shared" ca="1" si="4"/>
        <v>0.164090919333445</v>
      </c>
      <c r="AG62">
        <f t="shared" ca="1" si="5"/>
        <v>564.72912600020095</v>
      </c>
      <c r="AH62">
        <f t="shared" ca="1" si="8"/>
        <v>0</v>
      </c>
      <c r="AI62">
        <f t="shared" ca="1" si="9"/>
        <v>0</v>
      </c>
      <c r="AJ62">
        <f t="shared" ca="1" si="10"/>
        <v>0</v>
      </c>
      <c r="AK62">
        <f t="shared" ca="1" si="11"/>
        <v>57.599999999999902</v>
      </c>
      <c r="AL62">
        <f t="shared" ca="1" si="12"/>
        <v>44.985900059042798</v>
      </c>
    </row>
    <row r="63" spans="1:38" hidden="1">
      <c r="A63" t="str">
        <f ca="1">IF(ISNA(A$1), 0, OFFSET(data!$A$1, ROW()-1, A$1-1))</f>
        <v>Oahu</v>
      </c>
      <c r="B63">
        <f ca="1">IF(ISNA(B$1), 0, OFFSET(data!$A$1, ROW()-1, B$1-1))</f>
        <v>2020</v>
      </c>
      <c r="C63" t="str">
        <f ca="1">IF(ISNA(C$1), 0, OFFSET(data!$A$1, ROW()-1, C$1-1))</f>
        <v>2020-06-22-00:00</v>
      </c>
      <c r="D63">
        <f ca="1">IF(ISNA(D$1), 0, OFFSET(data!$A$1, ROW()-1, D$1-1))</f>
        <v>175.98873458899399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64.106863824339996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475.89559841333403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575.15177403899997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-99.256175625665605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32.832191642530802</v>
      </c>
      <c r="AA63" t="str">
        <f ca="1">IF(ISNA(AA$1), #N/A, OFFSET(data!$A$1, ROW()-1, AA$1-1))</f>
        <v>typical</v>
      </c>
      <c r="AB63">
        <f t="shared" ca="1" si="0"/>
        <v>2020</v>
      </c>
      <c r="AC63">
        <f t="shared" ca="1" si="1"/>
        <v>6</v>
      </c>
      <c r="AD63" t="str">
        <f t="shared" ca="1" si="2"/>
        <v>06/22/2020</v>
      </c>
      <c r="AE63" t="str">
        <f t="shared" ca="1" si="3"/>
        <v/>
      </c>
      <c r="AF63" s="6">
        <f t="shared" ca="1" si="4"/>
        <v>3.2832191642530803E-2</v>
      </c>
      <c r="AG63">
        <f t="shared" ca="1" si="5"/>
        <v>475.89559841333437</v>
      </c>
      <c r="AH63">
        <f t="shared" ca="1" si="8"/>
        <v>0</v>
      </c>
      <c r="AI63">
        <f t="shared" ca="1" si="9"/>
        <v>0</v>
      </c>
      <c r="AJ63">
        <f t="shared" ca="1" si="10"/>
        <v>0</v>
      </c>
      <c r="AK63">
        <f t="shared" ca="1" si="11"/>
        <v>57.599999999999902</v>
      </c>
      <c r="AL63">
        <f t="shared" ca="1" si="12"/>
        <v>64.106863824339996</v>
      </c>
    </row>
    <row r="64" spans="1:38" hidden="1">
      <c r="A64" t="str">
        <f ca="1">IF(ISNA(A$1), 0, OFFSET(data!$A$1, ROW()-1, A$1-1))</f>
        <v>Oahu</v>
      </c>
      <c r="B64">
        <f ca="1">IF(ISNA(B$1), 0, OFFSET(data!$A$1, ROW()-1, B$1-1))</f>
        <v>2020</v>
      </c>
      <c r="C64" t="str">
        <f ca="1">IF(ISNA(C$1), 0, OFFSET(data!$A$1, ROW()-1, C$1-1))</f>
        <v>2020-06-22-02:00</v>
      </c>
      <c r="D64">
        <f ca="1">IF(ISNA(D$1), 0, OFFSET(data!$A$1, ROW()-1, D$1-1))</f>
        <v>175.98873458899399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50.875349316687497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462.66408390568103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494.642162079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-31.978078173318099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32.832191642530802</v>
      </c>
      <c r="AA64" t="str">
        <f ca="1">IF(ISNA(AA$1), #N/A, OFFSET(data!$A$1, ROW()-1, AA$1-1))</f>
        <v>typical</v>
      </c>
      <c r="AB64">
        <f t="shared" ca="1" si="0"/>
        <v>2020</v>
      </c>
      <c r="AC64">
        <f t="shared" ca="1" si="1"/>
        <v>6</v>
      </c>
      <c r="AD64" t="str">
        <f t="shared" ca="1" si="2"/>
        <v>06/22/2020</v>
      </c>
      <c r="AE64" t="str">
        <f t="shared" ca="1" si="3"/>
        <v/>
      </c>
      <c r="AF64" s="6">
        <f t="shared" ca="1" si="4"/>
        <v>3.2832191642530803E-2</v>
      </c>
      <c r="AG64">
        <f t="shared" ca="1" si="5"/>
        <v>462.66408390568188</v>
      </c>
      <c r="AH64">
        <f t="shared" ca="1" si="8"/>
        <v>0</v>
      </c>
      <c r="AI64">
        <f t="shared" ca="1" si="9"/>
        <v>0</v>
      </c>
      <c r="AJ64">
        <f t="shared" ca="1" si="10"/>
        <v>0</v>
      </c>
      <c r="AK64">
        <f t="shared" ca="1" si="11"/>
        <v>57.599999999999902</v>
      </c>
      <c r="AL64">
        <f t="shared" ca="1" si="12"/>
        <v>50.875349316687497</v>
      </c>
    </row>
    <row r="65" spans="1:38" hidden="1">
      <c r="A65" t="str">
        <f ca="1">IF(ISNA(A$1), 0, OFFSET(data!$A$1, ROW()-1, A$1-1))</f>
        <v>Oahu</v>
      </c>
      <c r="B65">
        <f ca="1">IF(ISNA(B$1), 0, OFFSET(data!$A$1, ROW()-1, B$1-1))</f>
        <v>2020</v>
      </c>
      <c r="C65" t="str">
        <f ca="1">IF(ISNA(C$1), 0, OFFSET(data!$A$1, ROW()-1, C$1-1))</f>
        <v>2020-06-22-04:00</v>
      </c>
      <c r="D65">
        <f ca="1">IF(ISNA(D$1), 0, OFFSET(data!$A$1, ROW()-1, D$1-1))</f>
        <v>175.98873458899399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50.833267460476499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462.62200204946998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502.87485012600001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-40.252848076529098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32.832191642530802</v>
      </c>
      <c r="AA65" t="str">
        <f ca="1">IF(ISNA(AA$1), #N/A, OFFSET(data!$A$1, ROW()-1, AA$1-1))</f>
        <v>typical</v>
      </c>
      <c r="AB65">
        <f t="shared" ca="1" si="0"/>
        <v>2020</v>
      </c>
      <c r="AC65">
        <f t="shared" ca="1" si="1"/>
        <v>6</v>
      </c>
      <c r="AD65" t="str">
        <f t="shared" ca="1" si="2"/>
        <v>06/22/2020</v>
      </c>
      <c r="AE65" t="str">
        <f t="shared" ca="1" si="3"/>
        <v/>
      </c>
      <c r="AF65" s="6">
        <f t="shared" ca="1" si="4"/>
        <v>3.2832191642530803E-2</v>
      </c>
      <c r="AG65">
        <f t="shared" ca="1" si="5"/>
        <v>462.62200204947089</v>
      </c>
      <c r="AH65">
        <f t="shared" ca="1" si="8"/>
        <v>0</v>
      </c>
      <c r="AI65">
        <f t="shared" ca="1" si="9"/>
        <v>0</v>
      </c>
      <c r="AJ65">
        <f t="shared" ca="1" si="10"/>
        <v>0</v>
      </c>
      <c r="AK65">
        <f t="shared" ca="1" si="11"/>
        <v>57.599999999999902</v>
      </c>
      <c r="AL65">
        <f t="shared" ca="1" si="12"/>
        <v>50.833267460476499</v>
      </c>
    </row>
    <row r="66" spans="1:38" hidden="1">
      <c r="A66" t="str">
        <f ca="1">IF(ISNA(A$1), 0, OFFSET(data!$A$1, ROW()-1, A$1-1))</f>
        <v>Oahu</v>
      </c>
      <c r="B66">
        <f ca="1">IF(ISNA(B$1), 0, OFFSET(data!$A$1, ROW()-1, B$1-1))</f>
        <v>2020</v>
      </c>
      <c r="C66" t="str">
        <f ca="1">IF(ISNA(C$1), 0, OFFSET(data!$A$1, ROW()-1, C$1-1))</f>
        <v>2020-06-22-06:00</v>
      </c>
      <c r="D66">
        <f ca="1">IF(ISNA(D$1), 0, OFFSET(data!$A$1, ROW()-1, D$1-1))</f>
        <v>175.98873458899399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0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172.261803454291</v>
      </c>
      <c r="L66">
        <f ca="1">IF(ISNA(L$1), 0, OFFSET(data!$A$1, ROW()-1, L$1-1))</f>
        <v>57.599999999999902</v>
      </c>
      <c r="M66">
        <f ca="1">IF(ISNA(M$1), 0, OFFSET(data!$A$1, ROW()-1, M$1-1))</f>
        <v>62.356924551720802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468.20746259500601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605.00879901999997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-136.801336424993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32.832191642530802</v>
      </c>
      <c r="AA66" t="str">
        <f ca="1">IF(ISNA(AA$1), #N/A, OFFSET(data!$A$1, ROW()-1, AA$1-1))</f>
        <v>typical</v>
      </c>
      <c r="AB66">
        <f t="shared" ca="1" si="0"/>
        <v>2020</v>
      </c>
      <c r="AC66">
        <f t="shared" ca="1" si="1"/>
        <v>6</v>
      </c>
      <c r="AD66" t="str">
        <f t="shared" ca="1" si="2"/>
        <v>06/22/2020</v>
      </c>
      <c r="AE66" t="str">
        <f t="shared" ca="1" si="3"/>
        <v/>
      </c>
      <c r="AF66" s="6">
        <f t="shared" ca="1" si="4"/>
        <v>3.2832191642530803E-2</v>
      </c>
      <c r="AG66">
        <f t="shared" ca="1" si="5"/>
        <v>468.20746259500697</v>
      </c>
      <c r="AH66">
        <f t="shared" ca="1" si="8"/>
        <v>0</v>
      </c>
      <c r="AI66">
        <f t="shared" ca="1" si="9"/>
        <v>0</v>
      </c>
      <c r="AJ66">
        <f t="shared" ca="1" si="10"/>
        <v>172.261803454291</v>
      </c>
      <c r="AK66">
        <f t="shared" ca="1" si="11"/>
        <v>57.599999999999902</v>
      </c>
      <c r="AL66">
        <f t="shared" ca="1" si="12"/>
        <v>62.356924551720802</v>
      </c>
    </row>
    <row r="67" spans="1:38" hidden="1">
      <c r="A67" t="str">
        <f ca="1">IF(ISNA(A$1), 0, OFFSET(data!$A$1, ROW()-1, A$1-1))</f>
        <v>Oahu</v>
      </c>
      <c r="B67">
        <f ca="1">IF(ISNA(B$1), 0, OFFSET(data!$A$1, ROW()-1, B$1-1))</f>
        <v>2020</v>
      </c>
      <c r="C67" t="str">
        <f ca="1">IF(ISNA(C$1), 0, OFFSET(data!$A$1, ROW()-1, C$1-1))</f>
        <v>2020-06-22-08:00</v>
      </c>
      <c r="D67">
        <f ca="1">IF(ISNA(D$1), 0, OFFSET(data!$A$1, ROW()-1, D$1-1))</f>
        <v>175.98873458899399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0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473.93949395661099</v>
      </c>
      <c r="L67">
        <f ca="1">IF(ISNA(L$1), 0, OFFSET(data!$A$1, ROW()-1, L$1-1))</f>
        <v>57.599999999999902</v>
      </c>
      <c r="M67">
        <f ca="1">IF(ISNA(M$1), 0, OFFSET(data!$A$1, ROW()-1, M$1-1))</f>
        <v>43.842540314193997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751.37076885980002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820.26245120700003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-68.891682347200202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32.832191642530802</v>
      </c>
      <c r="AA67" t="str">
        <f ca="1">IF(ISNA(AA$1), #N/A, OFFSET(data!$A$1, ROW()-1, AA$1-1))</f>
        <v>typical</v>
      </c>
      <c r="AB67">
        <f t="shared" ref="AB67:AB130" ca="1" si="13">VALUE(LEFT(C67, 4))</f>
        <v>2020</v>
      </c>
      <c r="AC67">
        <f t="shared" ref="AC67:AC130" ca="1" si="14">VALUE(MID(C67, 6, 2))</f>
        <v>6</v>
      </c>
      <c r="AD67" t="str">
        <f t="shared" ref="AD67:AD130" ca="1" si="15">SUBSTITUTE(MID(C67,6,6)&amp;LEFT(C67,4), "-", "/")</f>
        <v>06/22/2020</v>
      </c>
      <c r="AE67" t="str">
        <f t="shared" ref="AE67:AE130" ca="1" si="16">IF(RIGHT(C67, 5)="12:00", AD67, "")</f>
        <v/>
      </c>
      <c r="AF67" s="6">
        <f t="shared" ref="AF67:AF130" ca="1" si="17">Z67/1000</f>
        <v>3.2832191642530803E-2</v>
      </c>
      <c r="AG67">
        <f t="shared" ref="AG67:AG130" ca="1" si="18">T67+W67</f>
        <v>751.3707688597998</v>
      </c>
      <c r="AH67">
        <f t="shared" ca="1" si="8"/>
        <v>0</v>
      </c>
      <c r="AI67">
        <f t="shared" ca="1" si="9"/>
        <v>0</v>
      </c>
      <c r="AJ67">
        <f t="shared" ca="1" si="10"/>
        <v>473.93949395661099</v>
      </c>
      <c r="AK67">
        <f t="shared" ca="1" si="11"/>
        <v>57.599999999999902</v>
      </c>
      <c r="AL67">
        <f t="shared" ca="1" si="12"/>
        <v>43.842540314193997</v>
      </c>
    </row>
    <row r="68" spans="1:38" hidden="1">
      <c r="A68" t="str">
        <f ca="1">IF(ISNA(A$1), 0, OFFSET(data!$A$1, ROW()-1, A$1-1))</f>
        <v>Oahu</v>
      </c>
      <c r="B68">
        <f ca="1">IF(ISNA(B$1), 0, OFFSET(data!$A$1, ROW()-1, B$1-1))</f>
        <v>2020</v>
      </c>
      <c r="C68" t="str">
        <f ca="1">IF(ISNA(C$1), 0, OFFSET(data!$A$1, ROW()-1, C$1-1))</f>
        <v>2020-06-22-10:00</v>
      </c>
      <c r="D68">
        <f ca="1">IF(ISNA(D$1), 0, OFFSET(data!$A$1, ROW()-1, D$1-1))</f>
        <v>175.98873458899399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71.095796150783301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737.22913927738898</v>
      </c>
      <c r="L68">
        <f ca="1">IF(ISNA(L$1), 0, OFFSET(data!$A$1, ROW()-1, L$1-1))</f>
        <v>57.599999999999902</v>
      </c>
      <c r="M68">
        <f ca="1">IF(ISNA(M$1), 0, OFFSET(data!$A$1, ROW()-1, M$1-1))</f>
        <v>67.671188147874005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1109.58485816504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918.30668944499996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191.27816872004101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32.832191642530802</v>
      </c>
      <c r="AA68" t="str">
        <f ca="1">IF(ISNA(AA$1), #N/A, OFFSET(data!$A$1, ROW()-1, AA$1-1))</f>
        <v>typical</v>
      </c>
      <c r="AB68">
        <f t="shared" ca="1" si="13"/>
        <v>2020</v>
      </c>
      <c r="AC68">
        <f t="shared" ca="1" si="14"/>
        <v>6</v>
      </c>
      <c r="AD68" t="str">
        <f t="shared" ca="1" si="15"/>
        <v>06/22/2020</v>
      </c>
      <c r="AE68" t="str">
        <f t="shared" ca="1" si="16"/>
        <v/>
      </c>
      <c r="AF68" s="6">
        <f t="shared" ca="1" si="17"/>
        <v>3.2832191642530803E-2</v>
      </c>
      <c r="AG68">
        <f t="shared" ca="1" si="18"/>
        <v>1109.5848581650409</v>
      </c>
      <c r="AH68">
        <f t="shared" ref="AH68:AH131" ca="1" si="19">MAX(S68,Y68)</f>
        <v>0</v>
      </c>
      <c r="AI68">
        <f t="shared" ref="AI68:AI131" ca="1" si="20">MAX(R68,V68)</f>
        <v>0</v>
      </c>
      <c r="AJ68">
        <f t="shared" ref="AJ68:AJ131" ca="1" si="21">K68+N68</f>
        <v>737.22913927738898</v>
      </c>
      <c r="AK68">
        <f t="shared" ref="AK68:AK131" ca="1" si="22">L68+O68</f>
        <v>57.599999999999902</v>
      </c>
      <c r="AL68">
        <f t="shared" ref="AL68:AL131" ca="1" si="23">M68+P68</f>
        <v>67.671188147874005</v>
      </c>
    </row>
    <row r="69" spans="1:38" hidden="1">
      <c r="A69" t="str">
        <f ca="1">IF(ISNA(A$1), 0, OFFSET(data!$A$1, ROW()-1, A$1-1))</f>
        <v>Oahu</v>
      </c>
      <c r="B69">
        <f ca="1">IF(ISNA(B$1), 0, OFFSET(data!$A$1, ROW()-1, B$1-1))</f>
        <v>2020</v>
      </c>
      <c r="C69" t="str">
        <f ca="1">IF(ISNA(C$1), 0, OFFSET(data!$A$1, ROW()-1, C$1-1))</f>
        <v>2020-06-22-12:00</v>
      </c>
      <c r="D69">
        <f ca="1">IF(ISNA(D$1), 0, OFFSET(data!$A$1, ROW()-1, D$1-1))</f>
        <v>175.98873458899399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0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825.84819477059398</v>
      </c>
      <c r="L69">
        <f ca="1">IF(ISNA(L$1), 0, OFFSET(data!$A$1, ROW()-1, L$1-1))</f>
        <v>57.599999999999902</v>
      </c>
      <c r="M69">
        <f ca="1">IF(ISNA(M$1), 0, OFFSET(data!$A$1, ROW()-1, M$1-1))</f>
        <v>77.370339147351302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1136.8072685069401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941.10705475300006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195.70021375394001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32.832191642530802</v>
      </c>
      <c r="AA69" t="str">
        <f ca="1">IF(ISNA(AA$1), #N/A, OFFSET(data!$A$1, ROW()-1, AA$1-1))</f>
        <v>typical</v>
      </c>
      <c r="AB69">
        <f t="shared" ca="1" si="13"/>
        <v>2020</v>
      </c>
      <c r="AC69">
        <f t="shared" ca="1" si="14"/>
        <v>6</v>
      </c>
      <c r="AD69" t="str">
        <f t="shared" ca="1" si="15"/>
        <v>06/22/2020</v>
      </c>
      <c r="AE69" t="str">
        <f t="shared" ca="1" si="16"/>
        <v>06/22/2020</v>
      </c>
      <c r="AF69" s="6">
        <f t="shared" ca="1" si="17"/>
        <v>3.2832191642530803E-2</v>
      </c>
      <c r="AG69">
        <f t="shared" ca="1" si="18"/>
        <v>1136.8072685069401</v>
      </c>
      <c r="AH69">
        <f t="shared" ca="1" si="19"/>
        <v>0</v>
      </c>
      <c r="AI69">
        <f t="shared" ca="1" si="20"/>
        <v>0</v>
      </c>
      <c r="AJ69">
        <f t="shared" ca="1" si="21"/>
        <v>825.84819477059398</v>
      </c>
      <c r="AK69">
        <f t="shared" ca="1" si="22"/>
        <v>57.599999999999902</v>
      </c>
      <c r="AL69">
        <f t="shared" ca="1" si="23"/>
        <v>77.370339147351302</v>
      </c>
    </row>
    <row r="70" spans="1:38" hidden="1">
      <c r="A70" t="str">
        <f ca="1">IF(ISNA(A$1), 0, OFFSET(data!$A$1, ROW()-1, A$1-1))</f>
        <v>Oahu</v>
      </c>
      <c r="B70">
        <f ca="1">IF(ISNA(B$1), 0, OFFSET(data!$A$1, ROW()-1, B$1-1))</f>
        <v>2020</v>
      </c>
      <c r="C70" t="str">
        <f ca="1">IF(ISNA(C$1), 0, OFFSET(data!$A$1, ROW()-1, C$1-1))</f>
        <v>2020-06-22-14:00</v>
      </c>
      <c r="D70">
        <f ca="1">IF(ISNA(D$1), 0, OFFSET(data!$A$1, ROW()-1, D$1-1))</f>
        <v>175.98873458899399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0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839.41145007782097</v>
      </c>
      <c r="L70">
        <f ca="1">IF(ISNA(L$1), 0, OFFSET(data!$A$1, ROW()-1, L$1-1))</f>
        <v>57.599999999999902</v>
      </c>
      <c r="M70">
        <f ca="1">IF(ISNA(M$1), 0, OFFSET(data!$A$1, ROW()-1, M$1-1))</f>
        <v>69.470653690420704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1142.4708383572299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936.09525040699998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206.37558795023699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32.832191642530802</v>
      </c>
      <c r="AA70" t="str">
        <f ca="1">IF(ISNA(AA$1), #N/A, OFFSET(data!$A$1, ROW()-1, AA$1-1))</f>
        <v>typical</v>
      </c>
      <c r="AB70">
        <f t="shared" ca="1" si="13"/>
        <v>2020</v>
      </c>
      <c r="AC70">
        <f t="shared" ca="1" si="14"/>
        <v>6</v>
      </c>
      <c r="AD70" t="str">
        <f t="shared" ca="1" si="15"/>
        <v>06/22/2020</v>
      </c>
      <c r="AE70" t="str">
        <f t="shared" ca="1" si="16"/>
        <v/>
      </c>
      <c r="AF70" s="6">
        <f t="shared" ca="1" si="17"/>
        <v>3.2832191642530803E-2</v>
      </c>
      <c r="AG70">
        <f t="shared" ca="1" si="18"/>
        <v>1142.470838357237</v>
      </c>
      <c r="AH70">
        <f t="shared" ca="1" si="19"/>
        <v>0</v>
      </c>
      <c r="AI70">
        <f t="shared" ca="1" si="20"/>
        <v>0</v>
      </c>
      <c r="AJ70">
        <f t="shared" ca="1" si="21"/>
        <v>839.41145007782097</v>
      </c>
      <c r="AK70">
        <f t="shared" ca="1" si="22"/>
        <v>57.599999999999902</v>
      </c>
      <c r="AL70">
        <f t="shared" ca="1" si="23"/>
        <v>69.470653690420704</v>
      </c>
    </row>
    <row r="71" spans="1:38" hidden="1">
      <c r="A71" t="str">
        <f ca="1">IF(ISNA(A$1), 0, OFFSET(data!$A$1, ROW()-1, A$1-1))</f>
        <v>Oahu</v>
      </c>
      <c r="B71">
        <f ca="1">IF(ISNA(B$1), 0, OFFSET(data!$A$1, ROW()-1, B$1-1))</f>
        <v>2020</v>
      </c>
      <c r="C71" t="str">
        <f ca="1">IF(ISNA(C$1), 0, OFFSET(data!$A$1, ROW()-1, C$1-1))</f>
        <v>2020-06-22-16:00</v>
      </c>
      <c r="D71">
        <f ca="1">IF(ISNA(D$1), 0, OFFSET(data!$A$1, ROW()-1, D$1-1))</f>
        <v>175.98873458899399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719.27758752084799</v>
      </c>
      <c r="L71">
        <f ca="1">IF(ISNA(L$1), 0, OFFSET(data!$A$1, ROW()-1, L$1-1))</f>
        <v>57.599999999999902</v>
      </c>
      <c r="M71">
        <f ca="1">IF(ISNA(M$1), 0, OFFSET(data!$A$1, ROW()-1, M$1-1))</f>
        <v>61.5053167309825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1192.57163884082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946.787099678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245.78453916282501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32.832191642530802</v>
      </c>
      <c r="AA71" t="str">
        <f ca="1">IF(ISNA(AA$1), #N/A, OFFSET(data!$A$1, ROW()-1, AA$1-1))</f>
        <v>typical</v>
      </c>
      <c r="AB71">
        <f t="shared" ca="1" si="13"/>
        <v>2020</v>
      </c>
      <c r="AC71">
        <f t="shared" ca="1" si="14"/>
        <v>6</v>
      </c>
      <c r="AD71" t="str">
        <f t="shared" ca="1" si="15"/>
        <v>06/22/2020</v>
      </c>
      <c r="AE71" t="str">
        <f t="shared" ca="1" si="16"/>
        <v/>
      </c>
      <c r="AF71" s="6">
        <f t="shared" ca="1" si="17"/>
        <v>3.2832191642530803E-2</v>
      </c>
      <c r="AG71">
        <f t="shared" ca="1" si="18"/>
        <v>1192.571638840825</v>
      </c>
      <c r="AH71">
        <f t="shared" ca="1" si="19"/>
        <v>0</v>
      </c>
      <c r="AI71">
        <f t="shared" ca="1" si="20"/>
        <v>0</v>
      </c>
      <c r="AJ71">
        <f t="shared" ca="1" si="21"/>
        <v>719.27758752084799</v>
      </c>
      <c r="AK71">
        <f t="shared" ca="1" si="22"/>
        <v>57.599999999999902</v>
      </c>
      <c r="AL71">
        <f t="shared" ca="1" si="23"/>
        <v>61.5053167309825</v>
      </c>
    </row>
    <row r="72" spans="1:38" hidden="1">
      <c r="A72" t="str">
        <f ca="1">IF(ISNA(A$1), 0, OFFSET(data!$A$1, ROW()-1, A$1-1))</f>
        <v>Oahu</v>
      </c>
      <c r="B72">
        <f ca="1">IF(ISNA(B$1), 0, OFFSET(data!$A$1, ROW()-1, B$1-1))</f>
        <v>2020</v>
      </c>
      <c r="C72" t="str">
        <f ca="1">IF(ISNA(C$1), 0, OFFSET(data!$A$1, ROW()-1, C$1-1))</f>
        <v>2020-06-22-18:00</v>
      </c>
      <c r="D72">
        <f ca="1">IF(ISNA(D$1), 0, OFFSET(data!$A$1, ROW()-1, D$1-1))</f>
        <v>175.98873458899399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509.77845280669499</v>
      </c>
      <c r="L72">
        <f ca="1">IF(ISNA(L$1), 0, OFFSET(data!$A$1, ROW()-1, L$1-1))</f>
        <v>57.599999999999902</v>
      </c>
      <c r="M72">
        <f ca="1">IF(ISNA(M$1), 0, OFFSET(data!$A$1, ROW()-1, M$1-1))</f>
        <v>77.003107682972498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998.57029507866196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949.92779777299995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48.642497305662197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32.832191642530802</v>
      </c>
      <c r="AA72" t="str">
        <f ca="1">IF(ISNA(AA$1), #N/A, OFFSET(data!$A$1, ROW()-1, AA$1-1))</f>
        <v>typical</v>
      </c>
      <c r="AB72">
        <f t="shared" ca="1" si="13"/>
        <v>2020</v>
      </c>
      <c r="AC72">
        <f t="shared" ca="1" si="14"/>
        <v>6</v>
      </c>
      <c r="AD72" t="str">
        <f t="shared" ca="1" si="15"/>
        <v>06/22/2020</v>
      </c>
      <c r="AE72" t="str">
        <f t="shared" ca="1" si="16"/>
        <v/>
      </c>
      <c r="AF72" s="6">
        <f t="shared" ca="1" si="17"/>
        <v>3.2832191642530803E-2</v>
      </c>
      <c r="AG72">
        <f t="shared" ca="1" si="18"/>
        <v>998.57029507866218</v>
      </c>
      <c r="AH72">
        <f t="shared" ca="1" si="19"/>
        <v>0</v>
      </c>
      <c r="AI72">
        <f t="shared" ca="1" si="20"/>
        <v>0</v>
      </c>
      <c r="AJ72">
        <f t="shared" ca="1" si="21"/>
        <v>509.77845280669499</v>
      </c>
      <c r="AK72">
        <f t="shared" ca="1" si="22"/>
        <v>57.599999999999902</v>
      </c>
      <c r="AL72">
        <f t="shared" ca="1" si="23"/>
        <v>77.003107682972498</v>
      </c>
    </row>
    <row r="73" spans="1:38" hidden="1">
      <c r="A73" t="str">
        <f ca="1">IF(ISNA(A$1), 0, OFFSET(data!$A$1, ROW()-1, A$1-1))</f>
        <v>Oahu</v>
      </c>
      <c r="B73">
        <f ca="1">IF(ISNA(B$1), 0, OFFSET(data!$A$1, ROW()-1, B$1-1))</f>
        <v>2020</v>
      </c>
      <c r="C73" t="str">
        <f ca="1">IF(ISNA(C$1), 0, OFFSET(data!$A$1, ROW()-1, C$1-1))</f>
        <v>2020-06-22-20:00</v>
      </c>
      <c r="D73">
        <f ca="1">IF(ISNA(D$1), 0, OFFSET(data!$A$1, ROW()-1, D$1-1))</f>
        <v>175.98873458899399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185.41643887973501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76.444765896469704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673.64993936519897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962.35705623599995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-288.70711687079898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164.09091933344499</v>
      </c>
      <c r="AA73" t="str">
        <f ca="1">IF(ISNA(AA$1), #N/A, OFFSET(data!$A$1, ROW()-1, AA$1-1))</f>
        <v>typical</v>
      </c>
      <c r="AB73">
        <f t="shared" ca="1" si="13"/>
        <v>2020</v>
      </c>
      <c r="AC73">
        <f t="shared" ca="1" si="14"/>
        <v>6</v>
      </c>
      <c r="AD73" t="str">
        <f t="shared" ca="1" si="15"/>
        <v>06/22/2020</v>
      </c>
      <c r="AE73" t="str">
        <f t="shared" ca="1" si="16"/>
        <v/>
      </c>
      <c r="AF73" s="6">
        <f t="shared" ca="1" si="17"/>
        <v>0.164090919333445</v>
      </c>
      <c r="AG73">
        <f t="shared" ca="1" si="18"/>
        <v>673.64993936520091</v>
      </c>
      <c r="AH73">
        <f t="shared" ca="1" si="19"/>
        <v>0</v>
      </c>
      <c r="AI73">
        <f t="shared" ca="1" si="20"/>
        <v>0</v>
      </c>
      <c r="AJ73">
        <f t="shared" ca="1" si="21"/>
        <v>0</v>
      </c>
      <c r="AK73">
        <f t="shared" ca="1" si="22"/>
        <v>57.599999999999902</v>
      </c>
      <c r="AL73">
        <f t="shared" ca="1" si="23"/>
        <v>76.444765896469704</v>
      </c>
    </row>
    <row r="74" spans="1:38" hidden="1">
      <c r="A74" t="str">
        <f ca="1">IF(ISNA(A$1), 0, OFFSET(data!$A$1, ROW()-1, A$1-1))</f>
        <v>Oahu</v>
      </c>
      <c r="B74">
        <f ca="1">IF(ISNA(B$1), 0, OFFSET(data!$A$1, ROW()-1, B$1-1))</f>
        <v>2020</v>
      </c>
      <c r="C74" t="str">
        <f ca="1">IF(ISNA(C$1), 0, OFFSET(data!$A$1, ROW()-1, C$1-1))</f>
        <v>2020-06-22-22:00</v>
      </c>
      <c r="D74">
        <f ca="1">IF(ISNA(D$1), 0, OFFSET(data!$A$1, ROW()-1, D$1-1))</f>
        <v>175.98873458899399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48.604520060424797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57.358873890380799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517.75212853979997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739.64589791399999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-221.89376937419999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164.09091933344499</v>
      </c>
      <c r="AA74" t="str">
        <f ca="1">IF(ISNA(AA$1), #N/A, OFFSET(data!$A$1, ROW()-1, AA$1-1))</f>
        <v>typical</v>
      </c>
      <c r="AB74">
        <f t="shared" ca="1" si="13"/>
        <v>2020</v>
      </c>
      <c r="AC74">
        <f t="shared" ca="1" si="14"/>
        <v>6</v>
      </c>
      <c r="AD74" t="str">
        <f t="shared" ca="1" si="15"/>
        <v>06/22/2020</v>
      </c>
      <c r="AE74" t="str">
        <f t="shared" ca="1" si="16"/>
        <v/>
      </c>
      <c r="AF74" s="6">
        <f t="shared" ca="1" si="17"/>
        <v>0.164090919333445</v>
      </c>
      <c r="AG74">
        <f t="shared" ca="1" si="18"/>
        <v>517.75212853979997</v>
      </c>
      <c r="AH74">
        <f t="shared" ca="1" si="19"/>
        <v>0</v>
      </c>
      <c r="AI74">
        <f t="shared" ca="1" si="20"/>
        <v>0</v>
      </c>
      <c r="AJ74">
        <f t="shared" ca="1" si="21"/>
        <v>0</v>
      </c>
      <c r="AK74">
        <f t="shared" ca="1" si="22"/>
        <v>57.599999999999902</v>
      </c>
      <c r="AL74">
        <f t="shared" ca="1" si="23"/>
        <v>57.358873890380799</v>
      </c>
    </row>
    <row r="75" spans="1:38" hidden="1">
      <c r="A75" t="str">
        <f ca="1">IF(ISNA(A$1), 0, OFFSET(data!$A$1, ROW()-1, A$1-1))</f>
        <v>Oahu</v>
      </c>
      <c r="B75">
        <f ca="1">IF(ISNA(B$1), 0, OFFSET(data!$A$1, ROW()-1, B$1-1))</f>
        <v>2020</v>
      </c>
      <c r="C75" t="str">
        <f ca="1">IF(ISNA(C$1), 0, OFFSET(data!$A$1, ROW()-1, C$1-1))</f>
        <v>2020-08-08-00:00</v>
      </c>
      <c r="D75">
        <f ca="1">IF(ISNA(D$1), 0, OFFSET(data!$A$1, ROW()-1, D$1-1))</f>
        <v>175.98873458899399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199.10399999999899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84.6167314505375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695.50946603953105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595.90736559100003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99.602100448531701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164.09091933344499</v>
      </c>
      <c r="AA75" t="str">
        <f ca="1">IF(ISNA(AA$1), #N/A, OFFSET(data!$A$1, ROW()-1, AA$1-1))</f>
        <v>typical</v>
      </c>
      <c r="AB75">
        <f t="shared" ca="1" si="13"/>
        <v>2020</v>
      </c>
      <c r="AC75">
        <f t="shared" ca="1" si="14"/>
        <v>8</v>
      </c>
      <c r="AD75" t="str">
        <f t="shared" ca="1" si="15"/>
        <v>08/08/2020</v>
      </c>
      <c r="AE75" t="str">
        <f t="shared" ca="1" si="16"/>
        <v/>
      </c>
      <c r="AF75" s="6">
        <f t="shared" ca="1" si="17"/>
        <v>0.164090919333445</v>
      </c>
      <c r="AG75">
        <f t="shared" ca="1" si="18"/>
        <v>695.50946603953173</v>
      </c>
      <c r="AH75">
        <f t="shared" ca="1" si="19"/>
        <v>0</v>
      </c>
      <c r="AI75">
        <f t="shared" ca="1" si="20"/>
        <v>0</v>
      </c>
      <c r="AJ75">
        <f t="shared" ca="1" si="21"/>
        <v>0</v>
      </c>
      <c r="AK75">
        <f t="shared" ca="1" si="22"/>
        <v>57.599999999999902</v>
      </c>
      <c r="AL75">
        <f t="shared" ca="1" si="23"/>
        <v>84.6167314505375</v>
      </c>
    </row>
    <row r="76" spans="1:38" hidden="1">
      <c r="A76" t="str">
        <f ca="1">IF(ISNA(A$1), 0, OFFSET(data!$A$1, ROW()-1, A$1-1))</f>
        <v>Oahu</v>
      </c>
      <c r="B76">
        <f ca="1">IF(ISNA(B$1), 0, OFFSET(data!$A$1, ROW()-1, B$1-1))</f>
        <v>2020</v>
      </c>
      <c r="C76" t="str">
        <f ca="1">IF(ISNA(C$1), 0, OFFSET(data!$A$1, ROW()-1, C$1-1))</f>
        <v>2020-08-08-02:00</v>
      </c>
      <c r="D76">
        <f ca="1">IF(ISNA(D$1), 0, OFFSET(data!$A$1, ROW()-1, D$1-1))</f>
        <v>175.98873458899399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49.823999999999998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114.07275610585501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575.68549069485005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523.18938005500002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52.496110639850102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164.09091933344499</v>
      </c>
      <c r="AA76" t="str">
        <f ca="1">IF(ISNA(AA$1), #N/A, OFFSET(data!$A$1, ROW()-1, AA$1-1))</f>
        <v>typical</v>
      </c>
      <c r="AB76">
        <f t="shared" ca="1" si="13"/>
        <v>2020</v>
      </c>
      <c r="AC76">
        <f t="shared" ca="1" si="14"/>
        <v>8</v>
      </c>
      <c r="AD76" t="str">
        <f t="shared" ca="1" si="15"/>
        <v>08/08/2020</v>
      </c>
      <c r="AE76" t="str">
        <f t="shared" ca="1" si="16"/>
        <v/>
      </c>
      <c r="AF76" s="6">
        <f t="shared" ca="1" si="17"/>
        <v>0.164090919333445</v>
      </c>
      <c r="AG76">
        <f t="shared" ca="1" si="18"/>
        <v>575.68549069485016</v>
      </c>
      <c r="AH76">
        <f t="shared" ca="1" si="19"/>
        <v>0</v>
      </c>
      <c r="AI76">
        <f t="shared" ca="1" si="20"/>
        <v>0</v>
      </c>
      <c r="AJ76">
        <f t="shared" ca="1" si="21"/>
        <v>0</v>
      </c>
      <c r="AK76">
        <f t="shared" ca="1" si="22"/>
        <v>57.599999999999902</v>
      </c>
      <c r="AL76">
        <f t="shared" ca="1" si="23"/>
        <v>114.07275610585501</v>
      </c>
    </row>
    <row r="77" spans="1:38" hidden="1">
      <c r="A77" t="str">
        <f ca="1">IF(ISNA(A$1), 0, OFFSET(data!$A$1, ROW()-1, A$1-1))</f>
        <v>Oahu</v>
      </c>
      <c r="B77">
        <f ca="1">IF(ISNA(B$1), 0, OFFSET(data!$A$1, ROW()-1, B$1-1))</f>
        <v>2020</v>
      </c>
      <c r="C77" t="str">
        <f ca="1">IF(ISNA(C$1), 0, OFFSET(data!$A$1, ROW()-1, C$1-1))</f>
        <v>2020-08-08-04:00</v>
      </c>
      <c r="D77">
        <f ca="1">IF(ISNA(D$1), 0, OFFSET(data!$A$1, ROW()-1, D$1-1))</f>
        <v>175.98873458899399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113.67402169206601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55.743392973635601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581.20614925469602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591.48353464499996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-10.277385390303399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164.09091933344499</v>
      </c>
      <c r="AA77" t="str">
        <f ca="1">IF(ISNA(AA$1), #N/A, OFFSET(data!$A$1, ROW()-1, AA$1-1))</f>
        <v>typical</v>
      </c>
      <c r="AB77">
        <f t="shared" ca="1" si="13"/>
        <v>2020</v>
      </c>
      <c r="AC77">
        <f t="shared" ca="1" si="14"/>
        <v>8</v>
      </c>
      <c r="AD77" t="str">
        <f t="shared" ca="1" si="15"/>
        <v>08/08/2020</v>
      </c>
      <c r="AE77" t="str">
        <f t="shared" ca="1" si="16"/>
        <v/>
      </c>
      <c r="AF77" s="6">
        <f t="shared" ca="1" si="17"/>
        <v>0.164090919333445</v>
      </c>
      <c r="AG77">
        <f t="shared" ca="1" si="18"/>
        <v>581.20614925469658</v>
      </c>
      <c r="AH77">
        <f t="shared" ca="1" si="19"/>
        <v>0</v>
      </c>
      <c r="AI77">
        <f t="shared" ca="1" si="20"/>
        <v>0</v>
      </c>
      <c r="AJ77">
        <f t="shared" ca="1" si="21"/>
        <v>0</v>
      </c>
      <c r="AK77">
        <f t="shared" ca="1" si="22"/>
        <v>57.599999999999902</v>
      </c>
      <c r="AL77">
        <f t="shared" ca="1" si="23"/>
        <v>55.743392973635601</v>
      </c>
    </row>
    <row r="78" spans="1:38" hidden="1">
      <c r="A78" t="str">
        <f ca="1">IF(ISNA(A$1), 0, OFFSET(data!$A$1, ROW()-1, A$1-1))</f>
        <v>Oahu</v>
      </c>
      <c r="B78">
        <f ca="1">IF(ISNA(B$1), 0, OFFSET(data!$A$1, ROW()-1, B$1-1))</f>
        <v>2020</v>
      </c>
      <c r="C78" t="str">
        <f ca="1">IF(ISNA(C$1), 0, OFFSET(data!$A$1, ROW()-1, C$1-1))</f>
        <v>2020-08-08-06:00</v>
      </c>
      <c r="D78">
        <f ca="1">IF(ISNA(D$1), 0, OFFSET(data!$A$1, ROW()-1, D$1-1))</f>
        <v>175.98873458899399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99.551999999999893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78.034033776605895</v>
      </c>
      <c r="L78">
        <f ca="1">IF(ISNA(L$1), 0, OFFSET(data!$A$1, ROW()-1, L$1-1))</f>
        <v>57.599999999999902</v>
      </c>
      <c r="M78">
        <f ca="1">IF(ISNA(M$1), 0, OFFSET(data!$A$1, ROW()-1, M$1-1))</f>
        <v>66.705476234747493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656.08024460034699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899.76970229699998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-243.689457696652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164.09091933344499</v>
      </c>
      <c r="AA78" t="str">
        <f ca="1">IF(ISNA(AA$1), #N/A, OFFSET(data!$A$1, ROW()-1, AA$1-1))</f>
        <v>typical</v>
      </c>
      <c r="AB78">
        <f t="shared" ca="1" si="13"/>
        <v>2020</v>
      </c>
      <c r="AC78">
        <f t="shared" ca="1" si="14"/>
        <v>8</v>
      </c>
      <c r="AD78" t="str">
        <f t="shared" ca="1" si="15"/>
        <v>08/08/2020</v>
      </c>
      <c r="AE78" t="str">
        <f t="shared" ca="1" si="16"/>
        <v/>
      </c>
      <c r="AF78" s="6">
        <f t="shared" ca="1" si="17"/>
        <v>0.164090919333445</v>
      </c>
      <c r="AG78">
        <f t="shared" ca="1" si="18"/>
        <v>656.08024460034801</v>
      </c>
      <c r="AH78">
        <f t="shared" ca="1" si="19"/>
        <v>0</v>
      </c>
      <c r="AI78">
        <f t="shared" ca="1" si="20"/>
        <v>0</v>
      </c>
      <c r="AJ78">
        <f t="shared" ca="1" si="21"/>
        <v>78.034033776605895</v>
      </c>
      <c r="AK78">
        <f t="shared" ca="1" si="22"/>
        <v>57.599999999999902</v>
      </c>
      <c r="AL78">
        <f t="shared" ca="1" si="23"/>
        <v>66.705476234747493</v>
      </c>
    </row>
    <row r="79" spans="1:38" hidden="1">
      <c r="A79" t="str">
        <f ca="1">IF(ISNA(A$1), 0, OFFSET(data!$A$1, ROW()-1, A$1-1))</f>
        <v>Oahu</v>
      </c>
      <c r="B79">
        <f ca="1">IF(ISNA(B$1), 0, OFFSET(data!$A$1, ROW()-1, B$1-1))</f>
        <v>2020</v>
      </c>
      <c r="C79" t="str">
        <f ca="1">IF(ISNA(C$1), 0, OFFSET(data!$A$1, ROW()-1, C$1-1))</f>
        <v>2020-08-08-08:00</v>
      </c>
      <c r="D79">
        <f ca="1">IF(ISNA(D$1), 0, OFFSET(data!$A$1, ROW()-1, D$1-1))</f>
        <v>175.98873458899399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199.10399999999899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296.162725911481</v>
      </c>
      <c r="L79">
        <f ca="1">IF(ISNA(L$1), 0, OFFSET(data!$A$1, ROW()-1, L$1-1))</f>
        <v>57.599999999999902</v>
      </c>
      <c r="M79">
        <f ca="1">IF(ISNA(M$1), 0, OFFSET(data!$A$1, ROW()-1, M$1-1))</f>
        <v>99.974138684021796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1007.0295991844901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1063.24800587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-56.218406685502998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164.09091933344499</v>
      </c>
      <c r="AA79" t="str">
        <f ca="1">IF(ISNA(AA$1), #N/A, OFFSET(data!$A$1, ROW()-1, AA$1-1))</f>
        <v>typical</v>
      </c>
      <c r="AB79">
        <f t="shared" ca="1" si="13"/>
        <v>2020</v>
      </c>
      <c r="AC79">
        <f t="shared" ca="1" si="14"/>
        <v>8</v>
      </c>
      <c r="AD79" t="str">
        <f t="shared" ca="1" si="15"/>
        <v>08/08/2020</v>
      </c>
      <c r="AE79" t="str">
        <f t="shared" ca="1" si="16"/>
        <v/>
      </c>
      <c r="AF79" s="6">
        <f t="shared" ca="1" si="17"/>
        <v>0.164090919333445</v>
      </c>
      <c r="AG79">
        <f t="shared" ca="1" si="18"/>
        <v>1007.0295991844971</v>
      </c>
      <c r="AH79">
        <f t="shared" ca="1" si="19"/>
        <v>0</v>
      </c>
      <c r="AI79">
        <f t="shared" ca="1" si="20"/>
        <v>0</v>
      </c>
      <c r="AJ79">
        <f t="shared" ca="1" si="21"/>
        <v>296.162725911481</v>
      </c>
      <c r="AK79">
        <f t="shared" ca="1" si="22"/>
        <v>57.599999999999902</v>
      </c>
      <c r="AL79">
        <f t="shared" ca="1" si="23"/>
        <v>99.974138684021796</v>
      </c>
    </row>
    <row r="80" spans="1:38" hidden="1">
      <c r="A80" t="str">
        <f ca="1">IF(ISNA(A$1), 0, OFFSET(data!$A$1, ROW()-1, A$1-1))</f>
        <v>Oahu</v>
      </c>
      <c r="B80">
        <f ca="1">IF(ISNA(B$1), 0, OFFSET(data!$A$1, ROW()-1, B$1-1))</f>
        <v>2020</v>
      </c>
      <c r="C80" t="str">
        <f ca="1">IF(ISNA(C$1), 0, OFFSET(data!$A$1, ROW()-1, C$1-1))</f>
        <v>2020-08-08-10:00</v>
      </c>
      <c r="D80">
        <f ca="1">IF(ISNA(D$1), 0, OFFSET(data!$A$1, ROW()-1, D$1-1))</f>
        <v>175.98873458899399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199.2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563.80060436299198</v>
      </c>
      <c r="L80">
        <f ca="1">IF(ISNA(L$1), 0, OFFSET(data!$A$1, ROW()-1, L$1-1))</f>
        <v>57.599999999999902</v>
      </c>
      <c r="M80">
        <f ca="1">IF(ISNA(M$1), 0, OFFSET(data!$A$1, ROW()-1, M$1-1))</f>
        <v>104.185866683808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1278.97520563579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1155.5856065999999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123.389599035795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164.09091933344499</v>
      </c>
      <c r="AA80" t="str">
        <f ca="1">IF(ISNA(AA$1), #N/A, OFFSET(data!$A$1, ROW()-1, AA$1-1))</f>
        <v>typical</v>
      </c>
      <c r="AB80">
        <f t="shared" ca="1" si="13"/>
        <v>2020</v>
      </c>
      <c r="AC80">
        <f t="shared" ca="1" si="14"/>
        <v>8</v>
      </c>
      <c r="AD80" t="str">
        <f t="shared" ca="1" si="15"/>
        <v>08/08/2020</v>
      </c>
      <c r="AE80" t="str">
        <f t="shared" ca="1" si="16"/>
        <v/>
      </c>
      <c r="AF80" s="6">
        <f t="shared" ca="1" si="17"/>
        <v>0.164090919333445</v>
      </c>
      <c r="AG80">
        <f t="shared" ca="1" si="18"/>
        <v>1278.975205635795</v>
      </c>
      <c r="AH80">
        <f t="shared" ca="1" si="19"/>
        <v>0</v>
      </c>
      <c r="AI80">
        <f t="shared" ca="1" si="20"/>
        <v>0</v>
      </c>
      <c r="AJ80">
        <f t="shared" ca="1" si="21"/>
        <v>563.80060436299198</v>
      </c>
      <c r="AK80">
        <f t="shared" ca="1" si="22"/>
        <v>57.599999999999902</v>
      </c>
      <c r="AL80">
        <f t="shared" ca="1" si="23"/>
        <v>104.185866683808</v>
      </c>
    </row>
    <row r="81" spans="1:38" hidden="1">
      <c r="A81" t="str">
        <f ca="1">IF(ISNA(A$1), 0, OFFSET(data!$A$1, ROW()-1, A$1-1))</f>
        <v>Oahu</v>
      </c>
      <c r="B81">
        <f ca="1">IF(ISNA(B$1), 0, OFFSET(data!$A$1, ROW()-1, B$1-1))</f>
        <v>2020</v>
      </c>
      <c r="C81" t="str">
        <f ca="1">IF(ISNA(C$1), 0, OFFSET(data!$A$1, ROW()-1, C$1-1))</f>
        <v>2020-08-08-12:00</v>
      </c>
      <c r="D81">
        <f ca="1">IF(ISNA(D$1), 0, OFFSET(data!$A$1, ROW()-1, D$1-1))</f>
        <v>175.98873458899399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49.823999999999998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842.65228532468802</v>
      </c>
      <c r="L81">
        <f ca="1">IF(ISNA(L$1), 0, OFFSET(data!$A$1, ROW()-1, L$1-1))</f>
        <v>57.599999999999902</v>
      </c>
      <c r="M81">
        <f ca="1">IF(ISNA(M$1), 0, OFFSET(data!$A$1, ROW()-1, M$1-1))</f>
        <v>125.61061572496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1429.87563563864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1176.42130219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253.45433344864301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164.09091933344499</v>
      </c>
      <c r="AA81" t="str">
        <f ca="1">IF(ISNA(AA$1), #N/A, OFFSET(data!$A$1, ROW()-1, AA$1-1))</f>
        <v>typical</v>
      </c>
      <c r="AB81">
        <f t="shared" ca="1" si="13"/>
        <v>2020</v>
      </c>
      <c r="AC81">
        <f t="shared" ca="1" si="14"/>
        <v>8</v>
      </c>
      <c r="AD81" t="str">
        <f t="shared" ca="1" si="15"/>
        <v>08/08/2020</v>
      </c>
      <c r="AE81" t="str">
        <f t="shared" ca="1" si="16"/>
        <v>08/08/2020</v>
      </c>
      <c r="AF81" s="6">
        <f t="shared" ca="1" si="17"/>
        <v>0.164090919333445</v>
      </c>
      <c r="AG81">
        <f t="shared" ca="1" si="18"/>
        <v>1429.875635638643</v>
      </c>
      <c r="AH81">
        <f t="shared" ca="1" si="19"/>
        <v>0</v>
      </c>
      <c r="AI81">
        <f t="shared" ca="1" si="20"/>
        <v>0</v>
      </c>
      <c r="AJ81">
        <f t="shared" ca="1" si="21"/>
        <v>842.65228532468802</v>
      </c>
      <c r="AK81">
        <f t="shared" ca="1" si="22"/>
        <v>57.599999999999902</v>
      </c>
      <c r="AL81">
        <f t="shared" ca="1" si="23"/>
        <v>125.61061572496</v>
      </c>
    </row>
    <row r="82" spans="1:38" hidden="1">
      <c r="A82" t="str">
        <f ca="1">IF(ISNA(A$1), 0, OFFSET(data!$A$1, ROW()-1, A$1-1))</f>
        <v>Oahu</v>
      </c>
      <c r="B82">
        <f ca="1">IF(ISNA(B$1), 0, OFFSET(data!$A$1, ROW()-1, B$1-1))</f>
        <v>2020</v>
      </c>
      <c r="C82" t="str">
        <f ca="1">IF(ISNA(C$1), 0, OFFSET(data!$A$1, ROW()-1, C$1-1))</f>
        <v>2020-08-08-14:00</v>
      </c>
      <c r="D82">
        <f ca="1">IF(ISNA(D$1), 0, OFFSET(data!$A$1, ROW()-1, D$1-1))</f>
        <v>175.98873458899399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49.727999999999902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836.08949710648994</v>
      </c>
      <c r="L82">
        <f ca="1">IF(ISNA(L$1), 0, OFFSET(data!$A$1, ROW()-1, L$1-1))</f>
        <v>57.599999999999902</v>
      </c>
      <c r="M82">
        <f ca="1">IF(ISNA(M$1), 0, OFFSET(data!$A$1, ROW()-1, M$1-1))</f>
        <v>118.12611867510699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1415.73235037059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1178.0919036299999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237.64044674059201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164.09091933344499</v>
      </c>
      <c r="AA82" t="str">
        <f ca="1">IF(ISNA(AA$1), #N/A, OFFSET(data!$A$1, ROW()-1, AA$1-1))</f>
        <v>typical</v>
      </c>
      <c r="AB82">
        <f t="shared" ca="1" si="13"/>
        <v>2020</v>
      </c>
      <c r="AC82">
        <f t="shared" ca="1" si="14"/>
        <v>8</v>
      </c>
      <c r="AD82" t="str">
        <f t="shared" ca="1" si="15"/>
        <v>08/08/2020</v>
      </c>
      <c r="AE82" t="str">
        <f t="shared" ca="1" si="16"/>
        <v/>
      </c>
      <c r="AF82" s="6">
        <f t="shared" ca="1" si="17"/>
        <v>0.164090919333445</v>
      </c>
      <c r="AG82">
        <f t="shared" ca="1" si="18"/>
        <v>1415.732350370592</v>
      </c>
      <c r="AH82">
        <f t="shared" ca="1" si="19"/>
        <v>0</v>
      </c>
      <c r="AI82">
        <f t="shared" ca="1" si="20"/>
        <v>0</v>
      </c>
      <c r="AJ82">
        <f t="shared" ca="1" si="21"/>
        <v>836.08949710648994</v>
      </c>
      <c r="AK82">
        <f t="shared" ca="1" si="22"/>
        <v>57.599999999999902</v>
      </c>
      <c r="AL82">
        <f t="shared" ca="1" si="23"/>
        <v>118.12611867510699</v>
      </c>
    </row>
    <row r="83" spans="1:38" hidden="1">
      <c r="A83" t="str">
        <f ca="1">IF(ISNA(A$1), 0, OFFSET(data!$A$1, ROW()-1, A$1-1))</f>
        <v>Oahu</v>
      </c>
      <c r="B83">
        <f ca="1">IF(ISNA(B$1), 0, OFFSET(data!$A$1, ROW()-1, B$1-1))</f>
        <v>2020</v>
      </c>
      <c r="C83" t="str">
        <f ca="1">IF(ISNA(C$1), 0, OFFSET(data!$A$1, ROW()-1, C$1-1))</f>
        <v>2020-08-08-16:00</v>
      </c>
      <c r="D83">
        <f ca="1">IF(ISNA(D$1), 0, OFFSET(data!$A$1, ROW()-1, D$1-1))</f>
        <v>175.98873458899399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99.551999999999893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736.66719673256898</v>
      </c>
      <c r="L83">
        <f ca="1">IF(ISNA(L$1), 0, OFFSET(data!$A$1, ROW()-1, L$1-1))</f>
        <v>57.599999999999902</v>
      </c>
      <c r="M83">
        <f ca="1">IF(ISNA(M$1), 0, OFFSET(data!$A$1, ROW()-1, M$1-1))</f>
        <v>105.003353243833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1353.01128456539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1127.21197456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225.79931000539699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164.09091933344499</v>
      </c>
      <c r="AA83" t="str">
        <f ca="1">IF(ISNA(AA$1), #N/A, OFFSET(data!$A$1, ROW()-1, AA$1-1))</f>
        <v>typical</v>
      </c>
      <c r="AB83">
        <f t="shared" ca="1" si="13"/>
        <v>2020</v>
      </c>
      <c r="AC83">
        <f t="shared" ca="1" si="14"/>
        <v>8</v>
      </c>
      <c r="AD83" t="str">
        <f t="shared" ca="1" si="15"/>
        <v>08/08/2020</v>
      </c>
      <c r="AE83" t="str">
        <f t="shared" ca="1" si="16"/>
        <v/>
      </c>
      <c r="AF83" s="6">
        <f t="shared" ca="1" si="17"/>
        <v>0.164090919333445</v>
      </c>
      <c r="AG83">
        <f t="shared" ca="1" si="18"/>
        <v>1353.0112845653971</v>
      </c>
      <c r="AH83">
        <f t="shared" ca="1" si="19"/>
        <v>0</v>
      </c>
      <c r="AI83">
        <f t="shared" ca="1" si="20"/>
        <v>0</v>
      </c>
      <c r="AJ83">
        <f t="shared" ca="1" si="21"/>
        <v>736.66719673256898</v>
      </c>
      <c r="AK83">
        <f t="shared" ca="1" si="22"/>
        <v>57.599999999999902</v>
      </c>
      <c r="AL83">
        <f t="shared" ca="1" si="23"/>
        <v>105.003353243833</v>
      </c>
    </row>
    <row r="84" spans="1:38" hidden="1">
      <c r="A84" t="str">
        <f ca="1">IF(ISNA(A$1), 0, OFFSET(data!$A$1, ROW()-1, A$1-1))</f>
        <v>Oahu</v>
      </c>
      <c r="B84">
        <f ca="1">IF(ISNA(B$1), 0, OFFSET(data!$A$1, ROW()-1, B$1-1))</f>
        <v>2020</v>
      </c>
      <c r="C84" t="str">
        <f ca="1">IF(ISNA(C$1), 0, OFFSET(data!$A$1, ROW()-1, C$1-1))</f>
        <v>2020-08-08-18:00</v>
      </c>
      <c r="D84">
        <f ca="1">IF(ISNA(D$1), 0, OFFSET(data!$A$1, ROW()-1, D$1-1))</f>
        <v>175.98873458899399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80.206843581424806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111.532769589106</v>
      </c>
      <c r="L84">
        <f ca="1">IF(ISNA(L$1), 0, OFFSET(data!$A$1, ROW()-1, L$1-1))</f>
        <v>57.599999999999902</v>
      </c>
      <c r="M84">
        <f ca="1">IF(ISNA(M$1), 0, OFFSET(data!$A$1, ROW()-1, M$1-1))</f>
        <v>141.194295744474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744.72264350399996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1063.8894907199999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-319.16684721599898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164.09091933344499</v>
      </c>
      <c r="AA84" t="str">
        <f ca="1">IF(ISNA(AA$1), #N/A, OFFSET(data!$A$1, ROW()-1, AA$1-1))</f>
        <v>typical</v>
      </c>
      <c r="AB84">
        <f t="shared" ca="1" si="13"/>
        <v>2020</v>
      </c>
      <c r="AC84">
        <f t="shared" ca="1" si="14"/>
        <v>8</v>
      </c>
      <c r="AD84" t="str">
        <f t="shared" ca="1" si="15"/>
        <v>08/08/2020</v>
      </c>
      <c r="AE84" t="str">
        <f t="shared" ca="1" si="16"/>
        <v/>
      </c>
      <c r="AF84" s="6">
        <f t="shared" ca="1" si="17"/>
        <v>0.164090919333445</v>
      </c>
      <c r="AG84">
        <f t="shared" ca="1" si="18"/>
        <v>744.72264350400087</v>
      </c>
      <c r="AH84">
        <f t="shared" ca="1" si="19"/>
        <v>0</v>
      </c>
      <c r="AI84">
        <f t="shared" ca="1" si="20"/>
        <v>0</v>
      </c>
      <c r="AJ84">
        <f t="shared" ca="1" si="21"/>
        <v>111.532769589106</v>
      </c>
      <c r="AK84">
        <f t="shared" ca="1" si="22"/>
        <v>57.599999999999902</v>
      </c>
      <c r="AL84">
        <f t="shared" ca="1" si="23"/>
        <v>141.194295744474</v>
      </c>
    </row>
    <row r="85" spans="1:38" hidden="1">
      <c r="A85" t="str">
        <f ca="1">IF(ISNA(A$1), 0, OFFSET(data!$A$1, ROW()-1, A$1-1))</f>
        <v>Oahu</v>
      </c>
      <c r="B85">
        <f ca="1">IF(ISNA(B$1), 0, OFFSET(data!$A$1, ROW()-1, B$1-1))</f>
        <v>2020</v>
      </c>
      <c r="C85" t="str">
        <f ca="1">IF(ISNA(C$1), 0, OFFSET(data!$A$1, ROW()-1, C$1-1))</f>
        <v>2020-08-08-20:00</v>
      </c>
      <c r="D85">
        <f ca="1">IF(ISNA(D$1), 0, OFFSET(data!$A$1, ROW()-1, D$1-1))</f>
        <v>175.98873458899399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187.24060252917701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114.98903849082799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714.01837560899901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1020.02625087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-306.00787526099998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164.09091933344499</v>
      </c>
      <c r="AA85" t="str">
        <f ca="1">IF(ISNA(AA$1), #N/A, OFFSET(data!$A$1, ROW()-1, AA$1-1))</f>
        <v>typical</v>
      </c>
      <c r="AB85">
        <f t="shared" ca="1" si="13"/>
        <v>2020</v>
      </c>
      <c r="AC85">
        <f t="shared" ca="1" si="14"/>
        <v>8</v>
      </c>
      <c r="AD85" t="str">
        <f t="shared" ca="1" si="15"/>
        <v>08/08/2020</v>
      </c>
      <c r="AE85" t="str">
        <f t="shared" ca="1" si="16"/>
        <v/>
      </c>
      <c r="AF85" s="6">
        <f t="shared" ca="1" si="17"/>
        <v>0.164090919333445</v>
      </c>
      <c r="AG85">
        <f t="shared" ca="1" si="18"/>
        <v>714.01837560900003</v>
      </c>
      <c r="AH85">
        <f t="shared" ca="1" si="19"/>
        <v>0</v>
      </c>
      <c r="AI85">
        <f t="shared" ca="1" si="20"/>
        <v>0</v>
      </c>
      <c r="AJ85">
        <f t="shared" ca="1" si="21"/>
        <v>0</v>
      </c>
      <c r="AK85">
        <f t="shared" ca="1" si="22"/>
        <v>57.599999999999902</v>
      </c>
      <c r="AL85">
        <f t="shared" ca="1" si="23"/>
        <v>114.98903849082799</v>
      </c>
    </row>
    <row r="86" spans="1:38" hidden="1">
      <c r="A86" t="str">
        <f ca="1">IF(ISNA(A$1), 0, OFFSET(data!$A$1, ROW()-1, A$1-1))</f>
        <v>Oahu</v>
      </c>
      <c r="B86">
        <f ca="1">IF(ISNA(B$1), 0, OFFSET(data!$A$1, ROW()-1, B$1-1))</f>
        <v>2020</v>
      </c>
      <c r="C86" t="str">
        <f ca="1">IF(ISNA(C$1), 0, OFFSET(data!$A$1, ROW()-1, C$1-1))</f>
        <v>2020-08-08-22:00</v>
      </c>
      <c r="D86">
        <f ca="1">IF(ISNA(D$1), 0, OFFSET(data!$A$1, ROW()-1, D$1-1))</f>
        <v>175.98873458899399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248.928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93.181716727653196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753.89845131664697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810.92037938600004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-57.021928069352498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164.09091933344499</v>
      </c>
      <c r="AA86" t="str">
        <f ca="1">IF(ISNA(AA$1), #N/A, OFFSET(data!$A$1, ROW()-1, AA$1-1))</f>
        <v>typical</v>
      </c>
      <c r="AB86">
        <f t="shared" ca="1" si="13"/>
        <v>2020</v>
      </c>
      <c r="AC86">
        <f t="shared" ca="1" si="14"/>
        <v>8</v>
      </c>
      <c r="AD86" t="str">
        <f t="shared" ca="1" si="15"/>
        <v>08/08/2020</v>
      </c>
      <c r="AE86" t="str">
        <f t="shared" ca="1" si="16"/>
        <v/>
      </c>
      <c r="AF86" s="6">
        <f t="shared" ca="1" si="17"/>
        <v>0.164090919333445</v>
      </c>
      <c r="AG86">
        <f t="shared" ca="1" si="18"/>
        <v>753.89845131664754</v>
      </c>
      <c r="AH86">
        <f t="shared" ca="1" si="19"/>
        <v>0</v>
      </c>
      <c r="AI86">
        <f t="shared" ca="1" si="20"/>
        <v>0</v>
      </c>
      <c r="AJ86">
        <f t="shared" ca="1" si="21"/>
        <v>0</v>
      </c>
      <c r="AK86">
        <f t="shared" ca="1" si="22"/>
        <v>57.599999999999902</v>
      </c>
      <c r="AL86">
        <f t="shared" ca="1" si="23"/>
        <v>93.181716727653196</v>
      </c>
    </row>
    <row r="87" spans="1:38" hidden="1">
      <c r="A87" t="str">
        <f ca="1">IF(ISNA(A$1), 0, OFFSET(data!$A$1, ROW()-1, A$1-1))</f>
        <v>Oahu</v>
      </c>
      <c r="B87">
        <f ca="1">IF(ISNA(B$1), 0, OFFSET(data!$A$1, ROW()-1, B$1-1))</f>
        <v>2020</v>
      </c>
      <c r="C87" t="str">
        <f ca="1">IF(ISNA(C$1), 0, OFFSET(data!$A$1, ROW()-1, C$1-1))</f>
        <v>2020-08-30-00:00</v>
      </c>
      <c r="D87">
        <f ca="1">IF(ISNA(D$1), 0, OFFSET(data!$A$1, ROW()-1, D$1-1))</f>
        <v>175.98873458899399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99.551999999999893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25.713180986978099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537.05391557597204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618.58346987499999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-81.529554299027595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164.09091933344499</v>
      </c>
      <c r="AA87" t="str">
        <f ca="1">IF(ISNA(AA$1), #N/A, OFFSET(data!$A$1, ROW()-1, AA$1-1))</f>
        <v>peak</v>
      </c>
      <c r="AB87">
        <f t="shared" ca="1" si="13"/>
        <v>2020</v>
      </c>
      <c r="AC87">
        <f t="shared" ca="1" si="14"/>
        <v>8</v>
      </c>
      <c r="AD87" t="str">
        <f t="shared" ca="1" si="15"/>
        <v>08/30/2020</v>
      </c>
      <c r="AE87" t="str">
        <f t="shared" ca="1" si="16"/>
        <v/>
      </c>
      <c r="AF87" s="6">
        <f t="shared" ca="1" si="17"/>
        <v>0.164090919333445</v>
      </c>
      <c r="AG87">
        <f t="shared" ca="1" si="18"/>
        <v>537.05391557597238</v>
      </c>
      <c r="AH87">
        <f t="shared" ca="1" si="19"/>
        <v>0</v>
      </c>
      <c r="AI87">
        <f t="shared" ca="1" si="20"/>
        <v>0</v>
      </c>
      <c r="AJ87">
        <f t="shared" ca="1" si="21"/>
        <v>0</v>
      </c>
      <c r="AK87">
        <f t="shared" ca="1" si="22"/>
        <v>57.599999999999902</v>
      </c>
      <c r="AL87">
        <f t="shared" ca="1" si="23"/>
        <v>25.713180986978099</v>
      </c>
    </row>
    <row r="88" spans="1:38" hidden="1">
      <c r="A88" t="str">
        <f ca="1">IF(ISNA(A$1), 0, OFFSET(data!$A$1, ROW()-1, A$1-1))</f>
        <v>Oahu</v>
      </c>
      <c r="B88">
        <f ca="1">IF(ISNA(B$1), 0, OFFSET(data!$A$1, ROW()-1, B$1-1))</f>
        <v>2020</v>
      </c>
      <c r="C88" t="str">
        <f ca="1">IF(ISNA(C$1), 0, OFFSET(data!$A$1, ROW()-1, C$1-1))</f>
        <v>2020-08-30-02:00</v>
      </c>
      <c r="D88">
        <f ca="1">IF(ISNA(D$1), 0, OFFSET(data!$A$1, ROW()-1, D$1-1))</f>
        <v>175.98873458899399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199.10399999999899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39.096337287272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649.98907187626605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547.35325797899998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102.635813897266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164.09091933344499</v>
      </c>
      <c r="AA88" t="str">
        <f ca="1">IF(ISNA(AA$1), #N/A, OFFSET(data!$A$1, ROW()-1, AA$1-1))</f>
        <v>peak</v>
      </c>
      <c r="AB88">
        <f t="shared" ca="1" si="13"/>
        <v>2020</v>
      </c>
      <c r="AC88">
        <f t="shared" ca="1" si="14"/>
        <v>8</v>
      </c>
      <c r="AD88" t="str">
        <f t="shared" ca="1" si="15"/>
        <v>08/30/2020</v>
      </c>
      <c r="AE88" t="str">
        <f t="shared" ca="1" si="16"/>
        <v/>
      </c>
      <c r="AF88" s="6">
        <f t="shared" ca="1" si="17"/>
        <v>0.164090919333445</v>
      </c>
      <c r="AG88">
        <f t="shared" ca="1" si="18"/>
        <v>649.98907187626594</v>
      </c>
      <c r="AH88">
        <f t="shared" ca="1" si="19"/>
        <v>0</v>
      </c>
      <c r="AI88">
        <f t="shared" ca="1" si="20"/>
        <v>0</v>
      </c>
      <c r="AJ88">
        <f t="shared" ca="1" si="21"/>
        <v>0</v>
      </c>
      <c r="AK88">
        <f t="shared" ca="1" si="22"/>
        <v>57.599999999999902</v>
      </c>
      <c r="AL88">
        <f t="shared" ca="1" si="23"/>
        <v>39.096337287272</v>
      </c>
    </row>
    <row r="89" spans="1:38" hidden="1">
      <c r="A89" t="str">
        <f ca="1">IF(ISNA(A$1), 0, OFFSET(data!$A$1, ROW()-1, A$1-1))</f>
        <v>Oahu</v>
      </c>
      <c r="B89">
        <f ca="1">IF(ISNA(B$1), 0, OFFSET(data!$A$1, ROW()-1, B$1-1))</f>
        <v>2020</v>
      </c>
      <c r="C89" t="str">
        <f ca="1">IF(ISNA(C$1), 0, OFFSET(data!$A$1, ROW()-1, C$1-1))</f>
        <v>2020-08-30-04:00</v>
      </c>
      <c r="D89">
        <f ca="1">IF(ISNA(D$1), 0, OFFSET(data!$A$1, ROW()-1, D$1-1))</f>
        <v>175.98873458899399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149.37599999999901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47.407783273571603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608.57251786256597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623.59253812199995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-15.020020259433799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164.09091933344499</v>
      </c>
      <c r="AA89" t="str">
        <f ca="1">IF(ISNA(AA$1), #N/A, OFFSET(data!$A$1, ROW()-1, AA$1-1))</f>
        <v>peak</v>
      </c>
      <c r="AB89">
        <f t="shared" ca="1" si="13"/>
        <v>2020</v>
      </c>
      <c r="AC89">
        <f t="shared" ca="1" si="14"/>
        <v>8</v>
      </c>
      <c r="AD89" t="str">
        <f t="shared" ca="1" si="15"/>
        <v>08/30/2020</v>
      </c>
      <c r="AE89" t="str">
        <f t="shared" ca="1" si="16"/>
        <v/>
      </c>
      <c r="AF89" s="6">
        <f t="shared" ca="1" si="17"/>
        <v>0.164090919333445</v>
      </c>
      <c r="AG89">
        <f t="shared" ca="1" si="18"/>
        <v>608.5725178625662</v>
      </c>
      <c r="AH89">
        <f t="shared" ca="1" si="19"/>
        <v>0</v>
      </c>
      <c r="AI89">
        <f t="shared" ca="1" si="20"/>
        <v>0</v>
      </c>
      <c r="AJ89">
        <f t="shared" ca="1" si="21"/>
        <v>0</v>
      </c>
      <c r="AK89">
        <f t="shared" ca="1" si="22"/>
        <v>57.599999999999902</v>
      </c>
      <c r="AL89">
        <f t="shared" ca="1" si="23"/>
        <v>47.407783273571603</v>
      </c>
    </row>
    <row r="90" spans="1:38" hidden="1">
      <c r="A90" t="str">
        <f ca="1">IF(ISNA(A$1), 0, OFFSET(data!$A$1, ROW()-1, A$1-1))</f>
        <v>Oahu</v>
      </c>
      <c r="B90">
        <f ca="1">IF(ISNA(B$1), 0, OFFSET(data!$A$1, ROW()-1, B$1-1))</f>
        <v>2020</v>
      </c>
      <c r="C90" t="str">
        <f ca="1">IF(ISNA(C$1), 0, OFFSET(data!$A$1, ROW()-1, C$1-1))</f>
        <v>2020-08-30-06:00</v>
      </c>
      <c r="D90">
        <f ca="1">IF(ISNA(D$1), 0, OFFSET(data!$A$1, ROW()-1, D$1-1))</f>
        <v>175.98873458899399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166.21650345108799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30.775051654314399</v>
      </c>
      <c r="L90">
        <f ca="1">IF(ISNA(L$1), 0, OFFSET(data!$A$1, ROW()-1, L$1-1))</f>
        <v>57.599999999999902</v>
      </c>
      <c r="M90">
        <f ca="1">IF(ISNA(M$1), 0, OFFSET(data!$A$1, ROW()-1, M$1-1))</f>
        <v>40.587670082502299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649.36795977689997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927.66851396699997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-278.3005541901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164.09091933344499</v>
      </c>
      <c r="AA90" t="str">
        <f ca="1">IF(ISNA(AA$1), #N/A, OFFSET(data!$A$1, ROW()-1, AA$1-1))</f>
        <v>peak</v>
      </c>
      <c r="AB90">
        <f t="shared" ca="1" si="13"/>
        <v>2020</v>
      </c>
      <c r="AC90">
        <f t="shared" ca="1" si="14"/>
        <v>8</v>
      </c>
      <c r="AD90" t="str">
        <f t="shared" ca="1" si="15"/>
        <v>08/30/2020</v>
      </c>
      <c r="AE90" t="str">
        <f t="shared" ca="1" si="16"/>
        <v/>
      </c>
      <c r="AF90" s="6">
        <f t="shared" ca="1" si="17"/>
        <v>0.164090919333445</v>
      </c>
      <c r="AG90">
        <f t="shared" ca="1" si="18"/>
        <v>649.36795977689997</v>
      </c>
      <c r="AH90">
        <f t="shared" ca="1" si="19"/>
        <v>0</v>
      </c>
      <c r="AI90">
        <f t="shared" ca="1" si="20"/>
        <v>0</v>
      </c>
      <c r="AJ90">
        <f t="shared" ca="1" si="21"/>
        <v>30.775051654314399</v>
      </c>
      <c r="AK90">
        <f t="shared" ca="1" si="22"/>
        <v>57.599999999999902</v>
      </c>
      <c r="AL90">
        <f t="shared" ca="1" si="23"/>
        <v>40.587670082502299</v>
      </c>
    </row>
    <row r="91" spans="1:38" hidden="1">
      <c r="A91" t="str">
        <f ca="1">IF(ISNA(A$1), 0, OFFSET(data!$A$1, ROW()-1, A$1-1))</f>
        <v>Oahu</v>
      </c>
      <c r="B91">
        <f ca="1">IF(ISNA(B$1), 0, OFFSET(data!$A$1, ROW()-1, B$1-1))</f>
        <v>2020</v>
      </c>
      <c r="C91" t="str">
        <f ca="1">IF(ISNA(C$1), 0, OFFSET(data!$A$1, ROW()-1, C$1-1))</f>
        <v>2020-08-30-08:00</v>
      </c>
      <c r="D91">
        <f ca="1">IF(ISNA(D$1), 0, OFFSET(data!$A$1, ROW()-1, D$1-1))</f>
        <v>175.98873458899399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215.325750396914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616.17756731972804</v>
      </c>
      <c r="L91">
        <f ca="1">IF(ISNA(L$1), 0, OFFSET(data!$A$1, ROW()-1, L$1-1))</f>
        <v>57.599999999999902</v>
      </c>
      <c r="M91">
        <f ca="1">IF(ISNA(M$1), 0, OFFSET(data!$A$1, ROW()-1, M$1-1))</f>
        <v>23.810544684781199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1267.1025969904099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1108.4261147300001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158.676482260418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164.09091933344499</v>
      </c>
      <c r="AA91" t="str">
        <f ca="1">IF(ISNA(AA$1), #N/A, OFFSET(data!$A$1, ROW()-1, AA$1-1))</f>
        <v>peak</v>
      </c>
      <c r="AB91">
        <f t="shared" ca="1" si="13"/>
        <v>2020</v>
      </c>
      <c r="AC91">
        <f t="shared" ca="1" si="14"/>
        <v>8</v>
      </c>
      <c r="AD91" t="str">
        <f t="shared" ca="1" si="15"/>
        <v>08/30/2020</v>
      </c>
      <c r="AE91" t="str">
        <f t="shared" ca="1" si="16"/>
        <v/>
      </c>
      <c r="AF91" s="6">
        <f t="shared" ca="1" si="17"/>
        <v>0.164090919333445</v>
      </c>
      <c r="AG91">
        <f t="shared" ca="1" si="18"/>
        <v>1267.1025969904181</v>
      </c>
      <c r="AH91">
        <f t="shared" ca="1" si="19"/>
        <v>0</v>
      </c>
      <c r="AI91">
        <f t="shared" ca="1" si="20"/>
        <v>0</v>
      </c>
      <c r="AJ91">
        <f t="shared" ca="1" si="21"/>
        <v>616.17756731972804</v>
      </c>
      <c r="AK91">
        <f t="shared" ca="1" si="22"/>
        <v>57.599999999999902</v>
      </c>
      <c r="AL91">
        <f t="shared" ca="1" si="23"/>
        <v>23.810544684781199</v>
      </c>
    </row>
    <row r="92" spans="1:38" hidden="1">
      <c r="A92" t="str">
        <f ca="1">IF(ISNA(A$1), 0, OFFSET(data!$A$1, ROW()-1, A$1-1))</f>
        <v>Oahu</v>
      </c>
      <c r="B92">
        <f ca="1">IF(ISNA(B$1), 0, OFFSET(data!$A$1, ROW()-1, B$1-1))</f>
        <v>2020</v>
      </c>
      <c r="C92" t="str">
        <f ca="1">IF(ISNA(C$1), 0, OFFSET(data!$A$1, ROW()-1, C$1-1))</f>
        <v>2020-08-30-10:00</v>
      </c>
      <c r="D92">
        <f ca="1">IF(ISNA(D$1), 0, OFFSET(data!$A$1, ROW()-1, D$1-1))</f>
        <v>175.98873458899399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99.551999999999893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798.79182340085003</v>
      </c>
      <c r="L92">
        <f ca="1">IF(ISNA(L$1), 0, OFFSET(data!$A$1, ROW()-1, L$1-1))</f>
        <v>57.599999999999902</v>
      </c>
      <c r="M92">
        <f ca="1">IF(ISNA(M$1), 0, OFFSET(data!$A$1, ROW()-1, M$1-1))</f>
        <v>26.234780489803999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1336.36733847964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1202.2427918200001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134.12454665964799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164.09091933344499</v>
      </c>
      <c r="AA92" t="str">
        <f ca="1">IF(ISNA(AA$1), #N/A, OFFSET(data!$A$1, ROW()-1, AA$1-1))</f>
        <v>peak</v>
      </c>
      <c r="AB92">
        <f t="shared" ca="1" si="13"/>
        <v>2020</v>
      </c>
      <c r="AC92">
        <f t="shared" ca="1" si="14"/>
        <v>8</v>
      </c>
      <c r="AD92" t="str">
        <f t="shared" ca="1" si="15"/>
        <v>08/30/2020</v>
      </c>
      <c r="AE92" t="str">
        <f t="shared" ca="1" si="16"/>
        <v/>
      </c>
      <c r="AF92" s="6">
        <f t="shared" ca="1" si="17"/>
        <v>0.164090919333445</v>
      </c>
      <c r="AG92">
        <f t="shared" ca="1" si="18"/>
        <v>1336.367338479648</v>
      </c>
      <c r="AH92">
        <f t="shared" ca="1" si="19"/>
        <v>0</v>
      </c>
      <c r="AI92">
        <f t="shared" ca="1" si="20"/>
        <v>0</v>
      </c>
      <c r="AJ92">
        <f t="shared" ca="1" si="21"/>
        <v>798.79182340085003</v>
      </c>
      <c r="AK92">
        <f t="shared" ca="1" si="22"/>
        <v>57.599999999999902</v>
      </c>
      <c r="AL92">
        <f t="shared" ca="1" si="23"/>
        <v>26.234780489803999</v>
      </c>
    </row>
    <row r="93" spans="1:38" hidden="1">
      <c r="A93" t="str">
        <f ca="1">IF(ISNA(A$1), 0, OFFSET(data!$A$1, ROW()-1, A$1-1))</f>
        <v>Oahu</v>
      </c>
      <c r="B93">
        <f ca="1">IF(ISNA(B$1), 0, OFFSET(data!$A$1, ROW()-1, B$1-1))</f>
        <v>2020</v>
      </c>
      <c r="C93" t="str">
        <f ca="1">IF(ISNA(C$1), 0, OFFSET(data!$A$1, ROW()-1, C$1-1))</f>
        <v>2020-08-30-12:00</v>
      </c>
      <c r="D93">
        <f ca="1">IF(ISNA(D$1), 0, OFFSET(data!$A$1, ROW()-1, D$1-1))</f>
        <v>175.98873458899399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248.928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830.45062526546599</v>
      </c>
      <c r="L93">
        <f ca="1">IF(ISNA(L$1), 0, OFFSET(data!$A$1, ROW()-1, L$1-1))</f>
        <v>57.599999999999902</v>
      </c>
      <c r="M93">
        <f ca="1">IF(ISNA(M$1), 0, OFFSET(data!$A$1, ROW()-1, M$1-1))</f>
        <v>34.375649302724803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1525.54300915718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1231.21857937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294.32442978718598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164.09091933344499</v>
      </c>
      <c r="AA93" t="str">
        <f ca="1">IF(ISNA(AA$1), #N/A, OFFSET(data!$A$1, ROW()-1, AA$1-1))</f>
        <v>peak</v>
      </c>
      <c r="AB93">
        <f t="shared" ca="1" si="13"/>
        <v>2020</v>
      </c>
      <c r="AC93">
        <f t="shared" ca="1" si="14"/>
        <v>8</v>
      </c>
      <c r="AD93" t="str">
        <f t="shared" ca="1" si="15"/>
        <v>08/30/2020</v>
      </c>
      <c r="AE93" t="str">
        <f t="shared" ca="1" si="16"/>
        <v>08/30/2020</v>
      </c>
      <c r="AF93" s="6">
        <f t="shared" ca="1" si="17"/>
        <v>0.164090919333445</v>
      </c>
      <c r="AG93">
        <f t="shared" ca="1" si="18"/>
        <v>1525.5430091571861</v>
      </c>
      <c r="AH93">
        <f t="shared" ca="1" si="19"/>
        <v>0</v>
      </c>
      <c r="AI93">
        <f t="shared" ca="1" si="20"/>
        <v>0</v>
      </c>
      <c r="AJ93">
        <f t="shared" ca="1" si="21"/>
        <v>830.45062526546599</v>
      </c>
      <c r="AK93">
        <f t="shared" ca="1" si="22"/>
        <v>57.599999999999902</v>
      </c>
      <c r="AL93">
        <f t="shared" ca="1" si="23"/>
        <v>34.375649302724803</v>
      </c>
    </row>
    <row r="94" spans="1:38" hidden="1">
      <c r="A94" t="str">
        <f ca="1">IF(ISNA(A$1), 0, OFFSET(data!$A$1, ROW()-1, A$1-1))</f>
        <v>Oahu</v>
      </c>
      <c r="B94">
        <f ca="1">IF(ISNA(B$1), 0, OFFSET(data!$A$1, ROW()-1, B$1-1))</f>
        <v>2020</v>
      </c>
      <c r="C94" t="str">
        <f ca="1">IF(ISNA(C$1), 0, OFFSET(data!$A$1, ROW()-1, C$1-1))</f>
        <v>2020-08-30-14:00</v>
      </c>
      <c r="D94">
        <f ca="1">IF(ISNA(D$1), 0, OFFSET(data!$A$1, ROW()-1, D$1-1))</f>
        <v>175.98873458899399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248.928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796.62176191026401</v>
      </c>
      <c r="L94">
        <f ca="1">IF(ISNA(L$1), 0, OFFSET(data!$A$1, ROW()-1, L$1-1))</f>
        <v>57.599999999999902</v>
      </c>
      <c r="M94">
        <f ca="1">IF(ISNA(M$1), 0, OFFSET(data!$A$1, ROW()-1, M$1-1))</f>
        <v>39.3666833753201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1496.7051798745699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1241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255.70517987457899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164.09091933344499</v>
      </c>
      <c r="AA94" t="str">
        <f ca="1">IF(ISNA(AA$1), #N/A, OFFSET(data!$A$1, ROW()-1, AA$1-1))</f>
        <v>peak</v>
      </c>
      <c r="AB94">
        <f t="shared" ca="1" si="13"/>
        <v>2020</v>
      </c>
      <c r="AC94">
        <f t="shared" ca="1" si="14"/>
        <v>8</v>
      </c>
      <c r="AD94" t="str">
        <f t="shared" ca="1" si="15"/>
        <v>08/30/2020</v>
      </c>
      <c r="AE94" t="str">
        <f t="shared" ca="1" si="16"/>
        <v/>
      </c>
      <c r="AF94" s="6">
        <f t="shared" ca="1" si="17"/>
        <v>0.164090919333445</v>
      </c>
      <c r="AG94">
        <f t="shared" ca="1" si="18"/>
        <v>1496.705179874579</v>
      </c>
      <c r="AH94">
        <f t="shared" ca="1" si="19"/>
        <v>0</v>
      </c>
      <c r="AI94">
        <f t="shared" ca="1" si="20"/>
        <v>0</v>
      </c>
      <c r="AJ94">
        <f t="shared" ca="1" si="21"/>
        <v>796.62176191026401</v>
      </c>
      <c r="AK94">
        <f t="shared" ca="1" si="22"/>
        <v>57.599999999999902</v>
      </c>
      <c r="AL94">
        <f t="shared" ca="1" si="23"/>
        <v>39.3666833753201</v>
      </c>
    </row>
    <row r="95" spans="1:38" hidden="1">
      <c r="A95" t="str">
        <f ca="1">IF(ISNA(A$1), 0, OFFSET(data!$A$1, ROW()-1, A$1-1))</f>
        <v>Oahu</v>
      </c>
      <c r="B95">
        <f ca="1">IF(ISNA(B$1), 0, OFFSET(data!$A$1, ROW()-1, B$1-1))</f>
        <v>2020</v>
      </c>
      <c r="C95" t="str">
        <f ca="1">IF(ISNA(C$1), 0, OFFSET(data!$A$1, ROW()-1, C$1-1))</f>
        <v>2020-08-30-16:00</v>
      </c>
      <c r="D95">
        <f ca="1">IF(ISNA(D$1), 0, OFFSET(data!$A$1, ROW()-1, D$1-1))</f>
        <v>175.98873458899399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248.928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719.96508151467901</v>
      </c>
      <c r="L95">
        <f ca="1">IF(ISNA(L$1), 0, OFFSET(data!$A$1, ROW()-1, L$1-1))</f>
        <v>57.599999999999902</v>
      </c>
      <c r="M95">
        <f ca="1">IF(ISNA(M$1), 0, OFFSET(data!$A$1, ROW()-1, M$1-1))</f>
        <v>42.330836556471397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1423.01265266014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1196.0504652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226.962187460145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164.09091933344499</v>
      </c>
      <c r="AA95" t="str">
        <f ca="1">IF(ISNA(AA$1), #N/A, OFFSET(data!$A$1, ROW()-1, AA$1-1))</f>
        <v>peak</v>
      </c>
      <c r="AB95">
        <f t="shared" ca="1" si="13"/>
        <v>2020</v>
      </c>
      <c r="AC95">
        <f t="shared" ca="1" si="14"/>
        <v>8</v>
      </c>
      <c r="AD95" t="str">
        <f t="shared" ca="1" si="15"/>
        <v>08/30/2020</v>
      </c>
      <c r="AE95" t="str">
        <f t="shared" ca="1" si="16"/>
        <v/>
      </c>
      <c r="AF95" s="6">
        <f t="shared" ca="1" si="17"/>
        <v>0.164090919333445</v>
      </c>
      <c r="AG95">
        <f t="shared" ca="1" si="18"/>
        <v>1423.012652660145</v>
      </c>
      <c r="AH95">
        <f t="shared" ca="1" si="19"/>
        <v>0</v>
      </c>
      <c r="AI95">
        <f t="shared" ca="1" si="20"/>
        <v>0</v>
      </c>
      <c r="AJ95">
        <f t="shared" ca="1" si="21"/>
        <v>719.96508151467901</v>
      </c>
      <c r="AK95">
        <f t="shared" ca="1" si="22"/>
        <v>57.599999999999902</v>
      </c>
      <c r="AL95">
        <f t="shared" ca="1" si="23"/>
        <v>42.330836556471397</v>
      </c>
    </row>
    <row r="96" spans="1:38" hidden="1">
      <c r="A96" t="str">
        <f ca="1">IF(ISNA(A$1), 0, OFFSET(data!$A$1, ROW()-1, A$1-1))</f>
        <v>Oahu</v>
      </c>
      <c r="B96">
        <f ca="1">IF(ISNA(B$1), 0, OFFSET(data!$A$1, ROW()-1, B$1-1))</f>
        <v>2020</v>
      </c>
      <c r="C96" t="str">
        <f ca="1">IF(ISNA(C$1), 0, OFFSET(data!$A$1, ROW()-1, C$1-1))</f>
        <v>2020-08-30-18:00</v>
      </c>
      <c r="D96">
        <f ca="1">IF(ISNA(D$1), 0, OFFSET(data!$A$1, ROW()-1, D$1-1))</f>
        <v>175.98873458899399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272.52968554661402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71.7045037612248</v>
      </c>
      <c r="L96">
        <f ca="1">IF(ISNA(L$1), 0, OFFSET(data!$A$1, ROW()-1, L$1-1))</f>
        <v>57.599999999999902</v>
      </c>
      <c r="M96">
        <f ca="1">IF(ISNA(M$1), 0, OFFSET(data!$A$1, ROW()-1, M$1-1))</f>
        <v>75.635520335166305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831.65844423199997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1188.08349176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-356.42504752799999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166.91962553905</v>
      </c>
      <c r="AA96" t="str">
        <f ca="1">IF(ISNA(AA$1), #N/A, OFFSET(data!$A$1, ROW()-1, AA$1-1))</f>
        <v>peak</v>
      </c>
      <c r="AB96">
        <f t="shared" ca="1" si="13"/>
        <v>2020</v>
      </c>
      <c r="AC96">
        <f t="shared" ca="1" si="14"/>
        <v>8</v>
      </c>
      <c r="AD96" t="str">
        <f t="shared" ca="1" si="15"/>
        <v>08/30/2020</v>
      </c>
      <c r="AE96" t="str">
        <f t="shared" ca="1" si="16"/>
        <v/>
      </c>
      <c r="AF96" s="6">
        <f t="shared" ca="1" si="17"/>
        <v>0.16691962553905001</v>
      </c>
      <c r="AG96">
        <f t="shared" ca="1" si="18"/>
        <v>831.65844423199997</v>
      </c>
      <c r="AH96">
        <f t="shared" ca="1" si="19"/>
        <v>0</v>
      </c>
      <c r="AI96">
        <f t="shared" ca="1" si="20"/>
        <v>0</v>
      </c>
      <c r="AJ96">
        <f t="shared" ca="1" si="21"/>
        <v>71.7045037612248</v>
      </c>
      <c r="AK96">
        <f t="shared" ca="1" si="22"/>
        <v>57.599999999999902</v>
      </c>
      <c r="AL96">
        <f t="shared" ca="1" si="23"/>
        <v>75.635520335166305</v>
      </c>
    </row>
    <row r="97" spans="1:38" hidden="1">
      <c r="A97" t="str">
        <f ca="1">IF(ISNA(A$1), 0, OFFSET(data!$A$1, ROW()-1, A$1-1))</f>
        <v>Oahu</v>
      </c>
      <c r="B97">
        <f ca="1">IF(ISNA(B$1), 0, OFFSET(data!$A$1, ROW()-1, B$1-1))</f>
        <v>2020</v>
      </c>
      <c r="C97" t="str">
        <f ca="1">IF(ISNA(C$1), 0, OFFSET(data!$A$1, ROW()-1, C$1-1))</f>
        <v>2020-08-30-20:00</v>
      </c>
      <c r="D97">
        <f ca="1">IF(ISNA(D$1), 0, OFFSET(data!$A$1, ROW()-1, D$1-1))</f>
        <v>175.98873458899399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298.80642863284999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65.928849406155294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776.52401262799901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1109.3200180399999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-332.79600541199898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166.91962553905</v>
      </c>
      <c r="AA97" t="str">
        <f ca="1">IF(ISNA(AA$1), #N/A, OFFSET(data!$A$1, ROW()-1, AA$1-1))</f>
        <v>peak</v>
      </c>
      <c r="AB97">
        <f t="shared" ca="1" si="13"/>
        <v>2020</v>
      </c>
      <c r="AC97">
        <f t="shared" ca="1" si="14"/>
        <v>8</v>
      </c>
      <c r="AD97" t="str">
        <f t="shared" ca="1" si="15"/>
        <v>08/30/2020</v>
      </c>
      <c r="AE97" t="str">
        <f t="shared" ca="1" si="16"/>
        <v/>
      </c>
      <c r="AF97" s="6">
        <f t="shared" ca="1" si="17"/>
        <v>0.16691962553905001</v>
      </c>
      <c r="AG97">
        <f t="shared" ca="1" si="18"/>
        <v>776.52401262800095</v>
      </c>
      <c r="AH97">
        <f t="shared" ca="1" si="19"/>
        <v>0</v>
      </c>
      <c r="AI97">
        <f t="shared" ca="1" si="20"/>
        <v>0</v>
      </c>
      <c r="AJ97">
        <f t="shared" ca="1" si="21"/>
        <v>0</v>
      </c>
      <c r="AK97">
        <f t="shared" ca="1" si="22"/>
        <v>57.599999999999902</v>
      </c>
      <c r="AL97">
        <f t="shared" ca="1" si="23"/>
        <v>65.928849406155294</v>
      </c>
    </row>
    <row r="98" spans="1:38" hidden="1">
      <c r="A98" t="str">
        <f ca="1">IF(ISNA(A$1), 0, OFFSET(data!$A$1, ROW()-1, A$1-1))</f>
        <v>Oahu</v>
      </c>
      <c r="B98">
        <f ca="1">IF(ISNA(B$1), 0, OFFSET(data!$A$1, ROW()-1, B$1-1))</f>
        <v>2020</v>
      </c>
      <c r="C98" t="str">
        <f ca="1">IF(ISNA(C$1), 0, OFFSET(data!$A$1, ROW()-1, C$1-1))</f>
        <v>2020-08-30-22:00</v>
      </c>
      <c r="D98">
        <f ca="1">IF(ISNA(D$1), 0, OFFSET(data!$A$1, ROW()-1, D$1-1))</f>
        <v>175.98873458899399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248.928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48.922415216322698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709.63914980531695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817.99660805600001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-108.357458250682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164.09091933344499</v>
      </c>
      <c r="AA98" t="str">
        <f ca="1">IF(ISNA(AA$1), #N/A, OFFSET(data!$A$1, ROW()-1, AA$1-1))</f>
        <v>peak</v>
      </c>
      <c r="AB98">
        <f t="shared" ca="1" si="13"/>
        <v>2020</v>
      </c>
      <c r="AC98">
        <f t="shared" ca="1" si="14"/>
        <v>8</v>
      </c>
      <c r="AD98" t="str">
        <f t="shared" ca="1" si="15"/>
        <v>08/30/2020</v>
      </c>
      <c r="AE98" t="str">
        <f t="shared" ca="1" si="16"/>
        <v/>
      </c>
      <c r="AF98" s="6">
        <f t="shared" ca="1" si="17"/>
        <v>0.164090919333445</v>
      </c>
      <c r="AG98">
        <f t="shared" ca="1" si="18"/>
        <v>709.63914980531797</v>
      </c>
      <c r="AH98">
        <f t="shared" ca="1" si="19"/>
        <v>0</v>
      </c>
      <c r="AI98">
        <f t="shared" ca="1" si="20"/>
        <v>0</v>
      </c>
      <c r="AJ98">
        <f t="shared" ca="1" si="21"/>
        <v>0</v>
      </c>
      <c r="AK98">
        <f t="shared" ca="1" si="22"/>
        <v>57.599999999999902</v>
      </c>
      <c r="AL98">
        <f t="shared" ca="1" si="23"/>
        <v>48.922415216322698</v>
      </c>
    </row>
    <row r="99" spans="1:38" hidden="1">
      <c r="A99" t="str">
        <f ca="1">IF(ISNA(A$1), 0, OFFSET(data!$A$1, ROW()-1, A$1-1))</f>
        <v>Oahu</v>
      </c>
      <c r="B99">
        <f ca="1">IF(ISNA(B$1), 0, OFFSET(data!$A$1, ROW()-1, B$1-1))</f>
        <v>2020</v>
      </c>
      <c r="C99" t="str">
        <f ca="1">IF(ISNA(C$1), 0, OFFSET(data!$A$1, ROW()-1, C$1-1))</f>
        <v>2020-10-06-00:00</v>
      </c>
      <c r="D99">
        <f ca="1">IF(ISNA(D$1), 0, OFFSET(data!$A$1, ROW()-1, D$1-1))</f>
        <v>175.98873458899399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64.264565976939295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476.053300565933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593.07841839699995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-117.025117831066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131.214922295561</v>
      </c>
      <c r="AA99" t="str">
        <f ca="1">IF(ISNA(AA$1), #N/A, OFFSET(data!$A$1, ROW()-1, AA$1-1))</f>
        <v>typical</v>
      </c>
      <c r="AB99">
        <f t="shared" ca="1" si="13"/>
        <v>2020</v>
      </c>
      <c r="AC99">
        <f t="shared" ca="1" si="14"/>
        <v>10</v>
      </c>
      <c r="AD99" t="str">
        <f t="shared" ca="1" si="15"/>
        <v>10/06/2020</v>
      </c>
      <c r="AE99" t="str">
        <f t="shared" ca="1" si="16"/>
        <v/>
      </c>
      <c r="AF99" s="6">
        <f t="shared" ca="1" si="17"/>
        <v>0.131214922295561</v>
      </c>
      <c r="AG99">
        <f t="shared" ca="1" si="18"/>
        <v>476.05330056593397</v>
      </c>
      <c r="AH99">
        <f t="shared" ca="1" si="19"/>
        <v>0</v>
      </c>
      <c r="AI99">
        <f t="shared" ca="1" si="20"/>
        <v>0</v>
      </c>
      <c r="AJ99">
        <f t="shared" ca="1" si="21"/>
        <v>0</v>
      </c>
      <c r="AK99">
        <f t="shared" ca="1" si="22"/>
        <v>57.599999999999902</v>
      </c>
      <c r="AL99">
        <f t="shared" ca="1" si="23"/>
        <v>64.264565976939295</v>
      </c>
    </row>
    <row r="100" spans="1:38" hidden="1">
      <c r="A100" t="str">
        <f ca="1">IF(ISNA(A$1), 0, OFFSET(data!$A$1, ROW()-1, A$1-1))</f>
        <v>Oahu</v>
      </c>
      <c r="B100">
        <f ca="1">IF(ISNA(B$1), 0, OFFSET(data!$A$1, ROW()-1, B$1-1))</f>
        <v>2020</v>
      </c>
      <c r="C100" t="str">
        <f ca="1">IF(ISNA(C$1), 0, OFFSET(data!$A$1, ROW()-1, C$1-1))</f>
        <v>2020-10-06-02:00</v>
      </c>
      <c r="D100">
        <f ca="1">IF(ISNA(D$1), 0, OFFSET(data!$A$1, ROW()-1, D$1-1))</f>
        <v>175.98873458899399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67.523935263190097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479.312669852184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513.56563865199996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-34.252968799815399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131.214922295561</v>
      </c>
      <c r="AA100" t="str">
        <f ca="1">IF(ISNA(AA$1), #N/A, OFFSET(data!$A$1, ROW()-1, AA$1-1))</f>
        <v>typical</v>
      </c>
      <c r="AB100">
        <f t="shared" ca="1" si="13"/>
        <v>2020</v>
      </c>
      <c r="AC100">
        <f t="shared" ca="1" si="14"/>
        <v>10</v>
      </c>
      <c r="AD100" t="str">
        <f t="shared" ca="1" si="15"/>
        <v>10/06/2020</v>
      </c>
      <c r="AE100" t="str">
        <f t="shared" ca="1" si="16"/>
        <v/>
      </c>
      <c r="AF100" s="6">
        <f t="shared" ca="1" si="17"/>
        <v>0.131214922295561</v>
      </c>
      <c r="AG100">
        <f t="shared" ca="1" si="18"/>
        <v>479.31266985218457</v>
      </c>
      <c r="AH100">
        <f t="shared" ca="1" si="19"/>
        <v>0</v>
      </c>
      <c r="AI100">
        <f t="shared" ca="1" si="20"/>
        <v>0</v>
      </c>
      <c r="AJ100">
        <f t="shared" ca="1" si="21"/>
        <v>0</v>
      </c>
      <c r="AK100">
        <f t="shared" ca="1" si="22"/>
        <v>57.599999999999902</v>
      </c>
      <c r="AL100">
        <f t="shared" ca="1" si="23"/>
        <v>67.523935263190097</v>
      </c>
    </row>
    <row r="101" spans="1:38" hidden="1">
      <c r="A101" t="str">
        <f ca="1">IF(ISNA(A$1), 0, OFFSET(data!$A$1, ROW()-1, A$1-1))</f>
        <v>Oahu</v>
      </c>
      <c r="B101">
        <f ca="1">IF(ISNA(B$1), 0, OFFSET(data!$A$1, ROW()-1, B$1-1))</f>
        <v>2020</v>
      </c>
      <c r="C101" t="str">
        <f ca="1">IF(ISNA(C$1), 0, OFFSET(data!$A$1, ROW()-1, C$1-1))</f>
        <v>2020-10-06-04:00</v>
      </c>
      <c r="D101">
        <f ca="1">IF(ISNA(D$1), 0, OFFSET(data!$A$1, ROW()-1, D$1-1))</f>
        <v>175.98873458899399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43.450865410998901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455.239599999993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535.10028296400003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-79.860682964006699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131.214922295561</v>
      </c>
      <c r="AA101" t="str">
        <f ca="1">IF(ISNA(AA$1), #N/A, OFFSET(data!$A$1, ROW()-1, AA$1-1))</f>
        <v>typical</v>
      </c>
      <c r="AB101">
        <f t="shared" ca="1" si="13"/>
        <v>2020</v>
      </c>
      <c r="AC101">
        <f t="shared" ca="1" si="14"/>
        <v>10</v>
      </c>
      <c r="AD101" t="str">
        <f t="shared" ca="1" si="15"/>
        <v>10/06/2020</v>
      </c>
      <c r="AE101" t="str">
        <f t="shared" ca="1" si="16"/>
        <v/>
      </c>
      <c r="AF101" s="6">
        <f t="shared" ca="1" si="17"/>
        <v>0.131214922295561</v>
      </c>
      <c r="AG101">
        <f t="shared" ca="1" si="18"/>
        <v>455.23959999999335</v>
      </c>
      <c r="AH101">
        <f t="shared" ca="1" si="19"/>
        <v>0</v>
      </c>
      <c r="AI101">
        <f t="shared" ca="1" si="20"/>
        <v>0</v>
      </c>
      <c r="AJ101">
        <f t="shared" ca="1" si="21"/>
        <v>0</v>
      </c>
      <c r="AK101">
        <f t="shared" ca="1" si="22"/>
        <v>57.599999999999902</v>
      </c>
      <c r="AL101">
        <f t="shared" ca="1" si="23"/>
        <v>43.450865410998901</v>
      </c>
    </row>
    <row r="102" spans="1:38" hidden="1">
      <c r="A102" t="str">
        <f ca="1">IF(ISNA(A$1), 0, OFFSET(data!$A$1, ROW()-1, A$1-1))</f>
        <v>Oahu</v>
      </c>
      <c r="B102">
        <f ca="1">IF(ISNA(B$1), 0, OFFSET(data!$A$1, ROW()-1, B$1-1))</f>
        <v>2020</v>
      </c>
      <c r="C102" t="str">
        <f ca="1">IF(ISNA(C$1), 0, OFFSET(data!$A$1, ROW()-1, C$1-1))</f>
        <v>2020-10-06-06:00</v>
      </c>
      <c r="D102">
        <f ca="1">IF(ISNA(D$1), 0, OFFSET(data!$A$1, ROW()-1, D$1-1))</f>
        <v>175.98873458899399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58.530822487592097</v>
      </c>
      <c r="L102">
        <f ca="1">IF(ISNA(L$1), 0, OFFSET(data!$A$1, ROW()-1, L$1-1))</f>
        <v>57.599999999999902</v>
      </c>
      <c r="M102">
        <f ca="1">IF(ISNA(M$1), 0, OFFSET(data!$A$1, ROW()-1, M$1-1))</f>
        <v>63.390110417812501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533.70966749439901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698.68795904599995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-164.97829155159999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131.214922295561</v>
      </c>
      <c r="AA102" t="str">
        <f ca="1">IF(ISNA(AA$1), #N/A, OFFSET(data!$A$1, ROW()-1, AA$1-1))</f>
        <v>typical</v>
      </c>
      <c r="AB102">
        <f t="shared" ca="1" si="13"/>
        <v>2020</v>
      </c>
      <c r="AC102">
        <f t="shared" ca="1" si="14"/>
        <v>10</v>
      </c>
      <c r="AD102" t="str">
        <f t="shared" ca="1" si="15"/>
        <v>10/06/2020</v>
      </c>
      <c r="AE102" t="str">
        <f t="shared" ca="1" si="16"/>
        <v/>
      </c>
      <c r="AF102" s="6">
        <f t="shared" ca="1" si="17"/>
        <v>0.131214922295561</v>
      </c>
      <c r="AG102">
        <f t="shared" ca="1" si="18"/>
        <v>533.70966749439992</v>
      </c>
      <c r="AH102">
        <f t="shared" ca="1" si="19"/>
        <v>0</v>
      </c>
      <c r="AI102">
        <f t="shared" ca="1" si="20"/>
        <v>0</v>
      </c>
      <c r="AJ102">
        <f t="shared" ca="1" si="21"/>
        <v>58.530822487592097</v>
      </c>
      <c r="AK102">
        <f t="shared" ca="1" si="22"/>
        <v>57.599999999999902</v>
      </c>
      <c r="AL102">
        <f t="shared" ca="1" si="23"/>
        <v>63.390110417812501</v>
      </c>
    </row>
    <row r="103" spans="1:38" hidden="1">
      <c r="A103" t="str">
        <f ca="1">IF(ISNA(A$1), 0, OFFSET(data!$A$1, ROW()-1, A$1-1))</f>
        <v>Oahu</v>
      </c>
      <c r="B103">
        <f ca="1">IF(ISNA(B$1), 0, OFFSET(data!$A$1, ROW()-1, B$1-1))</f>
        <v>2020</v>
      </c>
      <c r="C103" t="str">
        <f ca="1">IF(ISNA(C$1), 0, OFFSET(data!$A$1, ROW()-1, C$1-1))</f>
        <v>2020-10-06-08:00</v>
      </c>
      <c r="D103">
        <f ca="1">IF(ISNA(D$1), 0, OFFSET(data!$A$1, ROW()-1, D$1-1))</f>
        <v>175.98873458899399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558.56574421346897</v>
      </c>
      <c r="L103">
        <f ca="1">IF(ISNA(L$1), 0, OFFSET(data!$A$1, ROW()-1, L$1-1))</f>
        <v>57.599999999999902</v>
      </c>
      <c r="M103">
        <f ca="1">IF(ISNA(M$1), 0, OFFSET(data!$A$1, ROW()-1, M$1-1))</f>
        <v>115.797792035767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1086.1522708382299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920.87155885499999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165.28071198323099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131.214922295561</v>
      </c>
      <c r="AA103" t="str">
        <f ca="1">IF(ISNA(AA$1), #N/A, OFFSET(data!$A$1, ROW()-1, AA$1-1))</f>
        <v>typical</v>
      </c>
      <c r="AB103">
        <f t="shared" ca="1" si="13"/>
        <v>2020</v>
      </c>
      <c r="AC103">
        <f t="shared" ca="1" si="14"/>
        <v>10</v>
      </c>
      <c r="AD103" t="str">
        <f t="shared" ca="1" si="15"/>
        <v>10/06/2020</v>
      </c>
      <c r="AE103" t="str">
        <f t="shared" ca="1" si="16"/>
        <v/>
      </c>
      <c r="AF103" s="6">
        <f t="shared" ca="1" si="17"/>
        <v>0.131214922295561</v>
      </c>
      <c r="AG103">
        <f t="shared" ca="1" si="18"/>
        <v>1086.1522708382311</v>
      </c>
      <c r="AH103">
        <f t="shared" ca="1" si="19"/>
        <v>0</v>
      </c>
      <c r="AI103">
        <f t="shared" ca="1" si="20"/>
        <v>0</v>
      </c>
      <c r="AJ103">
        <f t="shared" ca="1" si="21"/>
        <v>558.56574421346897</v>
      </c>
      <c r="AK103">
        <f t="shared" ca="1" si="22"/>
        <v>57.599999999999902</v>
      </c>
      <c r="AL103">
        <f t="shared" ca="1" si="23"/>
        <v>115.797792035767</v>
      </c>
    </row>
    <row r="104" spans="1:38" hidden="1">
      <c r="A104" t="str">
        <f ca="1">IF(ISNA(A$1), 0, OFFSET(data!$A$1, ROW()-1, A$1-1))</f>
        <v>Oahu</v>
      </c>
      <c r="B104">
        <f ca="1">IF(ISNA(B$1), 0, OFFSET(data!$A$1, ROW()-1, B$1-1))</f>
        <v>2020</v>
      </c>
      <c r="C104" t="str">
        <f ca="1">IF(ISNA(C$1), 0, OFFSET(data!$A$1, ROW()-1, C$1-1))</f>
        <v>2020-10-06-10:00</v>
      </c>
      <c r="D104">
        <f ca="1">IF(ISNA(D$1), 0, OFFSET(data!$A$1, ROW()-1, D$1-1))</f>
        <v>175.98873458899399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709.61951704239902</v>
      </c>
      <c r="L104">
        <f ca="1">IF(ISNA(L$1), 0, OFFSET(data!$A$1, ROW()-1, L$1-1))</f>
        <v>57.599999999999902</v>
      </c>
      <c r="M104">
        <f ca="1">IF(ISNA(M$1), 0, OFFSET(data!$A$1, ROW()-1, M$1-1))</f>
        <v>97.757095442239006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1219.1653470736301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1008.50922961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210.656117463633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131.214922295561</v>
      </c>
      <c r="AA104" t="str">
        <f ca="1">IF(ISNA(AA$1), #N/A, OFFSET(data!$A$1, ROW()-1, AA$1-1))</f>
        <v>typical</v>
      </c>
      <c r="AB104">
        <f t="shared" ca="1" si="13"/>
        <v>2020</v>
      </c>
      <c r="AC104">
        <f t="shared" ca="1" si="14"/>
        <v>10</v>
      </c>
      <c r="AD104" t="str">
        <f t="shared" ca="1" si="15"/>
        <v>10/06/2020</v>
      </c>
      <c r="AE104" t="str">
        <f t="shared" ca="1" si="16"/>
        <v/>
      </c>
      <c r="AF104" s="6">
        <f t="shared" ca="1" si="17"/>
        <v>0.131214922295561</v>
      </c>
      <c r="AG104">
        <f t="shared" ca="1" si="18"/>
        <v>1219.165347073633</v>
      </c>
      <c r="AH104">
        <f t="shared" ca="1" si="19"/>
        <v>0</v>
      </c>
      <c r="AI104">
        <f t="shared" ca="1" si="20"/>
        <v>0</v>
      </c>
      <c r="AJ104">
        <f t="shared" ca="1" si="21"/>
        <v>709.61951704239902</v>
      </c>
      <c r="AK104">
        <f t="shared" ca="1" si="22"/>
        <v>57.599999999999902</v>
      </c>
      <c r="AL104">
        <f t="shared" ca="1" si="23"/>
        <v>97.757095442239006</v>
      </c>
    </row>
    <row r="105" spans="1:38" hidden="1">
      <c r="A105" t="str">
        <f ca="1">IF(ISNA(A$1), 0, OFFSET(data!$A$1, ROW()-1, A$1-1))</f>
        <v>Oahu</v>
      </c>
      <c r="B105">
        <f ca="1">IF(ISNA(B$1), 0, OFFSET(data!$A$1, ROW()-1, B$1-1))</f>
        <v>2020</v>
      </c>
      <c r="C105" t="str">
        <f ca="1">IF(ISNA(C$1), 0, OFFSET(data!$A$1, ROW()-1, C$1-1))</f>
        <v>2020-10-06-12:00</v>
      </c>
      <c r="D105">
        <f ca="1">IF(ISNA(D$1), 0, OFFSET(data!$A$1, ROW()-1, D$1-1))</f>
        <v>175.98873458899399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772.25686328329004</v>
      </c>
      <c r="L105">
        <f ca="1">IF(ISNA(L$1), 0, OFFSET(data!$A$1, ROW()-1, L$1-1))</f>
        <v>57.599999999999902</v>
      </c>
      <c r="M105">
        <f ca="1">IF(ISNA(M$1), 0, OFFSET(data!$A$1, ROW()-1, M$1-1))</f>
        <v>119.548074654812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1303.5936725270899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1017.8435381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285.75013442709599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131.214922295561</v>
      </c>
      <c r="AA105" t="str">
        <f ca="1">IF(ISNA(AA$1), #N/A, OFFSET(data!$A$1, ROW()-1, AA$1-1))</f>
        <v>typical</v>
      </c>
      <c r="AB105">
        <f t="shared" ca="1" si="13"/>
        <v>2020</v>
      </c>
      <c r="AC105">
        <f t="shared" ca="1" si="14"/>
        <v>10</v>
      </c>
      <c r="AD105" t="str">
        <f t="shared" ca="1" si="15"/>
        <v>10/06/2020</v>
      </c>
      <c r="AE105" t="str">
        <f t="shared" ca="1" si="16"/>
        <v>10/06/2020</v>
      </c>
      <c r="AF105" s="6">
        <f t="shared" ca="1" si="17"/>
        <v>0.131214922295561</v>
      </c>
      <c r="AG105">
        <f t="shared" ca="1" si="18"/>
        <v>1303.593672527096</v>
      </c>
      <c r="AH105">
        <f t="shared" ca="1" si="19"/>
        <v>0</v>
      </c>
      <c r="AI105">
        <f t="shared" ca="1" si="20"/>
        <v>0</v>
      </c>
      <c r="AJ105">
        <f t="shared" ca="1" si="21"/>
        <v>772.25686328329004</v>
      </c>
      <c r="AK105">
        <f t="shared" ca="1" si="22"/>
        <v>57.599999999999902</v>
      </c>
      <c r="AL105">
        <f t="shared" ca="1" si="23"/>
        <v>119.548074654812</v>
      </c>
    </row>
    <row r="106" spans="1:38" hidden="1">
      <c r="A106" t="str">
        <f ca="1">IF(ISNA(A$1), 0, OFFSET(data!$A$1, ROW()-1, A$1-1))</f>
        <v>Oahu</v>
      </c>
      <c r="B106">
        <f ca="1">IF(ISNA(B$1), 0, OFFSET(data!$A$1, ROW()-1, B$1-1))</f>
        <v>2020</v>
      </c>
      <c r="C106" t="str">
        <f ca="1">IF(ISNA(C$1), 0, OFFSET(data!$A$1, ROW()-1, C$1-1))</f>
        <v>2020-10-06-14:00</v>
      </c>
      <c r="D106">
        <f ca="1">IF(ISNA(D$1), 0, OFFSET(data!$A$1, ROW()-1, D$1-1))</f>
        <v>175.98873458899399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773.84620764492502</v>
      </c>
      <c r="L106">
        <f ca="1">IF(ISNA(L$1), 0, OFFSET(data!$A$1, ROW()-1, L$1-1))</f>
        <v>57.599999999999902</v>
      </c>
      <c r="M106">
        <f ca="1">IF(ISNA(M$1), 0, OFFSET(data!$A$1, ROW()-1, M$1-1))</f>
        <v>107.377889668916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1293.0128319028299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973.66978940299998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319.34304249983597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131.214922295561</v>
      </c>
      <c r="AA106" t="str">
        <f ca="1">IF(ISNA(AA$1), #N/A, OFFSET(data!$A$1, ROW()-1, AA$1-1))</f>
        <v>typical</v>
      </c>
      <c r="AB106">
        <f t="shared" ca="1" si="13"/>
        <v>2020</v>
      </c>
      <c r="AC106">
        <f t="shared" ca="1" si="14"/>
        <v>10</v>
      </c>
      <c r="AD106" t="str">
        <f t="shared" ca="1" si="15"/>
        <v>10/06/2020</v>
      </c>
      <c r="AE106" t="str">
        <f t="shared" ca="1" si="16"/>
        <v/>
      </c>
      <c r="AF106" s="6">
        <f t="shared" ca="1" si="17"/>
        <v>0.131214922295561</v>
      </c>
      <c r="AG106">
        <f t="shared" ca="1" si="18"/>
        <v>1293.0128319028358</v>
      </c>
      <c r="AH106">
        <f t="shared" ca="1" si="19"/>
        <v>0</v>
      </c>
      <c r="AI106">
        <f t="shared" ca="1" si="20"/>
        <v>0</v>
      </c>
      <c r="AJ106">
        <f t="shared" ca="1" si="21"/>
        <v>773.84620764492502</v>
      </c>
      <c r="AK106">
        <f t="shared" ca="1" si="22"/>
        <v>57.599999999999902</v>
      </c>
      <c r="AL106">
        <f t="shared" ca="1" si="23"/>
        <v>107.377889668916</v>
      </c>
    </row>
    <row r="107" spans="1:38" hidden="1">
      <c r="A107" t="str">
        <f ca="1">IF(ISNA(A$1), 0, OFFSET(data!$A$1, ROW()-1, A$1-1))</f>
        <v>Oahu</v>
      </c>
      <c r="B107">
        <f ca="1">IF(ISNA(B$1), 0, OFFSET(data!$A$1, ROW()-1, B$1-1))</f>
        <v>2020</v>
      </c>
      <c r="C107" t="str">
        <f ca="1">IF(ISNA(C$1), 0, OFFSET(data!$A$1, ROW()-1, C$1-1))</f>
        <v>2020-10-06-16:00</v>
      </c>
      <c r="D107">
        <f ca="1">IF(ISNA(D$1), 0, OFFSET(data!$A$1, ROW()-1, D$1-1))</f>
        <v>175.98873458899399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675.20252849732401</v>
      </c>
      <c r="L107">
        <f ca="1">IF(ISNA(L$1), 0, OFFSET(data!$A$1, ROW()-1, L$1-1))</f>
        <v>57.599999999999902</v>
      </c>
      <c r="M107">
        <f ca="1">IF(ISNA(M$1), 0, OFFSET(data!$A$1, ROW()-1, M$1-1))</f>
        <v>110.946451746573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1197.9377148328899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965.68949568000005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232.24821915289101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131.214922295561</v>
      </c>
      <c r="AA107" t="str">
        <f ca="1">IF(ISNA(AA$1), #N/A, OFFSET(data!$A$1, ROW()-1, AA$1-1))</f>
        <v>typical</v>
      </c>
      <c r="AB107">
        <f t="shared" ca="1" si="13"/>
        <v>2020</v>
      </c>
      <c r="AC107">
        <f t="shared" ca="1" si="14"/>
        <v>10</v>
      </c>
      <c r="AD107" t="str">
        <f t="shared" ca="1" si="15"/>
        <v>10/06/2020</v>
      </c>
      <c r="AE107" t="str">
        <f t="shared" ca="1" si="16"/>
        <v/>
      </c>
      <c r="AF107" s="6">
        <f t="shared" ca="1" si="17"/>
        <v>0.131214922295561</v>
      </c>
      <c r="AG107">
        <f t="shared" ca="1" si="18"/>
        <v>1197.9377148328911</v>
      </c>
      <c r="AH107">
        <f t="shared" ca="1" si="19"/>
        <v>0</v>
      </c>
      <c r="AI107">
        <f t="shared" ca="1" si="20"/>
        <v>0</v>
      </c>
      <c r="AJ107">
        <f t="shared" ca="1" si="21"/>
        <v>675.20252849732401</v>
      </c>
      <c r="AK107">
        <f t="shared" ca="1" si="22"/>
        <v>57.599999999999902</v>
      </c>
      <c r="AL107">
        <f t="shared" ca="1" si="23"/>
        <v>110.946451746573</v>
      </c>
    </row>
    <row r="108" spans="1:38" hidden="1">
      <c r="A108" t="str">
        <f ca="1">IF(ISNA(A$1), 0, OFFSET(data!$A$1, ROW()-1, A$1-1))</f>
        <v>Oahu</v>
      </c>
      <c r="B108">
        <f ca="1">IF(ISNA(B$1), 0, OFFSET(data!$A$1, ROW()-1, B$1-1))</f>
        <v>2020</v>
      </c>
      <c r="C108" t="str">
        <f ca="1">IF(ISNA(C$1), 0, OFFSET(data!$A$1, ROW()-1, C$1-1))</f>
        <v>2020-10-06-18:00</v>
      </c>
      <c r="D108">
        <f ca="1">IF(ISNA(D$1), 0, OFFSET(data!$A$1, ROW()-1, D$1-1))</f>
        <v>175.98873458899399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165.38519143539901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20.653514318375802</v>
      </c>
      <c r="L108">
        <f ca="1">IF(ISNA(L$1), 0, OFFSET(data!$A$1, ROW()-1, L$1-1))</f>
        <v>57.599999999999902</v>
      </c>
      <c r="M108">
        <f ca="1">IF(ISNA(M$1), 0, OFFSET(data!$A$1, ROW()-1, M$1-1))</f>
        <v>124.23404462723001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722.06148496999901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1031.5164070999999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-309.45492212999898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164.09091933344499</v>
      </c>
      <c r="AA108" t="str">
        <f ca="1">IF(ISNA(AA$1), #N/A, OFFSET(data!$A$1, ROW()-1, AA$1-1))</f>
        <v>typical</v>
      </c>
      <c r="AB108">
        <f t="shared" ca="1" si="13"/>
        <v>2020</v>
      </c>
      <c r="AC108">
        <f t="shared" ca="1" si="14"/>
        <v>10</v>
      </c>
      <c r="AD108" t="str">
        <f t="shared" ca="1" si="15"/>
        <v>10/06/2020</v>
      </c>
      <c r="AE108" t="str">
        <f t="shared" ca="1" si="16"/>
        <v/>
      </c>
      <c r="AF108" s="6">
        <f t="shared" ca="1" si="17"/>
        <v>0.164090919333445</v>
      </c>
      <c r="AG108">
        <f t="shared" ca="1" si="18"/>
        <v>722.06148497000095</v>
      </c>
      <c r="AH108">
        <f t="shared" ca="1" si="19"/>
        <v>0</v>
      </c>
      <c r="AI108">
        <f t="shared" ca="1" si="20"/>
        <v>0</v>
      </c>
      <c r="AJ108">
        <f t="shared" ca="1" si="21"/>
        <v>20.653514318375802</v>
      </c>
      <c r="AK108">
        <f t="shared" ca="1" si="22"/>
        <v>57.599999999999902</v>
      </c>
      <c r="AL108">
        <f t="shared" ca="1" si="23"/>
        <v>124.23404462723001</v>
      </c>
    </row>
    <row r="109" spans="1:38" hidden="1">
      <c r="A109" t="str">
        <f ca="1">IF(ISNA(A$1), 0, OFFSET(data!$A$1, ROW()-1, A$1-1))</f>
        <v>Oahu</v>
      </c>
      <c r="B109">
        <f ca="1">IF(ISNA(B$1), 0, OFFSET(data!$A$1, ROW()-1, B$1-1))</f>
        <v>2020</v>
      </c>
      <c r="C109" t="str">
        <f ca="1">IF(ISNA(C$1), 0, OFFSET(data!$A$1, ROW()-1, C$1-1))</f>
        <v>2020-10-06-20:00</v>
      </c>
      <c r="D109">
        <f ca="1">IF(ISNA(D$1), 0, OFFSET(data!$A$1, ROW()-1, D$1-1))</f>
        <v>175.98873458899399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110.503968645643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123.716186160462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646.00888939510003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922.86984199300002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-276.8609525979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164.09091933344499</v>
      </c>
      <c r="AA109" t="str">
        <f ca="1">IF(ISNA(AA$1), #N/A, OFFSET(data!$A$1, ROW()-1, AA$1-1))</f>
        <v>typical</v>
      </c>
      <c r="AB109">
        <f t="shared" ca="1" si="13"/>
        <v>2020</v>
      </c>
      <c r="AC109">
        <f t="shared" ca="1" si="14"/>
        <v>10</v>
      </c>
      <c r="AD109" t="str">
        <f t="shared" ca="1" si="15"/>
        <v>10/06/2020</v>
      </c>
      <c r="AE109" t="str">
        <f t="shared" ca="1" si="16"/>
        <v/>
      </c>
      <c r="AF109" s="6">
        <f t="shared" ca="1" si="17"/>
        <v>0.164090919333445</v>
      </c>
      <c r="AG109">
        <f t="shared" ca="1" si="18"/>
        <v>646.00888939510003</v>
      </c>
      <c r="AH109">
        <f t="shared" ca="1" si="19"/>
        <v>0</v>
      </c>
      <c r="AI109">
        <f t="shared" ca="1" si="20"/>
        <v>0</v>
      </c>
      <c r="AJ109">
        <f t="shared" ca="1" si="21"/>
        <v>0</v>
      </c>
      <c r="AK109">
        <f t="shared" ca="1" si="22"/>
        <v>57.599999999999902</v>
      </c>
      <c r="AL109">
        <f t="shared" ca="1" si="23"/>
        <v>123.716186160462</v>
      </c>
    </row>
    <row r="110" spans="1:38" hidden="1">
      <c r="A110" t="str">
        <f ca="1">IF(ISNA(A$1), 0, OFFSET(data!$A$1, ROW()-1, A$1-1))</f>
        <v>Oahu</v>
      </c>
      <c r="B110">
        <f ca="1">IF(ISNA(B$1), 0, OFFSET(data!$A$1, ROW()-1, B$1-1))</f>
        <v>2020</v>
      </c>
      <c r="C110" t="str">
        <f ca="1">IF(ISNA(C$1), 0, OFFSET(data!$A$1, ROW()-1, C$1-1))</f>
        <v>2020-10-06-22:00</v>
      </c>
      <c r="D110">
        <f ca="1">IF(ISNA(D$1), 0, OFFSET(data!$A$1, ROW()-1, D$1-1))</f>
        <v>175.98873458899399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9.6928741658656108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117.15740043384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538.63900918869899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769.48429884100005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-230.84528965230001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164.09091933344499</v>
      </c>
      <c r="AA110" t="str">
        <f ca="1">IF(ISNA(AA$1), #N/A, OFFSET(data!$A$1, ROW()-1, AA$1-1))</f>
        <v>typical</v>
      </c>
      <c r="AB110">
        <f t="shared" ca="1" si="13"/>
        <v>2020</v>
      </c>
      <c r="AC110">
        <f t="shared" ca="1" si="14"/>
        <v>10</v>
      </c>
      <c r="AD110" t="str">
        <f t="shared" ca="1" si="15"/>
        <v>10/06/2020</v>
      </c>
      <c r="AE110" t="str">
        <f t="shared" ca="1" si="16"/>
        <v/>
      </c>
      <c r="AF110" s="6">
        <f t="shared" ca="1" si="17"/>
        <v>0.164090919333445</v>
      </c>
      <c r="AG110">
        <f t="shared" ca="1" si="18"/>
        <v>538.63900918870002</v>
      </c>
      <c r="AH110">
        <f t="shared" ca="1" si="19"/>
        <v>0</v>
      </c>
      <c r="AI110">
        <f t="shared" ca="1" si="20"/>
        <v>0</v>
      </c>
      <c r="AJ110">
        <f t="shared" ca="1" si="21"/>
        <v>0</v>
      </c>
      <c r="AK110">
        <f t="shared" ca="1" si="22"/>
        <v>57.599999999999902</v>
      </c>
      <c r="AL110">
        <f t="shared" ca="1" si="23"/>
        <v>117.15740043384</v>
      </c>
    </row>
    <row r="111" spans="1:38" hidden="1">
      <c r="A111" t="str">
        <f ca="1">IF(ISNA(A$1), 0, OFFSET(data!$A$1, ROW()-1, A$1-1))</f>
        <v>Oahu</v>
      </c>
      <c r="B111">
        <f ca="1">IF(ISNA(B$1), 0, OFFSET(data!$A$1, ROW()-1, B$1-1))</f>
        <v>2020</v>
      </c>
      <c r="C111" t="str">
        <f ca="1">IF(ISNA(C$1), 0, OFFSET(data!$A$1, ROW()-1, C$1-1))</f>
        <v>2020-10-22-00:00</v>
      </c>
      <c r="D111">
        <f ca="1">IF(ISNA(D$1), 0, OFFSET(data!$A$1, ROW()-1, D$1-1))</f>
        <v>175.98873458899399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372.479999999999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3.7538282514865098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788.02256284047996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545.64416941399998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242.37839342647999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166.91962553905</v>
      </c>
      <c r="AA111" t="str">
        <f ca="1">IF(ISNA(AA$1), #N/A, OFFSET(data!$A$1, ROW()-1, AA$1-1))</f>
        <v>peak</v>
      </c>
      <c r="AB111">
        <f t="shared" ca="1" si="13"/>
        <v>2020</v>
      </c>
      <c r="AC111">
        <f t="shared" ca="1" si="14"/>
        <v>10</v>
      </c>
      <c r="AD111" t="str">
        <f t="shared" ca="1" si="15"/>
        <v>10/22/2020</v>
      </c>
      <c r="AE111" t="str">
        <f t="shared" ca="1" si="16"/>
        <v/>
      </c>
      <c r="AF111" s="6">
        <f t="shared" ca="1" si="17"/>
        <v>0.16691962553905001</v>
      </c>
      <c r="AG111">
        <f t="shared" ca="1" si="18"/>
        <v>788.02256284047996</v>
      </c>
      <c r="AH111">
        <f t="shared" ca="1" si="19"/>
        <v>0</v>
      </c>
      <c r="AI111">
        <f t="shared" ca="1" si="20"/>
        <v>0</v>
      </c>
      <c r="AJ111">
        <f t="shared" ca="1" si="21"/>
        <v>0</v>
      </c>
      <c r="AK111">
        <f t="shared" ca="1" si="22"/>
        <v>57.599999999999902</v>
      </c>
      <c r="AL111">
        <f t="shared" ca="1" si="23"/>
        <v>3.7538282514865098</v>
      </c>
    </row>
    <row r="112" spans="1:38" hidden="1">
      <c r="A112" t="str">
        <f ca="1">IF(ISNA(A$1), 0, OFFSET(data!$A$1, ROW()-1, A$1-1))</f>
        <v>Oahu</v>
      </c>
      <c r="B112">
        <f ca="1">IF(ISNA(B$1), 0, OFFSET(data!$A$1, ROW()-1, B$1-1))</f>
        <v>2020</v>
      </c>
      <c r="C112" t="str">
        <f ca="1">IF(ISNA(C$1), 0, OFFSET(data!$A$1, ROW()-1, C$1-1))</f>
        <v>2020-10-22-02:00</v>
      </c>
      <c r="D112">
        <f ca="1">IF(ISNA(D$1), 0, OFFSET(data!$A$1, ROW()-1, D$1-1))</f>
        <v>175.98873458899399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248.928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0.39185449885518903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661.10858908784905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484.09009976700003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177.018489320849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166.91962553905</v>
      </c>
      <c r="AA112" t="str">
        <f ca="1">IF(ISNA(AA$1), #N/A, OFFSET(data!$A$1, ROW()-1, AA$1-1))</f>
        <v>peak</v>
      </c>
      <c r="AB112">
        <f t="shared" ca="1" si="13"/>
        <v>2020</v>
      </c>
      <c r="AC112">
        <f t="shared" ca="1" si="14"/>
        <v>10</v>
      </c>
      <c r="AD112" t="str">
        <f t="shared" ca="1" si="15"/>
        <v>10/22/2020</v>
      </c>
      <c r="AE112" t="str">
        <f t="shared" ca="1" si="16"/>
        <v/>
      </c>
      <c r="AF112" s="6">
        <f t="shared" ca="1" si="17"/>
        <v>0.16691962553905001</v>
      </c>
      <c r="AG112">
        <f t="shared" ca="1" si="18"/>
        <v>661.10858908784905</v>
      </c>
      <c r="AH112">
        <f t="shared" ca="1" si="19"/>
        <v>0</v>
      </c>
      <c r="AI112">
        <f t="shared" ca="1" si="20"/>
        <v>0</v>
      </c>
      <c r="AJ112">
        <f t="shared" ca="1" si="21"/>
        <v>0</v>
      </c>
      <c r="AK112">
        <f t="shared" ca="1" si="22"/>
        <v>57.599999999999902</v>
      </c>
      <c r="AL112">
        <f t="shared" ca="1" si="23"/>
        <v>0.39185449885518903</v>
      </c>
    </row>
    <row r="113" spans="1:38" hidden="1">
      <c r="A113" t="str">
        <f ca="1">IF(ISNA(A$1), 0, OFFSET(data!$A$1, ROW()-1, A$1-1))</f>
        <v>Oahu</v>
      </c>
      <c r="B113">
        <f ca="1">IF(ISNA(B$1), 0, OFFSET(data!$A$1, ROW()-1, B$1-1))</f>
        <v>2020</v>
      </c>
      <c r="C113" t="str">
        <f ca="1">IF(ISNA(C$1), 0, OFFSET(data!$A$1, ROW()-1, C$1-1))</f>
        <v>2020-10-22-04:00</v>
      </c>
      <c r="D113">
        <f ca="1">IF(ISNA(D$1), 0, OFFSET(data!$A$1, ROW()-1, D$1-1))</f>
        <v>175.98873458899399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248.928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0.46665396764474198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661.18338855663796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571.662051776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89.521336780639004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166.91962553905</v>
      </c>
      <c r="AA113" t="str">
        <f ca="1">IF(ISNA(AA$1), #N/A, OFFSET(data!$A$1, ROW()-1, AA$1-1))</f>
        <v>peak</v>
      </c>
      <c r="AB113">
        <f t="shared" ca="1" si="13"/>
        <v>2020</v>
      </c>
      <c r="AC113">
        <f t="shared" ca="1" si="14"/>
        <v>10</v>
      </c>
      <c r="AD113" t="str">
        <f t="shared" ca="1" si="15"/>
        <v>10/22/2020</v>
      </c>
      <c r="AE113" t="str">
        <f t="shared" ca="1" si="16"/>
        <v/>
      </c>
      <c r="AF113" s="6">
        <f t="shared" ca="1" si="17"/>
        <v>0.16691962553905001</v>
      </c>
      <c r="AG113">
        <f t="shared" ca="1" si="18"/>
        <v>661.18338855663899</v>
      </c>
      <c r="AH113">
        <f t="shared" ca="1" si="19"/>
        <v>0</v>
      </c>
      <c r="AI113">
        <f t="shared" ca="1" si="20"/>
        <v>0</v>
      </c>
      <c r="AJ113">
        <f t="shared" ca="1" si="21"/>
        <v>0</v>
      </c>
      <c r="AK113">
        <f t="shared" ca="1" si="22"/>
        <v>57.599999999999902</v>
      </c>
      <c r="AL113">
        <f t="shared" ca="1" si="23"/>
        <v>0.46665396764474198</v>
      </c>
    </row>
    <row r="114" spans="1:38" hidden="1">
      <c r="A114" t="str">
        <f ca="1">IF(ISNA(A$1), 0, OFFSET(data!$A$1, ROW()-1, A$1-1))</f>
        <v>Oahu</v>
      </c>
      <c r="B114">
        <f ca="1">IF(ISNA(B$1), 0, OFFSET(data!$A$1, ROW()-1, B$1-1))</f>
        <v>2020</v>
      </c>
      <c r="C114" t="str">
        <f ca="1">IF(ISNA(C$1), 0, OFFSET(data!$A$1, ROW()-1, C$1-1))</f>
        <v>2020-10-22-06:00</v>
      </c>
      <c r="D114">
        <f ca="1">IF(ISNA(D$1), 0, OFFSET(data!$A$1, ROW()-1, D$1-1))</f>
        <v>175.98873458899399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248.928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0.319496280400491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661.05227058466903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860.30351110100003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-199.25124051633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166.91962553905</v>
      </c>
      <c r="AA114" t="str">
        <f ca="1">IF(ISNA(AA$1), #N/A, OFFSET(data!$A$1, ROW()-1, AA$1-1))</f>
        <v>peak</v>
      </c>
      <c r="AB114">
        <f t="shared" ca="1" si="13"/>
        <v>2020</v>
      </c>
      <c r="AC114">
        <f t="shared" ca="1" si="14"/>
        <v>10</v>
      </c>
      <c r="AD114" t="str">
        <f t="shared" ca="1" si="15"/>
        <v>10/22/2020</v>
      </c>
      <c r="AE114" t="str">
        <f t="shared" ca="1" si="16"/>
        <v/>
      </c>
      <c r="AF114" s="6">
        <f t="shared" ca="1" si="17"/>
        <v>0.16691962553905001</v>
      </c>
      <c r="AG114">
        <f t="shared" ca="1" si="18"/>
        <v>661.05227058467005</v>
      </c>
      <c r="AH114">
        <f t="shared" ca="1" si="19"/>
        <v>0</v>
      </c>
      <c r="AI114">
        <f t="shared" ca="1" si="20"/>
        <v>0</v>
      </c>
      <c r="AJ114">
        <f t="shared" ca="1" si="21"/>
        <v>1.6039715274296401E-2</v>
      </c>
      <c r="AK114">
        <f t="shared" ca="1" si="22"/>
        <v>57.599999999999902</v>
      </c>
      <c r="AL114">
        <f t="shared" ca="1" si="23"/>
        <v>0.319496280400491</v>
      </c>
    </row>
    <row r="115" spans="1:38" hidden="1">
      <c r="A115" t="str">
        <f ca="1">IF(ISNA(A$1), 0, OFFSET(data!$A$1, ROW()-1, A$1-1))</f>
        <v>Oahu</v>
      </c>
      <c r="B115">
        <f ca="1">IF(ISNA(B$1), 0, OFFSET(data!$A$1, ROW()-1, B$1-1))</f>
        <v>2020</v>
      </c>
      <c r="C115" t="str">
        <f ca="1">IF(ISNA(C$1), 0, OFFSET(data!$A$1, ROW()-1, C$1-1))</f>
        <v>2020-10-22-08:00</v>
      </c>
      <c r="D115">
        <f ca="1">IF(ISNA(D$1), 0, OFFSET(data!$A$1, ROW()-1, D$1-1))</f>
        <v>175.98873458899399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248.928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508.787247284297</v>
      </c>
      <c r="L115">
        <f ca="1">IF(ISNA(L$1), 0, OFFSET(data!$A$1, ROW()-1, L$1-1))</f>
        <v>57.599999999999902</v>
      </c>
      <c r="M115">
        <f ca="1">IF(ISNA(M$1), 0, OFFSET(data!$A$1, ROW()-1, M$1-1))</f>
        <v>0.54856468374762501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1170.0525465570299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1057.3895316999999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112.663014857039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166.91962553905</v>
      </c>
      <c r="AA115" t="str">
        <f ca="1">IF(ISNA(AA$1), #N/A, OFFSET(data!$A$1, ROW()-1, AA$1-1))</f>
        <v>peak</v>
      </c>
      <c r="AB115">
        <f t="shared" ca="1" si="13"/>
        <v>2020</v>
      </c>
      <c r="AC115">
        <f t="shared" ca="1" si="14"/>
        <v>10</v>
      </c>
      <c r="AD115" t="str">
        <f t="shared" ca="1" si="15"/>
        <v>10/22/2020</v>
      </c>
      <c r="AE115" t="str">
        <f t="shared" ca="1" si="16"/>
        <v/>
      </c>
      <c r="AF115" s="6">
        <f t="shared" ca="1" si="17"/>
        <v>0.16691962553905001</v>
      </c>
      <c r="AG115">
        <f t="shared" ca="1" si="18"/>
        <v>1170.052546557039</v>
      </c>
      <c r="AH115">
        <f t="shared" ca="1" si="19"/>
        <v>0</v>
      </c>
      <c r="AI115">
        <f t="shared" ca="1" si="20"/>
        <v>0</v>
      </c>
      <c r="AJ115">
        <f t="shared" ca="1" si="21"/>
        <v>508.787247284297</v>
      </c>
      <c r="AK115">
        <f t="shared" ca="1" si="22"/>
        <v>57.599999999999902</v>
      </c>
      <c r="AL115">
        <f t="shared" ca="1" si="23"/>
        <v>0.54856468374762501</v>
      </c>
    </row>
    <row r="116" spans="1:38" hidden="1">
      <c r="A116" t="str">
        <f ca="1">IF(ISNA(A$1), 0, OFFSET(data!$A$1, ROW()-1, A$1-1))</f>
        <v>Oahu</v>
      </c>
      <c r="B116">
        <f ca="1">IF(ISNA(B$1), 0, OFFSET(data!$A$1, ROW()-1, B$1-1))</f>
        <v>2020</v>
      </c>
      <c r="C116" t="str">
        <f ca="1">IF(ISNA(C$1), 0, OFFSET(data!$A$1, ROW()-1, C$1-1))</f>
        <v>2020-10-22-10:00</v>
      </c>
      <c r="D116">
        <f ca="1">IF(ISNA(D$1), 0, OFFSET(data!$A$1, ROW()-1, D$1-1))</f>
        <v>175.98873458899399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326.69563092274501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643.11051842518395</v>
      </c>
      <c r="L116">
        <f ca="1">IF(ISNA(L$1), 0, OFFSET(data!$A$1, ROW()-1, L$1-1))</f>
        <v>57.599999999999902</v>
      </c>
      <c r="M116">
        <f ca="1">IF(ISNA(M$1), 0, OFFSET(data!$A$1, ROW()-1, M$1-1))</f>
        <v>2.5971774246625801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1384.19206136158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1151.0352918999999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233.156769461587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166.91962553905</v>
      </c>
      <c r="AA116" t="str">
        <f ca="1">IF(ISNA(AA$1), #N/A, OFFSET(data!$A$1, ROW()-1, AA$1-1))</f>
        <v>peak</v>
      </c>
      <c r="AB116">
        <f t="shared" ca="1" si="13"/>
        <v>2020</v>
      </c>
      <c r="AC116">
        <f t="shared" ca="1" si="14"/>
        <v>10</v>
      </c>
      <c r="AD116" t="str">
        <f t="shared" ca="1" si="15"/>
        <v>10/22/2020</v>
      </c>
      <c r="AE116" t="str">
        <f t="shared" ca="1" si="16"/>
        <v/>
      </c>
      <c r="AF116" s="6">
        <f t="shared" ca="1" si="17"/>
        <v>0.16691962553905001</v>
      </c>
      <c r="AG116">
        <f t="shared" ca="1" si="18"/>
        <v>1384.1920613615869</v>
      </c>
      <c r="AH116">
        <f t="shared" ca="1" si="19"/>
        <v>0</v>
      </c>
      <c r="AI116">
        <f t="shared" ca="1" si="20"/>
        <v>0</v>
      </c>
      <c r="AJ116">
        <f t="shared" ca="1" si="21"/>
        <v>643.11051842518395</v>
      </c>
      <c r="AK116">
        <f t="shared" ca="1" si="22"/>
        <v>57.599999999999902</v>
      </c>
      <c r="AL116">
        <f t="shared" ca="1" si="23"/>
        <v>2.5971774246625801</v>
      </c>
    </row>
    <row r="117" spans="1:38" hidden="1">
      <c r="A117" t="str">
        <f ca="1">IF(ISNA(A$1), 0, OFFSET(data!$A$1, ROW()-1, A$1-1))</f>
        <v>Oahu</v>
      </c>
      <c r="B117">
        <f ca="1">IF(ISNA(B$1), 0, OFFSET(data!$A$1, ROW()-1, B$1-1))</f>
        <v>2020</v>
      </c>
      <c r="C117" t="str">
        <f ca="1">IF(ISNA(C$1), 0, OFFSET(data!$A$1, ROW()-1, C$1-1))</f>
        <v>2020-10-22-12:00</v>
      </c>
      <c r="D117">
        <f ca="1">IF(ISNA(D$1), 0, OFFSET(data!$A$1, ROW()-1, D$1-1))</f>
        <v>175.98873458899399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323.71199999999999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496.90456669420598</v>
      </c>
      <c r="L117">
        <f ca="1">IF(ISNA(L$1), 0, OFFSET(data!$A$1, ROW()-1, L$1-1))</f>
        <v>57.599999999999902</v>
      </c>
      <c r="M117">
        <f ca="1">IF(ISNA(M$1), 0, OFFSET(data!$A$1, ROW()-1, M$1-1))</f>
        <v>8.8725504644899704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1241.27785174769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1190.89696015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50.380891597691097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166.91962553905</v>
      </c>
      <c r="AA117" t="str">
        <f ca="1">IF(ISNA(AA$1), #N/A, OFFSET(data!$A$1, ROW()-1, AA$1-1))</f>
        <v>peak</v>
      </c>
      <c r="AB117">
        <f t="shared" ca="1" si="13"/>
        <v>2020</v>
      </c>
      <c r="AC117">
        <f t="shared" ca="1" si="14"/>
        <v>10</v>
      </c>
      <c r="AD117" t="str">
        <f t="shared" ca="1" si="15"/>
        <v>10/22/2020</v>
      </c>
      <c r="AE117" t="str">
        <f t="shared" ca="1" si="16"/>
        <v>10/22/2020</v>
      </c>
      <c r="AF117" s="6">
        <f t="shared" ca="1" si="17"/>
        <v>0.16691962553905001</v>
      </c>
      <c r="AG117">
        <f t="shared" ca="1" si="18"/>
        <v>1241.2778517476911</v>
      </c>
      <c r="AH117">
        <f t="shared" ca="1" si="19"/>
        <v>0</v>
      </c>
      <c r="AI117">
        <f t="shared" ca="1" si="20"/>
        <v>0</v>
      </c>
      <c r="AJ117">
        <f t="shared" ca="1" si="21"/>
        <v>496.90456669420598</v>
      </c>
      <c r="AK117">
        <f t="shared" ca="1" si="22"/>
        <v>57.599999999999902</v>
      </c>
      <c r="AL117">
        <f t="shared" ca="1" si="23"/>
        <v>8.8725504644899704</v>
      </c>
    </row>
    <row r="118" spans="1:38" hidden="1">
      <c r="A118" t="str">
        <f ca="1">IF(ISNA(A$1), 0, OFFSET(data!$A$1, ROW()-1, A$1-1))</f>
        <v>Oahu</v>
      </c>
      <c r="B118">
        <f ca="1">IF(ISNA(B$1), 0, OFFSET(data!$A$1, ROW()-1, B$1-1))</f>
        <v>2020</v>
      </c>
      <c r="C118" t="str">
        <f ca="1">IF(ISNA(C$1), 0, OFFSET(data!$A$1, ROW()-1, C$1-1))</f>
        <v>2020-10-22-14:00</v>
      </c>
      <c r="D118">
        <f ca="1">IF(ISNA(D$1), 0, OFFSET(data!$A$1, ROW()-1, D$1-1))</f>
        <v>175.98873458899399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248.928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473.68692334393199</v>
      </c>
      <c r="L118">
        <f ca="1">IF(ISNA(L$1), 0, OFFSET(data!$A$1, ROW()-1, L$1-1))</f>
        <v>57.599999999999902</v>
      </c>
      <c r="M118">
        <f ca="1">IF(ISNA(M$1), 0, OFFSET(data!$A$1, ROW()-1, M$1-1))</f>
        <v>8.2273099595262007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1142.6309678924499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1193.5131920700001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-50.882224177547101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166.91962553905</v>
      </c>
      <c r="AA118" t="str">
        <f ca="1">IF(ISNA(AA$1), #N/A, OFFSET(data!$A$1, ROW()-1, AA$1-1))</f>
        <v>peak</v>
      </c>
      <c r="AB118">
        <f t="shared" ca="1" si="13"/>
        <v>2020</v>
      </c>
      <c r="AC118">
        <f t="shared" ca="1" si="14"/>
        <v>10</v>
      </c>
      <c r="AD118" t="str">
        <f t="shared" ca="1" si="15"/>
        <v>10/22/2020</v>
      </c>
      <c r="AE118" t="str">
        <f t="shared" ca="1" si="16"/>
        <v/>
      </c>
      <c r="AF118" s="6">
        <f t="shared" ca="1" si="17"/>
        <v>0.16691962553905001</v>
      </c>
      <c r="AG118">
        <f t="shared" ca="1" si="18"/>
        <v>1142.6309678924529</v>
      </c>
      <c r="AH118">
        <f t="shared" ca="1" si="19"/>
        <v>0</v>
      </c>
      <c r="AI118">
        <f t="shared" ca="1" si="20"/>
        <v>0</v>
      </c>
      <c r="AJ118">
        <f t="shared" ca="1" si="21"/>
        <v>473.68692334393199</v>
      </c>
      <c r="AK118">
        <f t="shared" ca="1" si="22"/>
        <v>57.599999999999902</v>
      </c>
      <c r="AL118">
        <f t="shared" ca="1" si="23"/>
        <v>8.2273099595262007</v>
      </c>
    </row>
    <row r="119" spans="1:38" hidden="1">
      <c r="A119" t="str">
        <f ca="1">IF(ISNA(A$1), 0, OFFSET(data!$A$1, ROW()-1, A$1-1))</f>
        <v>Oahu</v>
      </c>
      <c r="B119">
        <f ca="1">IF(ISNA(B$1), 0, OFFSET(data!$A$1, ROW()-1, B$1-1))</f>
        <v>2020</v>
      </c>
      <c r="C119" t="str">
        <f ca="1">IF(ISNA(C$1), 0, OFFSET(data!$A$1, ROW()-1, C$1-1))</f>
        <v>2020-10-22-16:00</v>
      </c>
      <c r="D119">
        <f ca="1">IF(ISNA(D$1), 0, OFFSET(data!$A$1, ROW()-1, D$1-1))</f>
        <v>175.98873458899399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248.928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577.00695391598299</v>
      </c>
      <c r="L119">
        <f ca="1">IF(ISNA(L$1), 0, OFFSET(data!$A$1, ROW()-1, L$1-1))</f>
        <v>57.599999999999902</v>
      </c>
      <c r="M119">
        <f ca="1">IF(ISNA(M$1), 0, OFFSET(data!$A$1, ROW()-1, M$1-1))</f>
        <v>10.192369519217101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1247.9160580241901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1157.3853756000001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90.530682424195206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166.91962553905</v>
      </c>
      <c r="AA119" t="str">
        <f ca="1">IF(ISNA(AA$1), #N/A, OFFSET(data!$A$1, ROW()-1, AA$1-1))</f>
        <v>peak</v>
      </c>
      <c r="AB119">
        <f t="shared" ca="1" si="13"/>
        <v>2020</v>
      </c>
      <c r="AC119">
        <f t="shared" ca="1" si="14"/>
        <v>10</v>
      </c>
      <c r="AD119" t="str">
        <f t="shared" ca="1" si="15"/>
        <v>10/22/2020</v>
      </c>
      <c r="AE119" t="str">
        <f t="shared" ca="1" si="16"/>
        <v/>
      </c>
      <c r="AF119" s="6">
        <f t="shared" ca="1" si="17"/>
        <v>0.16691962553905001</v>
      </c>
      <c r="AG119">
        <f t="shared" ca="1" si="18"/>
        <v>1247.9160580241953</v>
      </c>
      <c r="AH119">
        <f t="shared" ca="1" si="19"/>
        <v>0</v>
      </c>
      <c r="AI119">
        <f t="shared" ca="1" si="20"/>
        <v>0</v>
      </c>
      <c r="AJ119">
        <f t="shared" ca="1" si="21"/>
        <v>577.00695391598299</v>
      </c>
      <c r="AK119">
        <f t="shared" ca="1" si="22"/>
        <v>57.599999999999902</v>
      </c>
      <c r="AL119">
        <f t="shared" ca="1" si="23"/>
        <v>10.192369519217101</v>
      </c>
    </row>
    <row r="120" spans="1:38" hidden="1">
      <c r="A120" t="str">
        <f ca="1">IF(ISNA(A$1), 0, OFFSET(data!$A$1, ROW()-1, A$1-1))</f>
        <v>Oahu</v>
      </c>
      <c r="B120">
        <f ca="1">IF(ISNA(B$1), 0, OFFSET(data!$A$1, ROW()-1, B$1-1))</f>
        <v>2020</v>
      </c>
      <c r="C120" t="str">
        <f ca="1">IF(ISNA(C$1), 0, OFFSET(data!$A$1, ROW()-1, C$1-1))</f>
        <v>2020-10-22-18:00</v>
      </c>
      <c r="D120">
        <f ca="1">IF(ISNA(D$1), 0, OFFSET(data!$A$1, ROW()-1, D$1-1))</f>
        <v>175.98873458899399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411.69749216774397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5.6029958206450301</v>
      </c>
      <c r="L120">
        <f ca="1">IF(ISNA(L$1), 0, OFFSET(data!$A$1, ROW()-1, L$1-1))</f>
        <v>57.599999999999902</v>
      </c>
      <c r="M120">
        <f ca="1">IF(ISNA(M$1), 0, OFFSET(data!$A$1, ROW()-1, M$1-1))</f>
        <v>26.1009133696157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855.19013594699902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1221.7001942100001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-366.51005826300002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166.91962553905</v>
      </c>
      <c r="AA120" t="str">
        <f ca="1">IF(ISNA(AA$1), #N/A, OFFSET(data!$A$1, ROW()-1, AA$1-1))</f>
        <v>peak</v>
      </c>
      <c r="AB120">
        <f t="shared" ca="1" si="13"/>
        <v>2020</v>
      </c>
      <c r="AC120">
        <f t="shared" ca="1" si="14"/>
        <v>10</v>
      </c>
      <c r="AD120" t="str">
        <f t="shared" ca="1" si="15"/>
        <v>10/22/2020</v>
      </c>
      <c r="AE120" t="str">
        <f t="shared" ca="1" si="16"/>
        <v/>
      </c>
      <c r="AF120" s="6">
        <f t="shared" ca="1" si="17"/>
        <v>0.16691962553905001</v>
      </c>
      <c r="AG120">
        <f t="shared" ca="1" si="18"/>
        <v>855.19013594700004</v>
      </c>
      <c r="AH120">
        <f t="shared" ca="1" si="19"/>
        <v>0</v>
      </c>
      <c r="AI120">
        <f t="shared" ca="1" si="20"/>
        <v>0</v>
      </c>
      <c r="AJ120">
        <f t="shared" ca="1" si="21"/>
        <v>5.6029958206450301</v>
      </c>
      <c r="AK120">
        <f t="shared" ca="1" si="22"/>
        <v>57.599999999999902</v>
      </c>
      <c r="AL120">
        <f t="shared" ca="1" si="23"/>
        <v>26.1009133696157</v>
      </c>
    </row>
    <row r="121" spans="1:38" hidden="1">
      <c r="A121" t="str">
        <f ca="1">IF(ISNA(A$1), 0, OFFSET(data!$A$1, ROW()-1, A$1-1))</f>
        <v>Oahu</v>
      </c>
      <c r="B121">
        <f ca="1">IF(ISNA(B$1), 0, OFFSET(data!$A$1, ROW()-1, B$1-1))</f>
        <v>2020</v>
      </c>
      <c r="C121" t="str">
        <f ca="1">IF(ISNA(C$1), 0, OFFSET(data!$A$1, ROW()-1, C$1-1))</f>
        <v>2020-10-22-20:00</v>
      </c>
      <c r="D121">
        <f ca="1">IF(ISNA(D$1), 0, OFFSET(data!$A$1, ROW()-1, D$1-1))</f>
        <v>175.98873458899399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280.55649832911803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41.367005851886901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733.71223876999898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1048.1603411000001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-314.44810232999998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166.91962553905</v>
      </c>
      <c r="AA121" t="str">
        <f ca="1">IF(ISNA(AA$1), #N/A, OFFSET(data!$A$1, ROW()-1, AA$1-1))</f>
        <v>peak</v>
      </c>
      <c r="AB121">
        <f t="shared" ca="1" si="13"/>
        <v>2020</v>
      </c>
      <c r="AC121">
        <f t="shared" ca="1" si="14"/>
        <v>10</v>
      </c>
      <c r="AD121" t="str">
        <f t="shared" ca="1" si="15"/>
        <v>10/22/2020</v>
      </c>
      <c r="AE121" t="str">
        <f t="shared" ca="1" si="16"/>
        <v/>
      </c>
      <c r="AF121" s="6">
        <f t="shared" ca="1" si="17"/>
        <v>0.16691962553905001</v>
      </c>
      <c r="AG121">
        <f t="shared" ca="1" si="18"/>
        <v>733.71223877000011</v>
      </c>
      <c r="AH121">
        <f t="shared" ca="1" si="19"/>
        <v>0</v>
      </c>
      <c r="AI121">
        <f t="shared" ca="1" si="20"/>
        <v>0</v>
      </c>
      <c r="AJ121">
        <f t="shared" ca="1" si="21"/>
        <v>0</v>
      </c>
      <c r="AK121">
        <f t="shared" ca="1" si="22"/>
        <v>57.599999999999902</v>
      </c>
      <c r="AL121">
        <f t="shared" ca="1" si="23"/>
        <v>41.367005851886901</v>
      </c>
    </row>
    <row r="122" spans="1:38" hidden="1">
      <c r="A122" t="str">
        <f ca="1">IF(ISNA(A$1), 0, OFFSET(data!$A$1, ROW()-1, A$1-1))</f>
        <v>Oahu</v>
      </c>
      <c r="B122">
        <f ca="1">IF(ISNA(B$1), 0, OFFSET(data!$A$1, ROW()-1, B$1-1))</f>
        <v>2020</v>
      </c>
      <c r="C122" t="str">
        <f ca="1">IF(ISNA(C$1), 0, OFFSET(data!$A$1, ROW()-1, C$1-1))</f>
        <v>2020-10-22-22:00</v>
      </c>
      <c r="D122">
        <f ca="1">IF(ISNA(D$1), 0, OFFSET(data!$A$1, ROW()-1, D$1-1))</f>
        <v>175.98873458899399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248.928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39.7133743084012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700.43010889739503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764.98806147899995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-64.557952581604496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166.91962553905</v>
      </c>
      <c r="AA122" t="str">
        <f ca="1">IF(ISNA(AA$1), #N/A, OFFSET(data!$A$1, ROW()-1, AA$1-1))</f>
        <v>peak</v>
      </c>
      <c r="AB122">
        <f t="shared" ca="1" si="13"/>
        <v>2020</v>
      </c>
      <c r="AC122">
        <f t="shared" ca="1" si="14"/>
        <v>10</v>
      </c>
      <c r="AD122" t="str">
        <f t="shared" ca="1" si="15"/>
        <v>10/22/2020</v>
      </c>
      <c r="AE122" t="str">
        <f t="shared" ca="1" si="16"/>
        <v/>
      </c>
      <c r="AF122" s="6">
        <f t="shared" ca="1" si="17"/>
        <v>0.16691962553905001</v>
      </c>
      <c r="AG122">
        <f t="shared" ca="1" si="18"/>
        <v>700.43010889739548</v>
      </c>
      <c r="AH122">
        <f t="shared" ca="1" si="19"/>
        <v>0</v>
      </c>
      <c r="AI122">
        <f t="shared" ca="1" si="20"/>
        <v>0</v>
      </c>
      <c r="AJ122">
        <f t="shared" ca="1" si="21"/>
        <v>0</v>
      </c>
      <c r="AK122">
        <f t="shared" ca="1" si="22"/>
        <v>57.599999999999902</v>
      </c>
      <c r="AL122">
        <f t="shared" ca="1" si="23"/>
        <v>39.7133743084012</v>
      </c>
    </row>
    <row r="123" spans="1:38" hidden="1">
      <c r="A123" t="str">
        <f ca="1">IF(ISNA(A$1), 0, OFFSET(data!$A$1, ROW()-1, A$1-1))</f>
        <v>Oahu</v>
      </c>
      <c r="B123">
        <f ca="1">IF(ISNA(B$1), 0, OFFSET(data!$A$1, ROW()-1, B$1-1))</f>
        <v>2020</v>
      </c>
      <c r="C123" t="str">
        <f ca="1">IF(ISNA(C$1), 0, OFFSET(data!$A$1, ROW()-1, C$1-1))</f>
        <v>2020-12-02-00:00</v>
      </c>
      <c r="D123">
        <f ca="1">IF(ISNA(D$1), 0, OFFSET(data!$A$1, ROW()-1, D$1-1))</f>
        <v>175.98873458899399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199.2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126.31707841409801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737.305813003092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616.37479046399994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120.931022539092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164.09091933344499</v>
      </c>
      <c r="AA123" t="str">
        <f ca="1">IF(ISNA(AA$1), #N/A, OFFSET(data!$A$1, ROW()-1, AA$1-1))</f>
        <v>typical</v>
      </c>
      <c r="AB123">
        <f t="shared" ca="1" si="13"/>
        <v>2020</v>
      </c>
      <c r="AC123">
        <f t="shared" ca="1" si="14"/>
        <v>12</v>
      </c>
      <c r="AD123" t="str">
        <f t="shared" ca="1" si="15"/>
        <v>12/02/2020</v>
      </c>
      <c r="AE123" t="str">
        <f t="shared" ca="1" si="16"/>
        <v/>
      </c>
      <c r="AF123" s="6">
        <f t="shared" ca="1" si="17"/>
        <v>0.164090919333445</v>
      </c>
      <c r="AG123">
        <f t="shared" ca="1" si="18"/>
        <v>737.305813003092</v>
      </c>
      <c r="AH123">
        <f t="shared" ca="1" si="19"/>
        <v>0</v>
      </c>
      <c r="AI123">
        <f t="shared" ca="1" si="20"/>
        <v>0</v>
      </c>
      <c r="AJ123">
        <f t="shared" ca="1" si="21"/>
        <v>0</v>
      </c>
      <c r="AK123">
        <f t="shared" ca="1" si="22"/>
        <v>57.599999999999902</v>
      </c>
      <c r="AL123">
        <f t="shared" ca="1" si="23"/>
        <v>126.31707841409801</v>
      </c>
    </row>
    <row r="124" spans="1:38" hidden="1">
      <c r="A124" t="str">
        <f ca="1">IF(ISNA(A$1), 0, OFFSET(data!$A$1, ROW()-1, A$1-1))</f>
        <v>Oahu</v>
      </c>
      <c r="B124">
        <f ca="1">IF(ISNA(B$1), 0, OFFSET(data!$A$1, ROW()-1, B$1-1))</f>
        <v>2020</v>
      </c>
      <c r="C124" t="str">
        <f ca="1">IF(ISNA(C$1), 0, OFFSET(data!$A$1, ROW()-1, C$1-1))</f>
        <v>2020-12-02-02:00</v>
      </c>
      <c r="D124">
        <f ca="1">IF(ISNA(D$1), 0, OFFSET(data!$A$1, ROW()-1, D$1-1))</f>
        <v>175.98873458899399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49.823999999999998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139.18969720339501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600.80243179238903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517.99615727000003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82.806274522389899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164.09091933344499</v>
      </c>
      <c r="AA124" t="str">
        <f ca="1">IF(ISNA(AA$1), #N/A, OFFSET(data!$A$1, ROW()-1, AA$1-1))</f>
        <v>typical</v>
      </c>
      <c r="AB124">
        <f t="shared" ca="1" si="13"/>
        <v>2020</v>
      </c>
      <c r="AC124">
        <f t="shared" ca="1" si="14"/>
        <v>12</v>
      </c>
      <c r="AD124" t="str">
        <f t="shared" ca="1" si="15"/>
        <v>12/02/2020</v>
      </c>
      <c r="AE124" t="str">
        <f t="shared" ca="1" si="16"/>
        <v/>
      </c>
      <c r="AF124" s="6">
        <f t="shared" ca="1" si="17"/>
        <v>0.164090919333445</v>
      </c>
      <c r="AG124">
        <f t="shared" ca="1" si="18"/>
        <v>600.80243179238994</v>
      </c>
      <c r="AH124">
        <f t="shared" ca="1" si="19"/>
        <v>0</v>
      </c>
      <c r="AI124">
        <f t="shared" ca="1" si="20"/>
        <v>0</v>
      </c>
      <c r="AJ124">
        <f t="shared" ca="1" si="21"/>
        <v>0</v>
      </c>
      <c r="AK124">
        <f t="shared" ca="1" si="22"/>
        <v>57.599999999999902</v>
      </c>
      <c r="AL124">
        <f t="shared" ca="1" si="23"/>
        <v>139.18969720339501</v>
      </c>
    </row>
    <row r="125" spans="1:38" hidden="1">
      <c r="A125" t="str">
        <f ca="1">IF(ISNA(A$1), 0, OFFSET(data!$A$1, ROW()-1, A$1-1))</f>
        <v>Oahu</v>
      </c>
      <c r="B125">
        <f ca="1">IF(ISNA(B$1), 0, OFFSET(data!$A$1, ROW()-1, B$1-1))</f>
        <v>2020</v>
      </c>
      <c r="C125" t="str">
        <f ca="1">IF(ISNA(C$1), 0, OFFSET(data!$A$1, ROW()-1, C$1-1))</f>
        <v>2020-12-02-04:00</v>
      </c>
      <c r="D125">
        <f ca="1">IF(ISNA(D$1), 0, OFFSET(data!$A$1, ROW()-1, D$1-1))</f>
        <v>175.98873458899399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99.551999999999893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110.982969265322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622.32370385431602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530.22281269099994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92.100891163317101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164.09091933344499</v>
      </c>
      <c r="AA125" t="str">
        <f ca="1">IF(ISNA(AA$1), #N/A, OFFSET(data!$A$1, ROW()-1, AA$1-1))</f>
        <v>typical</v>
      </c>
      <c r="AB125">
        <f t="shared" ca="1" si="13"/>
        <v>2020</v>
      </c>
      <c r="AC125">
        <f t="shared" ca="1" si="14"/>
        <v>12</v>
      </c>
      <c r="AD125" t="str">
        <f t="shared" ca="1" si="15"/>
        <v>12/02/2020</v>
      </c>
      <c r="AE125" t="str">
        <f t="shared" ca="1" si="16"/>
        <v/>
      </c>
      <c r="AF125" s="6">
        <f t="shared" ca="1" si="17"/>
        <v>0.164090919333445</v>
      </c>
      <c r="AG125">
        <f t="shared" ca="1" si="18"/>
        <v>622.32370385431705</v>
      </c>
      <c r="AH125">
        <f t="shared" ca="1" si="19"/>
        <v>0</v>
      </c>
      <c r="AI125">
        <f t="shared" ca="1" si="20"/>
        <v>0</v>
      </c>
      <c r="AJ125">
        <f t="shared" ca="1" si="21"/>
        <v>0</v>
      </c>
      <c r="AK125">
        <f t="shared" ca="1" si="22"/>
        <v>57.599999999999902</v>
      </c>
      <c r="AL125">
        <f t="shared" ca="1" si="23"/>
        <v>110.982969265322</v>
      </c>
    </row>
    <row r="126" spans="1:38" hidden="1">
      <c r="A126" t="str">
        <f ca="1">IF(ISNA(A$1), 0, OFFSET(data!$A$1, ROW()-1, A$1-1))</f>
        <v>Oahu</v>
      </c>
      <c r="B126">
        <f ca="1">IF(ISNA(B$1), 0, OFFSET(data!$A$1, ROW()-1, B$1-1))</f>
        <v>2020</v>
      </c>
      <c r="C126" t="str">
        <f ca="1">IF(ISNA(C$1), 0, OFFSET(data!$A$1, ROW()-1, C$1-1))</f>
        <v>2020-12-02-06:00</v>
      </c>
      <c r="D126">
        <f ca="1">IF(ISNA(D$1), 0, OFFSET(data!$A$1, ROW()-1, D$1-1))</f>
        <v>175.98873458899399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248.928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137.55163098809001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798.26836557708498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645.36389830200005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152.90446727508501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164.09091933344499</v>
      </c>
      <c r="AA126" t="str">
        <f ca="1">IF(ISNA(AA$1), #N/A, OFFSET(data!$A$1, ROW()-1, AA$1-1))</f>
        <v>typical</v>
      </c>
      <c r="AB126">
        <f t="shared" ca="1" si="13"/>
        <v>2020</v>
      </c>
      <c r="AC126">
        <f t="shared" ca="1" si="14"/>
        <v>12</v>
      </c>
      <c r="AD126" t="str">
        <f t="shared" ca="1" si="15"/>
        <v>12/02/2020</v>
      </c>
      <c r="AE126" t="str">
        <f t="shared" ca="1" si="16"/>
        <v/>
      </c>
      <c r="AF126" s="6">
        <f t="shared" ca="1" si="17"/>
        <v>0.164090919333445</v>
      </c>
      <c r="AG126">
        <f t="shared" ca="1" si="18"/>
        <v>798.26836557708509</v>
      </c>
      <c r="AH126">
        <f t="shared" ca="1" si="19"/>
        <v>0</v>
      </c>
      <c r="AI126">
        <f t="shared" ca="1" si="20"/>
        <v>0</v>
      </c>
      <c r="AJ126">
        <f t="shared" ca="1" si="21"/>
        <v>0</v>
      </c>
      <c r="AK126">
        <f t="shared" ca="1" si="22"/>
        <v>57.599999999999902</v>
      </c>
      <c r="AL126">
        <f t="shared" ca="1" si="23"/>
        <v>137.55163098809001</v>
      </c>
    </row>
    <row r="127" spans="1:38" hidden="1">
      <c r="A127" t="str">
        <f ca="1">IF(ISNA(A$1), 0, OFFSET(data!$A$1, ROW()-1, A$1-1))</f>
        <v>Oahu</v>
      </c>
      <c r="B127">
        <f ca="1">IF(ISNA(B$1), 0, OFFSET(data!$A$1, ROW()-1, B$1-1))</f>
        <v>2020</v>
      </c>
      <c r="C127" t="str">
        <f ca="1">IF(ISNA(C$1), 0, OFFSET(data!$A$1, ROW()-1, C$1-1))</f>
        <v>2020-12-02-08:00</v>
      </c>
      <c r="D127">
        <f ca="1">IF(ISNA(D$1), 0, OFFSET(data!$A$1, ROW()-1, D$1-1))</f>
        <v>175.98873458899399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199.2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185.373632075042</v>
      </c>
      <c r="L127">
        <f ca="1">IF(ISNA(L$1), 0, OFFSET(data!$A$1, ROW()-1, L$1-1))</f>
        <v>57.599999999999902</v>
      </c>
      <c r="M127">
        <f ca="1">IF(ISNA(M$1), 0, OFFSET(data!$A$1, ROW()-1, M$1-1))</f>
        <v>130.28339644914399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926.64576311318103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867.36342143299998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59.282341680181901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164.09091933344499</v>
      </c>
      <c r="AA127" t="str">
        <f ca="1">IF(ISNA(AA$1), #N/A, OFFSET(data!$A$1, ROW()-1, AA$1-1))</f>
        <v>typical</v>
      </c>
      <c r="AB127">
        <f t="shared" ca="1" si="13"/>
        <v>2020</v>
      </c>
      <c r="AC127">
        <f t="shared" ca="1" si="14"/>
        <v>12</v>
      </c>
      <c r="AD127" t="str">
        <f t="shared" ca="1" si="15"/>
        <v>12/02/2020</v>
      </c>
      <c r="AE127" t="str">
        <f t="shared" ca="1" si="16"/>
        <v/>
      </c>
      <c r="AF127" s="6">
        <f t="shared" ca="1" si="17"/>
        <v>0.164090919333445</v>
      </c>
      <c r="AG127">
        <f t="shared" ca="1" si="18"/>
        <v>926.64576311318183</v>
      </c>
      <c r="AH127">
        <f t="shared" ca="1" si="19"/>
        <v>0</v>
      </c>
      <c r="AI127">
        <f t="shared" ca="1" si="20"/>
        <v>0</v>
      </c>
      <c r="AJ127">
        <f t="shared" ca="1" si="21"/>
        <v>185.373632075042</v>
      </c>
      <c r="AK127">
        <f t="shared" ca="1" si="22"/>
        <v>57.599999999999902</v>
      </c>
      <c r="AL127">
        <f t="shared" ca="1" si="23"/>
        <v>130.28339644914399</v>
      </c>
    </row>
    <row r="128" spans="1:38" hidden="1">
      <c r="A128" t="str">
        <f ca="1">IF(ISNA(A$1), 0, OFFSET(data!$A$1, ROW()-1, A$1-1))</f>
        <v>Oahu</v>
      </c>
      <c r="B128">
        <f ca="1">IF(ISNA(B$1), 0, OFFSET(data!$A$1, ROW()-1, B$1-1))</f>
        <v>2020</v>
      </c>
      <c r="C128" t="str">
        <f ca="1">IF(ISNA(C$1), 0, OFFSET(data!$A$1, ROW()-1, C$1-1))</f>
        <v>2020-12-02-10:00</v>
      </c>
      <c r="D128">
        <f ca="1">IF(ISNA(D$1), 0, OFFSET(data!$A$1, ROW()-1, D$1-1))</f>
        <v>175.98873458899399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64.954809830738199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352.166115743148</v>
      </c>
      <c r="L128">
        <f ca="1">IF(ISNA(L$1), 0, OFFSET(data!$A$1, ROW()-1, L$1-1))</f>
        <v>57.599999999999902</v>
      </c>
      <c r="M128">
        <f ca="1">IF(ISNA(M$1), 0, OFFSET(data!$A$1, ROW()-1, M$1-1))</f>
        <v>136.764199179087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965.67385934196795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961.653450013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4.0204093289687099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164.09091933344499</v>
      </c>
      <c r="AA128" t="str">
        <f ca="1">IF(ISNA(AA$1), #N/A, OFFSET(data!$A$1, ROW()-1, AA$1-1))</f>
        <v>typical</v>
      </c>
      <c r="AB128">
        <f t="shared" ca="1" si="13"/>
        <v>2020</v>
      </c>
      <c r="AC128">
        <f t="shared" ca="1" si="14"/>
        <v>12</v>
      </c>
      <c r="AD128" t="str">
        <f t="shared" ca="1" si="15"/>
        <v>12/02/2020</v>
      </c>
      <c r="AE128" t="str">
        <f t="shared" ca="1" si="16"/>
        <v/>
      </c>
      <c r="AF128" s="6">
        <f t="shared" ca="1" si="17"/>
        <v>0.164090919333445</v>
      </c>
      <c r="AG128">
        <f t="shared" ca="1" si="18"/>
        <v>965.67385934196875</v>
      </c>
      <c r="AH128">
        <f t="shared" ca="1" si="19"/>
        <v>0</v>
      </c>
      <c r="AI128">
        <f t="shared" ca="1" si="20"/>
        <v>0</v>
      </c>
      <c r="AJ128">
        <f t="shared" ca="1" si="21"/>
        <v>352.166115743148</v>
      </c>
      <c r="AK128">
        <f t="shared" ca="1" si="22"/>
        <v>57.599999999999902</v>
      </c>
      <c r="AL128">
        <f t="shared" ca="1" si="23"/>
        <v>136.764199179087</v>
      </c>
    </row>
    <row r="129" spans="1:38" hidden="1">
      <c r="A129" t="str">
        <f ca="1">IF(ISNA(A$1), 0, OFFSET(data!$A$1, ROW()-1, A$1-1))</f>
        <v>Oahu</v>
      </c>
      <c r="B129">
        <f ca="1">IF(ISNA(B$1), 0, OFFSET(data!$A$1, ROW()-1, B$1-1))</f>
        <v>2020</v>
      </c>
      <c r="C129" t="str">
        <f ca="1">IF(ISNA(C$1), 0, OFFSET(data!$A$1, ROW()-1, C$1-1))</f>
        <v>2020-12-02-12:00</v>
      </c>
      <c r="D129">
        <f ca="1">IF(ISNA(D$1), 0, OFFSET(data!$A$1, ROW()-1, D$1-1))</f>
        <v>175.98873458899399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99.551999999999893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437.14734690656002</v>
      </c>
      <c r="L129">
        <f ca="1">IF(ISNA(L$1), 0, OFFSET(data!$A$1, ROW()-1, L$1-1))</f>
        <v>57.599999999999902</v>
      </c>
      <c r="M129">
        <f ca="1">IF(ISNA(M$1), 0, OFFSET(data!$A$1, ROW()-1, M$1-1))</f>
        <v>149.044104088056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1097.53218558361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985.09441936600001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112.43776621761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164.09091933344499</v>
      </c>
      <c r="AA129" t="str">
        <f ca="1">IF(ISNA(AA$1), #N/A, OFFSET(data!$A$1, ROW()-1, AA$1-1))</f>
        <v>typical</v>
      </c>
      <c r="AB129">
        <f t="shared" ca="1" si="13"/>
        <v>2020</v>
      </c>
      <c r="AC129">
        <f t="shared" ca="1" si="14"/>
        <v>12</v>
      </c>
      <c r="AD129" t="str">
        <f t="shared" ca="1" si="15"/>
        <v>12/02/2020</v>
      </c>
      <c r="AE129" t="str">
        <f t="shared" ca="1" si="16"/>
        <v>12/02/2020</v>
      </c>
      <c r="AF129" s="6">
        <f t="shared" ca="1" si="17"/>
        <v>0.164090919333445</v>
      </c>
      <c r="AG129">
        <f t="shared" ca="1" si="18"/>
        <v>1097.53218558361</v>
      </c>
      <c r="AH129">
        <f t="shared" ca="1" si="19"/>
        <v>0</v>
      </c>
      <c r="AI129">
        <f t="shared" ca="1" si="20"/>
        <v>0</v>
      </c>
      <c r="AJ129">
        <f t="shared" ca="1" si="21"/>
        <v>437.14734690656002</v>
      </c>
      <c r="AK129">
        <f t="shared" ca="1" si="22"/>
        <v>57.599999999999902</v>
      </c>
      <c r="AL129">
        <f t="shared" ca="1" si="23"/>
        <v>149.044104088056</v>
      </c>
    </row>
    <row r="130" spans="1:38" hidden="1">
      <c r="A130" t="str">
        <f ca="1">IF(ISNA(A$1), 0, OFFSET(data!$A$1, ROW()-1, A$1-1))</f>
        <v>Oahu</v>
      </c>
      <c r="B130">
        <f ca="1">IF(ISNA(B$1), 0, OFFSET(data!$A$1, ROW()-1, B$1-1))</f>
        <v>2020</v>
      </c>
      <c r="C130" t="str">
        <f ca="1">IF(ISNA(C$1), 0, OFFSET(data!$A$1, ROW()-1, C$1-1))</f>
        <v>2020-12-02-14:00</v>
      </c>
      <c r="D130">
        <f ca="1">IF(ISNA(D$1), 0, OFFSET(data!$A$1, ROW()-1, D$1-1))</f>
        <v>175.98873458899399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248.928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426.10693125760798</v>
      </c>
      <c r="L130">
        <f ca="1">IF(ISNA(L$1), 0, OFFSET(data!$A$1, ROW()-1, L$1-1))</f>
        <v>57.599999999999902</v>
      </c>
      <c r="M130">
        <f ca="1">IF(ISNA(M$1), 0, OFFSET(data!$A$1, ROW()-1, M$1-1))</f>
        <v>151.64449871391099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1238.4681645605101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985.186377462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253.281787098514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164.09091933344499</v>
      </c>
      <c r="AA130" t="str">
        <f ca="1">IF(ISNA(AA$1), #N/A, OFFSET(data!$A$1, ROW()-1, AA$1-1))</f>
        <v>typical</v>
      </c>
      <c r="AB130">
        <f t="shared" ca="1" si="13"/>
        <v>2020</v>
      </c>
      <c r="AC130">
        <f t="shared" ca="1" si="14"/>
        <v>12</v>
      </c>
      <c r="AD130" t="str">
        <f t="shared" ca="1" si="15"/>
        <v>12/02/2020</v>
      </c>
      <c r="AE130" t="str">
        <f t="shared" ca="1" si="16"/>
        <v/>
      </c>
      <c r="AF130" s="6">
        <f t="shared" ca="1" si="17"/>
        <v>0.164090919333445</v>
      </c>
      <c r="AG130">
        <f t="shared" ca="1" si="18"/>
        <v>1238.468164560514</v>
      </c>
      <c r="AH130">
        <f t="shared" ca="1" si="19"/>
        <v>0</v>
      </c>
      <c r="AI130">
        <f t="shared" ca="1" si="20"/>
        <v>0</v>
      </c>
      <c r="AJ130">
        <f t="shared" ca="1" si="21"/>
        <v>426.10693125760798</v>
      </c>
      <c r="AK130">
        <f t="shared" ca="1" si="22"/>
        <v>57.599999999999902</v>
      </c>
      <c r="AL130">
        <f t="shared" ca="1" si="23"/>
        <v>151.64449871391099</v>
      </c>
    </row>
    <row r="131" spans="1:38" hidden="1">
      <c r="A131" t="str">
        <f ca="1">IF(ISNA(A$1), 0, OFFSET(data!$A$1, ROW()-1, A$1-1))</f>
        <v>Oahu</v>
      </c>
      <c r="B131">
        <f ca="1">IF(ISNA(B$1), 0, OFFSET(data!$A$1, ROW()-1, B$1-1))</f>
        <v>2020</v>
      </c>
      <c r="C131" t="str">
        <f ca="1">IF(ISNA(C$1), 0, OFFSET(data!$A$1, ROW()-1, C$1-1))</f>
        <v>2020-12-02-16:00</v>
      </c>
      <c r="D131">
        <f ca="1">IF(ISNA(D$1), 0, OFFSET(data!$A$1, ROW()-1, D$1-1))</f>
        <v>175.98873458899399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49.727999999999902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423.95756824627301</v>
      </c>
      <c r="L131">
        <f ca="1">IF(ISNA(L$1), 0, OFFSET(data!$A$1, ROW()-1, L$1-1))</f>
        <v>57.599999999999902</v>
      </c>
      <c r="M131">
        <f ca="1">IF(ISNA(M$1), 0, OFFSET(data!$A$1, ROW()-1, M$1-1))</f>
        <v>2.69373878752929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888.16804162279595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1020.15741564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-131.989374017203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164.09091933344499</v>
      </c>
      <c r="AA131" t="str">
        <f ca="1">IF(ISNA(AA$1), #N/A, OFFSET(data!$A$1, ROW()-1, AA$1-1))</f>
        <v>typical</v>
      </c>
      <c r="AB131">
        <f t="shared" ref="AB131:AB194" ca="1" si="24">VALUE(LEFT(C131, 4))</f>
        <v>2020</v>
      </c>
      <c r="AC131">
        <f t="shared" ref="AC131:AC194" ca="1" si="25">VALUE(MID(C131, 6, 2))</f>
        <v>12</v>
      </c>
      <c r="AD131" t="str">
        <f t="shared" ref="AD131:AD194" ca="1" si="26">SUBSTITUTE(MID(C131,6,6)&amp;LEFT(C131,4), "-", "/")</f>
        <v>12/02/2020</v>
      </c>
      <c r="AE131" t="str">
        <f t="shared" ref="AE131:AE194" ca="1" si="27">IF(RIGHT(C131, 5)="12:00", AD131, "")</f>
        <v/>
      </c>
      <c r="AF131" s="6">
        <f t="shared" ref="AF131:AF194" ca="1" si="28">Z131/1000</f>
        <v>0.164090919333445</v>
      </c>
      <c r="AG131">
        <f t="shared" ref="AG131:AG194" ca="1" si="29">T131+W131</f>
        <v>888.16804162279698</v>
      </c>
      <c r="AH131">
        <f t="shared" ca="1" si="19"/>
        <v>0</v>
      </c>
      <c r="AI131">
        <f t="shared" ca="1" si="20"/>
        <v>0</v>
      </c>
      <c r="AJ131">
        <f t="shared" ca="1" si="21"/>
        <v>423.95756824627301</v>
      </c>
      <c r="AK131">
        <f t="shared" ca="1" si="22"/>
        <v>57.599999999999902</v>
      </c>
      <c r="AL131">
        <f t="shared" ca="1" si="23"/>
        <v>2.69373878752929</v>
      </c>
    </row>
    <row r="132" spans="1:38" hidden="1">
      <c r="A132" t="str">
        <f ca="1">IF(ISNA(A$1), 0, OFFSET(data!$A$1, ROW()-1, A$1-1))</f>
        <v>Oahu</v>
      </c>
      <c r="B132">
        <f ca="1">IF(ISNA(B$1), 0, OFFSET(data!$A$1, ROW()-1, B$1-1))</f>
        <v>2020</v>
      </c>
      <c r="C132" t="str">
        <f ca="1">IF(ISNA(C$1), 0, OFFSET(data!$A$1, ROW()-1, C$1-1))</f>
        <v>2020-12-02-18:00</v>
      </c>
      <c r="D132">
        <f ca="1">IF(ISNA(D$1), 0, OFFSET(data!$A$1, ROW()-1, D$1-1))</f>
        <v>175.98873458899399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334.86854811428299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29.434221953721998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776.09150465699997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1108.70214951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-332.610644853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166.91962553905</v>
      </c>
      <c r="AA132" t="str">
        <f ca="1">IF(ISNA(AA$1), #N/A, OFFSET(data!$A$1, ROW()-1, AA$1-1))</f>
        <v>typical</v>
      </c>
      <c r="AB132">
        <f t="shared" ca="1" si="24"/>
        <v>2020</v>
      </c>
      <c r="AC132">
        <f t="shared" ca="1" si="25"/>
        <v>12</v>
      </c>
      <c r="AD132" t="str">
        <f t="shared" ca="1" si="26"/>
        <v>12/02/2020</v>
      </c>
      <c r="AE132" t="str">
        <f t="shared" ca="1" si="27"/>
        <v/>
      </c>
      <c r="AF132" s="6">
        <f t="shared" ca="1" si="28"/>
        <v>0.16691962553905001</v>
      </c>
      <c r="AG132">
        <f t="shared" ca="1" si="29"/>
        <v>776.09150465700009</v>
      </c>
      <c r="AH132">
        <f t="shared" ref="AH132:AH195" ca="1" si="30">MAX(S132,Y132)</f>
        <v>0</v>
      </c>
      <c r="AI132">
        <f t="shared" ref="AI132:AI195" ca="1" si="31">MAX(R132,V132)</f>
        <v>0</v>
      </c>
      <c r="AJ132">
        <f t="shared" ref="AJ132:AJ195" ca="1" si="32">K132+N132</f>
        <v>0</v>
      </c>
      <c r="AK132">
        <f t="shared" ref="AK132:AK195" ca="1" si="33">L132+O132</f>
        <v>57.599999999999902</v>
      </c>
      <c r="AL132">
        <f t="shared" ref="AL132:AL195" ca="1" si="34">M132+P132</f>
        <v>29.434221953721998</v>
      </c>
    </row>
    <row r="133" spans="1:38" hidden="1">
      <c r="A133" t="str">
        <f ca="1">IF(ISNA(A$1), 0, OFFSET(data!$A$1, ROW()-1, A$1-1))</f>
        <v>Oahu</v>
      </c>
      <c r="B133">
        <f ca="1">IF(ISNA(B$1), 0, OFFSET(data!$A$1, ROW()-1, B$1-1))</f>
        <v>2020</v>
      </c>
      <c r="C133" t="str">
        <f ca="1">IF(ISNA(C$1), 0, OFFSET(data!$A$1, ROW()-1, C$1-1))</f>
        <v>2020-12-02-20:00</v>
      </c>
      <c r="D133">
        <f ca="1">IF(ISNA(D$1), 0, OFFSET(data!$A$1, ROW()-1, D$1-1))</f>
        <v>175.98873458899399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170.95701809387501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92.288971618830402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675.03472430169904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964.33532043100001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-289.3005961293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164.09091933344499</v>
      </c>
      <c r="AA133" t="str">
        <f ca="1">IF(ISNA(AA$1), #N/A, OFFSET(data!$A$1, ROW()-1, AA$1-1))</f>
        <v>typical</v>
      </c>
      <c r="AB133">
        <f t="shared" ca="1" si="24"/>
        <v>2020</v>
      </c>
      <c r="AC133">
        <f t="shared" ca="1" si="25"/>
        <v>12</v>
      </c>
      <c r="AD133" t="str">
        <f t="shared" ca="1" si="26"/>
        <v>12/02/2020</v>
      </c>
      <c r="AE133" t="str">
        <f t="shared" ca="1" si="27"/>
        <v/>
      </c>
      <c r="AF133" s="6">
        <f t="shared" ca="1" si="28"/>
        <v>0.164090919333445</v>
      </c>
      <c r="AG133">
        <f t="shared" ca="1" si="29"/>
        <v>675.03472430169995</v>
      </c>
      <c r="AH133">
        <f t="shared" ca="1" si="30"/>
        <v>0</v>
      </c>
      <c r="AI133">
        <f t="shared" ca="1" si="31"/>
        <v>0</v>
      </c>
      <c r="AJ133">
        <f t="shared" ca="1" si="32"/>
        <v>0</v>
      </c>
      <c r="AK133">
        <f t="shared" ca="1" si="33"/>
        <v>57.599999999999902</v>
      </c>
      <c r="AL133">
        <f t="shared" ca="1" si="34"/>
        <v>92.288971618830402</v>
      </c>
    </row>
    <row r="134" spans="1:38" hidden="1">
      <c r="A134" t="str">
        <f ca="1">IF(ISNA(A$1), 0, OFFSET(data!$A$1, ROW()-1, A$1-1))</f>
        <v>Oahu</v>
      </c>
      <c r="B134">
        <f ca="1">IF(ISNA(B$1), 0, OFFSET(data!$A$1, ROW()-1, B$1-1))</f>
        <v>2020</v>
      </c>
      <c r="C134" t="str">
        <f ca="1">IF(ISNA(C$1), 0, OFFSET(data!$A$1, ROW()-1, C$1-1))</f>
        <v>2020-12-02-22:00</v>
      </c>
      <c r="D134">
        <f ca="1">IF(ISNA(D$1), 0, OFFSET(data!$A$1, ROW()-1, D$1-1))</f>
        <v>175.98873458899399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99.551999999999893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80.350369700348807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591.691104289343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715.55544911499999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-123.864344825656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164.09091933344499</v>
      </c>
      <c r="AA134" t="str">
        <f ca="1">IF(ISNA(AA$1), #N/A, OFFSET(data!$A$1, ROW()-1, AA$1-1))</f>
        <v>typical</v>
      </c>
      <c r="AB134">
        <f t="shared" ca="1" si="24"/>
        <v>2020</v>
      </c>
      <c r="AC134">
        <f t="shared" ca="1" si="25"/>
        <v>12</v>
      </c>
      <c r="AD134" t="str">
        <f t="shared" ca="1" si="26"/>
        <v>12/02/2020</v>
      </c>
      <c r="AE134" t="str">
        <f t="shared" ca="1" si="27"/>
        <v/>
      </c>
      <c r="AF134" s="6">
        <f t="shared" ca="1" si="28"/>
        <v>0.164090919333445</v>
      </c>
      <c r="AG134">
        <f t="shared" ca="1" si="29"/>
        <v>591.69110428934403</v>
      </c>
      <c r="AH134">
        <f t="shared" ca="1" si="30"/>
        <v>0</v>
      </c>
      <c r="AI134">
        <f t="shared" ca="1" si="31"/>
        <v>0</v>
      </c>
      <c r="AJ134">
        <f t="shared" ca="1" si="32"/>
        <v>0</v>
      </c>
      <c r="AK134">
        <f t="shared" ca="1" si="33"/>
        <v>57.599999999999902</v>
      </c>
      <c r="AL134">
        <f t="shared" ca="1" si="34"/>
        <v>80.350369700348807</v>
      </c>
    </row>
    <row r="135" spans="1:38" hidden="1">
      <c r="A135" t="str">
        <f ca="1">IF(ISNA(A$1), 0, OFFSET(data!$A$1, ROW()-1, A$1-1))</f>
        <v>Oahu</v>
      </c>
      <c r="B135">
        <f ca="1">IF(ISNA(B$1), 0, OFFSET(data!$A$1, ROW()-1, B$1-1))</f>
        <v>2020</v>
      </c>
      <c r="C135" t="str">
        <f ca="1">IF(ISNA(C$1), 0, OFFSET(data!$A$1, ROW()-1, C$1-1))</f>
        <v>2020-12-04-00:00</v>
      </c>
      <c r="D135">
        <f ca="1">IF(ISNA(D$1), 0, OFFSET(data!$A$1, ROW()-1, D$1-1))</f>
        <v>175.98873458899399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248.928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11.3492299329539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672.06596452194799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549.496218645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122.56974587694801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164.09091933344499</v>
      </c>
      <c r="AA135" t="str">
        <f ca="1">IF(ISNA(AA$1), #N/A, OFFSET(data!$A$1, ROW()-1, AA$1-1))</f>
        <v>peak</v>
      </c>
      <c r="AB135">
        <f t="shared" ca="1" si="24"/>
        <v>2020</v>
      </c>
      <c r="AC135">
        <f t="shared" ca="1" si="25"/>
        <v>12</v>
      </c>
      <c r="AD135" t="str">
        <f t="shared" ca="1" si="26"/>
        <v>12/04/2020</v>
      </c>
      <c r="AE135" t="str">
        <f t="shared" ca="1" si="27"/>
        <v/>
      </c>
      <c r="AF135" s="6">
        <f t="shared" ca="1" si="28"/>
        <v>0.164090919333445</v>
      </c>
      <c r="AG135">
        <f t="shared" ca="1" si="29"/>
        <v>672.06596452194799</v>
      </c>
      <c r="AH135">
        <f t="shared" ca="1" si="30"/>
        <v>0</v>
      </c>
      <c r="AI135">
        <f t="shared" ca="1" si="31"/>
        <v>0</v>
      </c>
      <c r="AJ135">
        <f t="shared" ca="1" si="32"/>
        <v>0</v>
      </c>
      <c r="AK135">
        <f t="shared" ca="1" si="33"/>
        <v>57.599999999999902</v>
      </c>
      <c r="AL135">
        <f t="shared" ca="1" si="34"/>
        <v>11.3492299329539</v>
      </c>
    </row>
    <row r="136" spans="1:38" hidden="1">
      <c r="A136" t="str">
        <f ca="1">IF(ISNA(A$1), 0, OFFSET(data!$A$1, ROW()-1, A$1-1))</f>
        <v>Oahu</v>
      </c>
      <c r="B136">
        <f ca="1">IF(ISNA(B$1), 0, OFFSET(data!$A$1, ROW()-1, B$1-1))</f>
        <v>2020</v>
      </c>
      <c r="C136" t="str">
        <f ca="1">IF(ISNA(C$1), 0, OFFSET(data!$A$1, ROW()-1, C$1-1))</f>
        <v>2020-12-04-02:00</v>
      </c>
      <c r="D136">
        <f ca="1">IF(ISNA(D$1), 0, OFFSET(data!$A$1, ROW()-1, D$1-1))</f>
        <v>175.98873458899399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246.731088830266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31.843799226399899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690.36362264566003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488.48121923500003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201.88240341066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164.09091933344499</v>
      </c>
      <c r="AA136" t="str">
        <f ca="1">IF(ISNA(AA$1), #N/A, OFFSET(data!$A$1, ROW()-1, AA$1-1))</f>
        <v>peak</v>
      </c>
      <c r="AB136">
        <f t="shared" ca="1" si="24"/>
        <v>2020</v>
      </c>
      <c r="AC136">
        <f t="shared" ca="1" si="25"/>
        <v>12</v>
      </c>
      <c r="AD136" t="str">
        <f t="shared" ca="1" si="26"/>
        <v>12/04/2020</v>
      </c>
      <c r="AE136" t="str">
        <f t="shared" ca="1" si="27"/>
        <v/>
      </c>
      <c r="AF136" s="6">
        <f t="shared" ca="1" si="28"/>
        <v>0.164090919333445</v>
      </c>
      <c r="AG136">
        <f t="shared" ca="1" si="29"/>
        <v>690.36362264566003</v>
      </c>
      <c r="AH136">
        <f t="shared" ca="1" si="30"/>
        <v>0</v>
      </c>
      <c r="AI136">
        <f t="shared" ca="1" si="31"/>
        <v>0</v>
      </c>
      <c r="AJ136">
        <f t="shared" ca="1" si="32"/>
        <v>0</v>
      </c>
      <c r="AK136">
        <f t="shared" ca="1" si="33"/>
        <v>57.599999999999902</v>
      </c>
      <c r="AL136">
        <f t="shared" ca="1" si="34"/>
        <v>31.843799226399899</v>
      </c>
    </row>
    <row r="137" spans="1:38" hidden="1">
      <c r="A137" t="str">
        <f ca="1">IF(ISNA(A$1), 0, OFFSET(data!$A$1, ROW()-1, A$1-1))</f>
        <v>Oahu</v>
      </c>
      <c r="B137">
        <f ca="1">IF(ISNA(B$1), 0, OFFSET(data!$A$1, ROW()-1, B$1-1))</f>
        <v>2020</v>
      </c>
      <c r="C137" t="str">
        <f ca="1">IF(ISNA(C$1), 0, OFFSET(data!$A$1, ROW()-1, C$1-1))</f>
        <v>2020-12-04-04:00</v>
      </c>
      <c r="D137">
        <f ca="1">IF(ISNA(D$1), 0, OFFSET(data!$A$1, ROW()-1, D$1-1))</f>
        <v>175.98873458899399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248.928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46.271087514218102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706.98782210321201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599.42842185400002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107.559400249212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164.09091933344499</v>
      </c>
      <c r="AA137" t="str">
        <f ca="1">IF(ISNA(AA$1), #N/A, OFFSET(data!$A$1, ROW()-1, AA$1-1))</f>
        <v>peak</v>
      </c>
      <c r="AB137">
        <f t="shared" ca="1" si="24"/>
        <v>2020</v>
      </c>
      <c r="AC137">
        <f t="shared" ca="1" si="25"/>
        <v>12</v>
      </c>
      <c r="AD137" t="str">
        <f t="shared" ca="1" si="26"/>
        <v>12/04/2020</v>
      </c>
      <c r="AE137" t="str">
        <f t="shared" ca="1" si="27"/>
        <v/>
      </c>
      <c r="AF137" s="6">
        <f t="shared" ca="1" si="28"/>
        <v>0.164090919333445</v>
      </c>
      <c r="AG137">
        <f t="shared" ca="1" si="29"/>
        <v>706.98782210321201</v>
      </c>
      <c r="AH137">
        <f t="shared" ca="1" si="30"/>
        <v>0</v>
      </c>
      <c r="AI137">
        <f t="shared" ca="1" si="31"/>
        <v>0</v>
      </c>
      <c r="AJ137">
        <f t="shared" ca="1" si="32"/>
        <v>0</v>
      </c>
      <c r="AK137">
        <f t="shared" ca="1" si="33"/>
        <v>57.599999999999902</v>
      </c>
      <c r="AL137">
        <f t="shared" ca="1" si="34"/>
        <v>46.271087514218102</v>
      </c>
    </row>
    <row r="138" spans="1:38" hidden="1">
      <c r="A138" t="str">
        <f ca="1">IF(ISNA(A$1), 0, OFFSET(data!$A$1, ROW()-1, A$1-1))</f>
        <v>Oahu</v>
      </c>
      <c r="B138">
        <f ca="1">IF(ISNA(B$1), 0, OFFSET(data!$A$1, ROW()-1, B$1-1))</f>
        <v>2020</v>
      </c>
      <c r="C138" t="str">
        <f ca="1">IF(ISNA(C$1), 0, OFFSET(data!$A$1, ROW()-1, C$1-1))</f>
        <v>2020-12-04-06:00</v>
      </c>
      <c r="D138">
        <f ca="1">IF(ISNA(D$1), 0, OFFSET(data!$A$1, ROW()-1, D$1-1))</f>
        <v>175.98873458899399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248.928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70.349135108473703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731.06586969746695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942.72179757699996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-211.65592787953199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164.09091933344499</v>
      </c>
      <c r="AA138" t="str">
        <f ca="1">IF(ISNA(AA$1), #N/A, OFFSET(data!$A$1, ROW()-1, AA$1-1))</f>
        <v>peak</v>
      </c>
      <c r="AB138">
        <f t="shared" ca="1" si="24"/>
        <v>2020</v>
      </c>
      <c r="AC138">
        <f t="shared" ca="1" si="25"/>
        <v>12</v>
      </c>
      <c r="AD138" t="str">
        <f t="shared" ca="1" si="26"/>
        <v>12/04/2020</v>
      </c>
      <c r="AE138" t="str">
        <f t="shared" ca="1" si="27"/>
        <v/>
      </c>
      <c r="AF138" s="6">
        <f t="shared" ca="1" si="28"/>
        <v>0.164090919333445</v>
      </c>
      <c r="AG138">
        <f t="shared" ca="1" si="29"/>
        <v>731.06586969746797</v>
      </c>
      <c r="AH138">
        <f t="shared" ca="1" si="30"/>
        <v>0</v>
      </c>
      <c r="AI138">
        <f t="shared" ca="1" si="31"/>
        <v>0</v>
      </c>
      <c r="AJ138">
        <f t="shared" ca="1" si="32"/>
        <v>0</v>
      </c>
      <c r="AK138">
        <f t="shared" ca="1" si="33"/>
        <v>57.599999999999902</v>
      </c>
      <c r="AL138">
        <f t="shared" ca="1" si="34"/>
        <v>70.349135108473703</v>
      </c>
    </row>
    <row r="139" spans="1:38" hidden="1">
      <c r="A139" t="str">
        <f ca="1">IF(ISNA(A$1), 0, OFFSET(data!$A$1, ROW()-1, A$1-1))</f>
        <v>Oahu</v>
      </c>
      <c r="B139">
        <f ca="1">IF(ISNA(B$1), 0, OFFSET(data!$A$1, ROW()-1, B$1-1))</f>
        <v>2020</v>
      </c>
      <c r="C139" t="str">
        <f ca="1">IF(ISNA(C$1), 0, OFFSET(data!$A$1, ROW()-1, C$1-1))</f>
        <v>2020-12-04-08:00</v>
      </c>
      <c r="D139">
        <f ca="1">IF(ISNA(D$1), 0, OFFSET(data!$A$1, ROW()-1, D$1-1))</f>
        <v>175.98873458899399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248.928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337.556334630305</v>
      </c>
      <c r="L139">
        <f ca="1">IF(ISNA(L$1), 0, OFFSET(data!$A$1, ROW()-1, L$1-1))</f>
        <v>57.599999999999902</v>
      </c>
      <c r="M139">
        <f ca="1">IF(ISNA(M$1), 0, OFFSET(data!$A$1, ROW()-1, M$1-1))</f>
        <v>94.744806146517206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1093.0178753658099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1053.6690002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39.348875165816999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164.09091933344499</v>
      </c>
      <c r="AA139" t="str">
        <f ca="1">IF(ISNA(AA$1), #N/A, OFFSET(data!$A$1, ROW()-1, AA$1-1))</f>
        <v>peak</v>
      </c>
      <c r="AB139">
        <f t="shared" ca="1" si="24"/>
        <v>2020</v>
      </c>
      <c r="AC139">
        <f t="shared" ca="1" si="25"/>
        <v>12</v>
      </c>
      <c r="AD139" t="str">
        <f t="shared" ca="1" si="26"/>
        <v>12/04/2020</v>
      </c>
      <c r="AE139" t="str">
        <f t="shared" ca="1" si="27"/>
        <v/>
      </c>
      <c r="AF139" s="6">
        <f t="shared" ca="1" si="28"/>
        <v>0.164090919333445</v>
      </c>
      <c r="AG139">
        <f t="shared" ca="1" si="29"/>
        <v>1093.017875365817</v>
      </c>
      <c r="AH139">
        <f t="shared" ca="1" si="30"/>
        <v>0</v>
      </c>
      <c r="AI139">
        <f t="shared" ca="1" si="31"/>
        <v>0</v>
      </c>
      <c r="AJ139">
        <f t="shared" ca="1" si="32"/>
        <v>337.556334630305</v>
      </c>
      <c r="AK139">
        <f t="shared" ca="1" si="33"/>
        <v>57.599999999999902</v>
      </c>
      <c r="AL139">
        <f t="shared" ca="1" si="34"/>
        <v>94.744806146517206</v>
      </c>
    </row>
    <row r="140" spans="1:38" hidden="1">
      <c r="A140" t="str">
        <f ca="1">IF(ISNA(A$1), 0, OFFSET(data!$A$1, ROW()-1, A$1-1))</f>
        <v>Oahu</v>
      </c>
      <c r="B140">
        <f ca="1">IF(ISNA(B$1), 0, OFFSET(data!$A$1, ROW()-1, B$1-1))</f>
        <v>2020</v>
      </c>
      <c r="C140" t="str">
        <f ca="1">IF(ISNA(C$1), 0, OFFSET(data!$A$1, ROW()-1, C$1-1))</f>
        <v>2020-12-04-10:00</v>
      </c>
      <c r="D140">
        <f ca="1">IF(ISNA(D$1), 0, OFFSET(data!$A$1, ROW()-1, D$1-1))</f>
        <v>175.98873458899399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248.928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442.40138779658099</v>
      </c>
      <c r="L140">
        <f ca="1">IF(ISNA(L$1), 0, OFFSET(data!$A$1, ROW()-1, L$1-1))</f>
        <v>57.599999999999902</v>
      </c>
      <c r="M140">
        <f ca="1">IF(ISNA(M$1), 0, OFFSET(data!$A$1, ROW()-1, M$1-1))</f>
        <v>110.99590733617499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1214.1140297217501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1123.9657491400001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90.148280581751393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164.09091933344499</v>
      </c>
      <c r="AA140" t="str">
        <f ca="1">IF(ISNA(AA$1), #N/A, OFFSET(data!$A$1, ROW()-1, AA$1-1))</f>
        <v>peak</v>
      </c>
      <c r="AB140">
        <f t="shared" ca="1" si="24"/>
        <v>2020</v>
      </c>
      <c r="AC140">
        <f t="shared" ca="1" si="25"/>
        <v>12</v>
      </c>
      <c r="AD140" t="str">
        <f t="shared" ca="1" si="26"/>
        <v>12/04/2020</v>
      </c>
      <c r="AE140" t="str">
        <f t="shared" ca="1" si="27"/>
        <v/>
      </c>
      <c r="AF140" s="6">
        <f t="shared" ca="1" si="28"/>
        <v>0.164090919333445</v>
      </c>
      <c r="AG140">
        <f t="shared" ca="1" si="29"/>
        <v>1214.1140297217514</v>
      </c>
      <c r="AH140">
        <f t="shared" ca="1" si="30"/>
        <v>0</v>
      </c>
      <c r="AI140">
        <f t="shared" ca="1" si="31"/>
        <v>0</v>
      </c>
      <c r="AJ140">
        <f t="shared" ca="1" si="32"/>
        <v>442.40138779658099</v>
      </c>
      <c r="AK140">
        <f t="shared" ca="1" si="33"/>
        <v>57.599999999999902</v>
      </c>
      <c r="AL140">
        <f t="shared" ca="1" si="34"/>
        <v>110.99590733617499</v>
      </c>
    </row>
    <row r="141" spans="1:38" hidden="1">
      <c r="A141" t="str">
        <f ca="1">IF(ISNA(A$1), 0, OFFSET(data!$A$1, ROW()-1, A$1-1))</f>
        <v>Oahu</v>
      </c>
      <c r="B141">
        <f ca="1">IF(ISNA(B$1), 0, OFFSET(data!$A$1, ROW()-1, B$1-1))</f>
        <v>2020</v>
      </c>
      <c r="C141" t="str">
        <f ca="1">IF(ISNA(C$1), 0, OFFSET(data!$A$1, ROW()-1, C$1-1))</f>
        <v>2020-12-04-12:00</v>
      </c>
      <c r="D141">
        <f ca="1">IF(ISNA(D$1), 0, OFFSET(data!$A$1, ROW()-1, D$1-1))</f>
        <v>175.98873458899399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248.928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460.49316374607798</v>
      </c>
      <c r="L141">
        <f ca="1">IF(ISNA(L$1), 0, OFFSET(data!$A$1, ROW()-1, L$1-1))</f>
        <v>57.599999999999902</v>
      </c>
      <c r="M141">
        <f ca="1">IF(ISNA(M$1), 0, OFFSET(data!$A$1, ROW()-1, M$1-1))</f>
        <v>132.68730320390901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1253.89720153898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1132.83994618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121.057255358982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164.09091933344499</v>
      </c>
      <c r="AA141" t="str">
        <f ca="1">IF(ISNA(AA$1), #N/A, OFFSET(data!$A$1, ROW()-1, AA$1-1))</f>
        <v>peak</v>
      </c>
      <c r="AB141">
        <f t="shared" ca="1" si="24"/>
        <v>2020</v>
      </c>
      <c r="AC141">
        <f t="shared" ca="1" si="25"/>
        <v>12</v>
      </c>
      <c r="AD141" t="str">
        <f t="shared" ca="1" si="26"/>
        <v>12/04/2020</v>
      </c>
      <c r="AE141" t="str">
        <f t="shared" ca="1" si="27"/>
        <v>12/04/2020</v>
      </c>
      <c r="AF141" s="6">
        <f t="shared" ca="1" si="28"/>
        <v>0.164090919333445</v>
      </c>
      <c r="AG141">
        <f t="shared" ca="1" si="29"/>
        <v>1253.897201538982</v>
      </c>
      <c r="AH141">
        <f t="shared" ca="1" si="30"/>
        <v>0</v>
      </c>
      <c r="AI141">
        <f t="shared" ca="1" si="31"/>
        <v>0</v>
      </c>
      <c r="AJ141">
        <f t="shared" ca="1" si="32"/>
        <v>460.49316374607798</v>
      </c>
      <c r="AK141">
        <f t="shared" ca="1" si="33"/>
        <v>57.599999999999902</v>
      </c>
      <c r="AL141">
        <f t="shared" ca="1" si="34"/>
        <v>132.68730320390901</v>
      </c>
    </row>
    <row r="142" spans="1:38" hidden="1">
      <c r="A142" t="str">
        <f ca="1">IF(ISNA(A$1), 0, OFFSET(data!$A$1, ROW()-1, A$1-1))</f>
        <v>Oahu</v>
      </c>
      <c r="B142">
        <f ca="1">IF(ISNA(B$1), 0, OFFSET(data!$A$1, ROW()-1, B$1-1))</f>
        <v>2020</v>
      </c>
      <c r="C142" t="str">
        <f ca="1">IF(ISNA(C$1), 0, OFFSET(data!$A$1, ROW()-1, C$1-1))</f>
        <v>2020-12-04-14:00</v>
      </c>
      <c r="D142">
        <f ca="1">IF(ISNA(D$1), 0, OFFSET(data!$A$1, ROW()-1, D$1-1))</f>
        <v>175.98873458899399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248.928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512.18734993340195</v>
      </c>
      <c r="L142">
        <f ca="1">IF(ISNA(L$1), 0, OFFSET(data!$A$1, ROW()-1, L$1-1))</f>
        <v>57.599999999999902</v>
      </c>
      <c r="M142">
        <f ca="1">IF(ISNA(M$1), 0, OFFSET(data!$A$1, ROW()-1, M$1-1))</f>
        <v>141.0434136856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1313.9474982079901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1116.6166442399999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197.330853967997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164.09091933344499</v>
      </c>
      <c r="AA142" t="str">
        <f ca="1">IF(ISNA(AA$1), #N/A, OFFSET(data!$A$1, ROW()-1, AA$1-1))</f>
        <v>peak</v>
      </c>
      <c r="AB142">
        <f t="shared" ca="1" si="24"/>
        <v>2020</v>
      </c>
      <c r="AC142">
        <f t="shared" ca="1" si="25"/>
        <v>12</v>
      </c>
      <c r="AD142" t="str">
        <f t="shared" ca="1" si="26"/>
        <v>12/04/2020</v>
      </c>
      <c r="AE142" t="str">
        <f t="shared" ca="1" si="27"/>
        <v/>
      </c>
      <c r="AF142" s="6">
        <f t="shared" ca="1" si="28"/>
        <v>0.164090919333445</v>
      </c>
      <c r="AG142">
        <f t="shared" ca="1" si="29"/>
        <v>1313.9474982079969</v>
      </c>
      <c r="AH142">
        <f t="shared" ca="1" si="30"/>
        <v>0</v>
      </c>
      <c r="AI142">
        <f t="shared" ca="1" si="31"/>
        <v>0</v>
      </c>
      <c r="AJ142">
        <f t="shared" ca="1" si="32"/>
        <v>512.18734993340195</v>
      </c>
      <c r="AK142">
        <f t="shared" ca="1" si="33"/>
        <v>57.599999999999902</v>
      </c>
      <c r="AL142">
        <f t="shared" ca="1" si="34"/>
        <v>141.0434136856</v>
      </c>
    </row>
    <row r="143" spans="1:38" hidden="1">
      <c r="A143" t="str">
        <f ca="1">IF(ISNA(A$1), 0, OFFSET(data!$A$1, ROW()-1, A$1-1))</f>
        <v>Oahu</v>
      </c>
      <c r="B143">
        <f ca="1">IF(ISNA(B$1), 0, OFFSET(data!$A$1, ROW()-1, B$1-1))</f>
        <v>2020</v>
      </c>
      <c r="C143" t="str">
        <f ca="1">IF(ISNA(C$1), 0, OFFSET(data!$A$1, ROW()-1, C$1-1))</f>
        <v>2020-12-04-16:00</v>
      </c>
      <c r="D143">
        <f ca="1">IF(ISNA(D$1), 0, OFFSET(data!$A$1, ROW()-1, D$1-1))</f>
        <v>175.98873458899399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248.928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405.43085952370802</v>
      </c>
      <c r="L143">
        <f ca="1">IF(ISNA(L$1), 0, OFFSET(data!$A$1, ROW()-1, L$1-1))</f>
        <v>57.599999999999902</v>
      </c>
      <c r="M143">
        <f ca="1">IF(ISNA(M$1), 0, OFFSET(data!$A$1, ROW()-1, M$1-1))</f>
        <v>123.28239552163799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1189.42998963434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1124.20246501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65.227524624340901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164.09091933344499</v>
      </c>
      <c r="AA143" t="str">
        <f ca="1">IF(ISNA(AA$1), #N/A, OFFSET(data!$A$1, ROW()-1, AA$1-1))</f>
        <v>peak</v>
      </c>
      <c r="AB143">
        <f t="shared" ca="1" si="24"/>
        <v>2020</v>
      </c>
      <c r="AC143">
        <f t="shared" ca="1" si="25"/>
        <v>12</v>
      </c>
      <c r="AD143" t="str">
        <f t="shared" ca="1" si="26"/>
        <v>12/04/2020</v>
      </c>
      <c r="AE143" t="str">
        <f t="shared" ca="1" si="27"/>
        <v/>
      </c>
      <c r="AF143" s="6">
        <f t="shared" ca="1" si="28"/>
        <v>0.164090919333445</v>
      </c>
      <c r="AG143">
        <f t="shared" ca="1" si="29"/>
        <v>1189.4299896343409</v>
      </c>
      <c r="AH143">
        <f t="shared" ca="1" si="30"/>
        <v>0</v>
      </c>
      <c r="AI143">
        <f t="shared" ca="1" si="31"/>
        <v>0</v>
      </c>
      <c r="AJ143">
        <f t="shared" ca="1" si="32"/>
        <v>405.43085952370802</v>
      </c>
      <c r="AK143">
        <f t="shared" ca="1" si="33"/>
        <v>57.599999999999902</v>
      </c>
      <c r="AL143">
        <f t="shared" ca="1" si="34"/>
        <v>123.28239552163799</v>
      </c>
    </row>
    <row r="144" spans="1:38" hidden="1">
      <c r="A144" t="str">
        <f ca="1">IF(ISNA(A$1), 0, OFFSET(data!$A$1, ROW()-1, A$1-1))</f>
        <v>Oahu</v>
      </c>
      <c r="B144">
        <f ca="1">IF(ISNA(B$1), 0, OFFSET(data!$A$1, ROW()-1, B$1-1))</f>
        <v>2020</v>
      </c>
      <c r="C144" t="str">
        <f ca="1">IF(ISNA(C$1), 0, OFFSET(data!$A$1, ROW()-1, C$1-1))</f>
        <v>2020-12-04-18:00</v>
      </c>
      <c r="D144">
        <f ca="1">IF(ISNA(D$1), 0, OFFSET(data!$A$1, ROW()-1, D$1-1))</f>
        <v>175.98873458899399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335.96058216205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113.947311901954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861.69662865299995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1230.9951837900001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-369.29855513699999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166.91962553905</v>
      </c>
      <c r="AA144" t="str">
        <f ca="1">IF(ISNA(AA$1), #N/A, OFFSET(data!$A$1, ROW()-1, AA$1-1))</f>
        <v>peak</v>
      </c>
      <c r="AB144">
        <f t="shared" ca="1" si="24"/>
        <v>2020</v>
      </c>
      <c r="AC144">
        <f t="shared" ca="1" si="25"/>
        <v>12</v>
      </c>
      <c r="AD144" t="str">
        <f t="shared" ca="1" si="26"/>
        <v>12/04/2020</v>
      </c>
      <c r="AE144" t="str">
        <f t="shared" ca="1" si="27"/>
        <v/>
      </c>
      <c r="AF144" s="6">
        <f t="shared" ca="1" si="28"/>
        <v>0.16691962553905001</v>
      </c>
      <c r="AG144">
        <f t="shared" ca="1" si="29"/>
        <v>861.69662865300006</v>
      </c>
      <c r="AH144">
        <f t="shared" ca="1" si="30"/>
        <v>0</v>
      </c>
      <c r="AI144">
        <f t="shared" ca="1" si="31"/>
        <v>0</v>
      </c>
      <c r="AJ144">
        <f t="shared" ca="1" si="32"/>
        <v>0</v>
      </c>
      <c r="AK144">
        <f t="shared" ca="1" si="33"/>
        <v>57.599999999999902</v>
      </c>
      <c r="AL144">
        <f t="shared" ca="1" si="34"/>
        <v>113.947311901954</v>
      </c>
    </row>
    <row r="145" spans="1:38" hidden="1">
      <c r="A145" t="str">
        <f ca="1">IF(ISNA(A$1), 0, OFFSET(data!$A$1, ROW()-1, A$1-1))</f>
        <v>Oahu</v>
      </c>
      <c r="B145">
        <f ca="1">IF(ISNA(B$1), 0, OFFSET(data!$A$1, ROW()-1, B$1-1))</f>
        <v>2020</v>
      </c>
      <c r="C145" t="str">
        <f ca="1">IF(ISNA(C$1), 0, OFFSET(data!$A$1, ROW()-1, C$1-1))</f>
        <v>2020-12-04-20:00</v>
      </c>
      <c r="D145">
        <f ca="1">IF(ISNA(D$1), 0, OFFSET(data!$A$1, ROW()-1, D$1-1))</f>
        <v>175.98873458899399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248.928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90.956060013232403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751.67279460222596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1069.6819058599999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-318.00911125777299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164.09091933344499</v>
      </c>
      <c r="AA145" t="str">
        <f ca="1">IF(ISNA(AA$1), #N/A, OFFSET(data!$A$1, ROW()-1, AA$1-1))</f>
        <v>peak</v>
      </c>
      <c r="AB145">
        <f t="shared" ca="1" si="24"/>
        <v>2020</v>
      </c>
      <c r="AC145">
        <f t="shared" ca="1" si="25"/>
        <v>12</v>
      </c>
      <c r="AD145" t="str">
        <f t="shared" ca="1" si="26"/>
        <v>12/04/2020</v>
      </c>
      <c r="AE145" t="str">
        <f t="shared" ca="1" si="27"/>
        <v/>
      </c>
      <c r="AF145" s="6">
        <f t="shared" ca="1" si="28"/>
        <v>0.164090919333445</v>
      </c>
      <c r="AG145">
        <f t="shared" ca="1" si="29"/>
        <v>751.67279460222699</v>
      </c>
      <c r="AH145">
        <f t="shared" ca="1" si="30"/>
        <v>0</v>
      </c>
      <c r="AI145">
        <f t="shared" ca="1" si="31"/>
        <v>0</v>
      </c>
      <c r="AJ145">
        <f t="shared" ca="1" si="32"/>
        <v>0</v>
      </c>
      <c r="AK145">
        <f t="shared" ca="1" si="33"/>
        <v>57.599999999999902</v>
      </c>
      <c r="AL145">
        <f t="shared" ca="1" si="34"/>
        <v>90.956060013232403</v>
      </c>
    </row>
    <row r="146" spans="1:38" hidden="1">
      <c r="A146" t="str">
        <f ca="1">IF(ISNA(A$1), 0, OFFSET(data!$A$1, ROW()-1, A$1-1))</f>
        <v>Oahu</v>
      </c>
      <c r="B146">
        <f ca="1">IF(ISNA(B$1), 0, OFFSET(data!$A$1, ROW()-1, B$1-1))</f>
        <v>2020</v>
      </c>
      <c r="C146" t="str">
        <f ca="1">IF(ISNA(C$1), 0, OFFSET(data!$A$1, ROW()-1, C$1-1))</f>
        <v>2020-12-04-22:00</v>
      </c>
      <c r="D146">
        <f ca="1">IF(ISNA(D$1), 0, OFFSET(data!$A$1, ROW()-1, D$1-1))</f>
        <v>175.98873458899399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248.928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91.911361052600697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752.62809564159397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798.78884060300004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-46.1607449614052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164.09091933344499</v>
      </c>
      <c r="AA146" t="str">
        <f ca="1">IF(ISNA(AA$1), #N/A, OFFSET(data!$A$1, ROW()-1, AA$1-1))</f>
        <v>peak</v>
      </c>
      <c r="AB146">
        <f t="shared" ca="1" si="24"/>
        <v>2020</v>
      </c>
      <c r="AC146">
        <f t="shared" ca="1" si="25"/>
        <v>12</v>
      </c>
      <c r="AD146" t="str">
        <f t="shared" ca="1" si="26"/>
        <v>12/04/2020</v>
      </c>
      <c r="AE146" t="str">
        <f t="shared" ca="1" si="27"/>
        <v/>
      </c>
      <c r="AF146" s="6">
        <f t="shared" ca="1" si="28"/>
        <v>0.164090919333445</v>
      </c>
      <c r="AG146">
        <f t="shared" ca="1" si="29"/>
        <v>752.62809564159488</v>
      </c>
      <c r="AH146">
        <f t="shared" ca="1" si="30"/>
        <v>0</v>
      </c>
      <c r="AI146">
        <f t="shared" ca="1" si="31"/>
        <v>0</v>
      </c>
      <c r="AJ146">
        <f t="shared" ca="1" si="32"/>
        <v>0</v>
      </c>
      <c r="AK146">
        <f t="shared" ca="1" si="33"/>
        <v>57.599999999999902</v>
      </c>
      <c r="AL146">
        <f t="shared" ca="1" si="34"/>
        <v>91.911361052600697</v>
      </c>
    </row>
    <row r="147" spans="1:38" hidden="1">
      <c r="A147" t="str">
        <f ca="1">IF(ISNA(A$1), 0, OFFSET(data!$A$1, ROW()-1, A$1-1))</f>
        <v>Oahu</v>
      </c>
      <c r="B147">
        <f ca="1">IF(ISNA(B$1), 0, OFFSET(data!$A$1, ROW()-1, B$1-1))</f>
        <v>2025</v>
      </c>
      <c r="C147" t="str">
        <f ca="1">IF(ISNA(C$1), 0, OFFSET(data!$A$1, ROW()-1, C$1-1))</f>
        <v>2025-02-02-00:00</v>
      </c>
      <c r="D147">
        <f ca="1">IF(ISNA(D$1), 0, OFFSET(data!$A$1, ROW()-1, D$1-1))</f>
        <v>119.750645646718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40.651834840700303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66.340596347881302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284.34307683529897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406.20439547900003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-121.8613186437</v>
      </c>
      <c r="X147">
        <f ca="1">IF(ISNA(X$1), 0, OFFSET(data!$A$1, ROW()-1, X$1-1))</f>
        <v>0</v>
      </c>
      <c r="Y147">
        <f ca="1">IF(ISNA(Y$1), 0, OFFSET(data!$A$1, ROW()-1, Y$1-1))</f>
        <v>0</v>
      </c>
      <c r="Z147">
        <f ca="1">IF(ISNA(Z$1), 0, OFFSET(data!$A$1, ROW()-1, Z$1-1))</f>
        <v>58.352639020850198</v>
      </c>
      <c r="AA147" t="str">
        <f ca="1">IF(ISNA(AA$1), #N/A, OFFSET(data!$A$1, ROW()-1, AA$1-1))</f>
        <v>typical</v>
      </c>
      <c r="AB147">
        <f t="shared" ca="1" si="24"/>
        <v>2025</v>
      </c>
      <c r="AC147">
        <f t="shared" ca="1" si="25"/>
        <v>2</v>
      </c>
      <c r="AD147" t="str">
        <f t="shared" ca="1" si="26"/>
        <v>02/02/2025</v>
      </c>
      <c r="AE147" t="str">
        <f t="shared" ca="1" si="27"/>
        <v/>
      </c>
      <c r="AF147" s="6">
        <f t="shared" ca="1" si="28"/>
        <v>5.8352639020850201E-2</v>
      </c>
      <c r="AG147">
        <f t="shared" ca="1" si="29"/>
        <v>284.34307683530005</v>
      </c>
      <c r="AH147">
        <f t="shared" ca="1" si="30"/>
        <v>0</v>
      </c>
      <c r="AI147">
        <f t="shared" ca="1" si="31"/>
        <v>0</v>
      </c>
      <c r="AJ147">
        <f t="shared" ca="1" si="32"/>
        <v>0</v>
      </c>
      <c r="AK147">
        <f t="shared" ca="1" si="33"/>
        <v>57.599999999999902</v>
      </c>
      <c r="AL147">
        <f t="shared" ca="1" si="34"/>
        <v>66.340596347881302</v>
      </c>
    </row>
    <row r="148" spans="1:38" hidden="1">
      <c r="A148" t="str">
        <f ca="1">IF(ISNA(A$1), 0, OFFSET(data!$A$1, ROW()-1, A$1-1))</f>
        <v>Oahu</v>
      </c>
      <c r="B148">
        <f ca="1">IF(ISNA(B$1), 0, OFFSET(data!$A$1, ROW()-1, B$1-1))</f>
        <v>2025</v>
      </c>
      <c r="C148" t="str">
        <f ca="1">IF(ISNA(C$1), 0, OFFSET(data!$A$1, ROW()-1, C$1-1))</f>
        <v>2025-02-02-02:00</v>
      </c>
      <c r="D148">
        <f ca="1">IF(ISNA(D$1), 0, OFFSET(data!$A$1, ROW()-1, D$1-1))</f>
        <v>119.750645646718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64.514036534473107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15.129824146808501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256.994506328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367.13500904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-110.140502712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58.352639020850198</v>
      </c>
      <c r="AA148" t="str">
        <f ca="1">IF(ISNA(AA$1), #N/A, OFFSET(data!$A$1, ROW()-1, AA$1-1))</f>
        <v>typical</v>
      </c>
      <c r="AB148">
        <f t="shared" ca="1" si="24"/>
        <v>2025</v>
      </c>
      <c r="AC148">
        <f t="shared" ca="1" si="25"/>
        <v>2</v>
      </c>
      <c r="AD148" t="str">
        <f t="shared" ca="1" si="26"/>
        <v>02/02/2025</v>
      </c>
      <c r="AE148" t="str">
        <f t="shared" ca="1" si="27"/>
        <v/>
      </c>
      <c r="AF148" s="6">
        <f t="shared" ca="1" si="28"/>
        <v>5.8352639020850201E-2</v>
      </c>
      <c r="AG148">
        <f t="shared" ca="1" si="29"/>
        <v>256.994506328</v>
      </c>
      <c r="AH148">
        <f t="shared" ca="1" si="30"/>
        <v>0</v>
      </c>
      <c r="AI148">
        <f t="shared" ca="1" si="31"/>
        <v>0</v>
      </c>
      <c r="AJ148">
        <f t="shared" ca="1" si="32"/>
        <v>0</v>
      </c>
      <c r="AK148">
        <f t="shared" ca="1" si="33"/>
        <v>57.599999999999902</v>
      </c>
      <c r="AL148">
        <f t="shared" ca="1" si="34"/>
        <v>15.129824146808501</v>
      </c>
    </row>
    <row r="149" spans="1:38" hidden="1">
      <c r="A149" t="str">
        <f ca="1">IF(ISNA(A$1), 0, OFFSET(data!$A$1, ROW()-1, A$1-1))</f>
        <v>Oahu</v>
      </c>
      <c r="B149">
        <f ca="1">IF(ISNA(B$1), 0, OFFSET(data!$A$1, ROW()-1, B$1-1))</f>
        <v>2025</v>
      </c>
      <c r="C149" t="str">
        <f ca="1">IF(ISNA(C$1), 0, OFFSET(data!$A$1, ROW()-1, C$1-1))</f>
        <v>2025-02-02-04:00</v>
      </c>
      <c r="D149">
        <f ca="1">IF(ISNA(D$1), 0, OFFSET(data!$A$1, ROW()-1, D$1-1))</f>
        <v>119.750645646718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136.46602202960699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0.45721924227398802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314.2738869186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448.96269559799998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-134.68880867939899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58.352639020850198</v>
      </c>
      <c r="AA149" t="str">
        <f ca="1">IF(ISNA(AA$1), #N/A, OFFSET(data!$A$1, ROW()-1, AA$1-1))</f>
        <v>typical</v>
      </c>
      <c r="AB149">
        <f t="shared" ca="1" si="24"/>
        <v>2025</v>
      </c>
      <c r="AC149">
        <f t="shared" ca="1" si="25"/>
        <v>2</v>
      </c>
      <c r="AD149" t="str">
        <f t="shared" ca="1" si="26"/>
        <v>02/02/2025</v>
      </c>
      <c r="AE149" t="str">
        <f t="shared" ca="1" si="27"/>
        <v/>
      </c>
      <c r="AF149" s="6">
        <f t="shared" ca="1" si="28"/>
        <v>5.8352639020850201E-2</v>
      </c>
      <c r="AG149">
        <f t="shared" ca="1" si="29"/>
        <v>314.27388691860097</v>
      </c>
      <c r="AH149">
        <f t="shared" ca="1" si="30"/>
        <v>0</v>
      </c>
      <c r="AI149">
        <f t="shared" ca="1" si="31"/>
        <v>0</v>
      </c>
      <c r="AJ149">
        <f t="shared" ca="1" si="32"/>
        <v>0</v>
      </c>
      <c r="AK149">
        <f t="shared" ca="1" si="33"/>
        <v>57.599999999999902</v>
      </c>
      <c r="AL149">
        <f t="shared" ca="1" si="34"/>
        <v>0.45721924227398802</v>
      </c>
    </row>
    <row r="150" spans="1:38" hidden="1">
      <c r="A150" t="str">
        <f ca="1">IF(ISNA(A$1), 0, OFFSET(data!$A$1, ROW()-1, A$1-1))</f>
        <v>Oahu</v>
      </c>
      <c r="B150">
        <f ca="1">IF(ISNA(B$1), 0, OFFSET(data!$A$1, ROW()-1, B$1-1))</f>
        <v>2025</v>
      </c>
      <c r="C150" t="str">
        <f ca="1">IF(ISNA(C$1), 0, OFFSET(data!$A$1, ROW()-1, C$1-1))</f>
        <v>2025-02-02-06:00</v>
      </c>
      <c r="D150">
        <f ca="1">IF(ISNA(D$1), 0, OFFSET(data!$A$1, ROW()-1, D$1-1))</f>
        <v>119.750645646718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39.178123436167397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0.43448231071419502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395.16325139359901</v>
      </c>
      <c r="R150">
        <f ca="1">IF(ISNA(R$1), 0, OFFSET(data!$A$1, ROW()-1, R$1-1))</f>
        <v>0</v>
      </c>
      <c r="S150">
        <f ca="1">IF(ISNA(S$1), 0, OFFSET(data!$A$1, ROW()-1, S$1-1))</f>
        <v>150</v>
      </c>
      <c r="T150">
        <f ca="1">IF(ISNA(T$1), 0, OFFSET(data!$A$1, ROW()-1, T$1-1))</f>
        <v>778.80464484799995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-233.64139345439901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208.53398718329001</v>
      </c>
      <c r="AA150" t="str">
        <f ca="1">IF(ISNA(AA$1), #N/A, OFFSET(data!$A$1, ROW()-1, AA$1-1))</f>
        <v>typical</v>
      </c>
      <c r="AB150">
        <f t="shared" ca="1" si="24"/>
        <v>2025</v>
      </c>
      <c r="AC150">
        <f t="shared" ca="1" si="25"/>
        <v>2</v>
      </c>
      <c r="AD150" t="str">
        <f t="shared" ca="1" si="26"/>
        <v>02/02/2025</v>
      </c>
      <c r="AE150" t="str">
        <f t="shared" ca="1" si="27"/>
        <v/>
      </c>
      <c r="AF150" s="6">
        <f t="shared" ca="1" si="28"/>
        <v>0.20853398718329</v>
      </c>
      <c r="AG150">
        <f t="shared" ca="1" si="29"/>
        <v>545.16325139360094</v>
      </c>
      <c r="AH150">
        <f t="shared" ca="1" si="30"/>
        <v>150</v>
      </c>
      <c r="AI150">
        <f t="shared" ca="1" si="31"/>
        <v>0</v>
      </c>
      <c r="AJ150">
        <f t="shared" ca="1" si="32"/>
        <v>0</v>
      </c>
      <c r="AK150">
        <f t="shared" ca="1" si="33"/>
        <v>57.599999999999902</v>
      </c>
      <c r="AL150">
        <f t="shared" ca="1" si="34"/>
        <v>0.43448231071419502</v>
      </c>
    </row>
    <row r="151" spans="1:38" hidden="1">
      <c r="A151" t="str">
        <f ca="1">IF(ISNA(A$1), 0, OFFSET(data!$A$1, ROW()-1, A$1-1))</f>
        <v>Oahu</v>
      </c>
      <c r="B151">
        <f ca="1">IF(ISNA(B$1), 0, OFFSET(data!$A$1, ROW()-1, B$1-1))</f>
        <v>2025</v>
      </c>
      <c r="C151" t="str">
        <f ca="1">IF(ISNA(C$1), 0, OFFSET(data!$A$1, ROW()-1, C$1-1))</f>
        <v>2025-02-02-08:00</v>
      </c>
      <c r="D151">
        <f ca="1">IF(ISNA(D$1), 0, OFFSET(data!$A$1, ROW()-1, D$1-1))</f>
        <v>119.750645646718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848.87154766498395</v>
      </c>
      <c r="L151">
        <f ca="1">IF(ISNA(L$1), 0, OFFSET(data!$A$1, ROW()-1, L$1-1))</f>
        <v>57.599999999999902</v>
      </c>
      <c r="M151">
        <f ca="1">IF(ISNA(M$1), 0, OFFSET(data!$A$1, ROW()-1, M$1-1))</f>
        <v>7.4626951284196804E-3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1026.2296560068301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868.31969784600005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157.90995816083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58.352639020850198</v>
      </c>
      <c r="AA151" t="str">
        <f ca="1">IF(ISNA(AA$1), #N/A, OFFSET(data!$A$1, ROW()-1, AA$1-1))</f>
        <v>typical</v>
      </c>
      <c r="AB151">
        <f t="shared" ca="1" si="24"/>
        <v>2025</v>
      </c>
      <c r="AC151">
        <f t="shared" ca="1" si="25"/>
        <v>2</v>
      </c>
      <c r="AD151" t="str">
        <f t="shared" ca="1" si="26"/>
        <v>02/02/2025</v>
      </c>
      <c r="AE151" t="str">
        <f t="shared" ca="1" si="27"/>
        <v/>
      </c>
      <c r="AF151" s="6">
        <f t="shared" ca="1" si="28"/>
        <v>5.8352639020850201E-2</v>
      </c>
      <c r="AG151">
        <f t="shared" ca="1" si="29"/>
        <v>1026.2296560068301</v>
      </c>
      <c r="AH151">
        <f t="shared" ca="1" si="30"/>
        <v>0</v>
      </c>
      <c r="AI151">
        <f t="shared" ca="1" si="31"/>
        <v>0</v>
      </c>
      <c r="AJ151">
        <f t="shared" ca="1" si="32"/>
        <v>848.87154766498395</v>
      </c>
      <c r="AK151">
        <f t="shared" ca="1" si="33"/>
        <v>57.599999999999902</v>
      </c>
      <c r="AL151">
        <f t="shared" ca="1" si="34"/>
        <v>7.4626951284196804E-3</v>
      </c>
    </row>
    <row r="152" spans="1:38" hidden="1">
      <c r="A152" t="str">
        <f ca="1">IF(ISNA(A$1), 0, OFFSET(data!$A$1, ROW()-1, A$1-1))</f>
        <v>Oahu</v>
      </c>
      <c r="B152">
        <f ca="1">IF(ISNA(B$1), 0, OFFSET(data!$A$1, ROW()-1, B$1-1))</f>
        <v>2025</v>
      </c>
      <c r="C152" t="str">
        <f ca="1">IF(ISNA(C$1), 0, OFFSET(data!$A$1, ROW()-1, C$1-1))</f>
        <v>2025-02-02-10:00</v>
      </c>
      <c r="D152">
        <f ca="1">IF(ISNA(D$1), 0, OFFSET(data!$A$1, ROW()-1, D$1-1))</f>
        <v>119.750645646718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919.80687973373904</v>
      </c>
      <c r="L152">
        <f ca="1">IF(ISNA(L$1), 0, OFFSET(data!$A$1, ROW()-1, L$1-1))</f>
        <v>57.599999999999902</v>
      </c>
      <c r="M152">
        <f ca="1">IF(ISNA(M$1), 0, OFFSET(data!$A$1, ROW()-1, M$1-1))</f>
        <v>13.9338895143689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1111.09141489482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920.421279325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40.6701355698264</v>
      </c>
      <c r="X152">
        <f ca="1">IF(ISNA(X$1), 0, OFFSET(data!$A$1, ROW()-1, X$1-1))</f>
        <v>0</v>
      </c>
      <c r="Y152">
        <f ca="1">IF(ISNA(Y$1), 0, OFFSET(data!$A$1, ROW()-1, Y$1-1))</f>
        <v>150</v>
      </c>
      <c r="Z152">
        <f ca="1">IF(ISNA(Z$1), 0, OFFSET(data!$A$1, ROW()-1, Z$1-1))</f>
        <v>58.352639020850198</v>
      </c>
      <c r="AA152" t="str">
        <f ca="1">IF(ISNA(AA$1), #N/A, OFFSET(data!$A$1, ROW()-1, AA$1-1))</f>
        <v>typical</v>
      </c>
      <c r="AB152">
        <f t="shared" ca="1" si="24"/>
        <v>2025</v>
      </c>
      <c r="AC152">
        <f t="shared" ca="1" si="25"/>
        <v>2</v>
      </c>
      <c r="AD152" t="str">
        <f t="shared" ca="1" si="26"/>
        <v>02/02/2025</v>
      </c>
      <c r="AE152" t="str">
        <f t="shared" ca="1" si="27"/>
        <v/>
      </c>
      <c r="AF152" s="6">
        <f t="shared" ca="1" si="28"/>
        <v>5.8352639020850201E-2</v>
      </c>
      <c r="AG152">
        <f t="shared" ca="1" si="29"/>
        <v>961.09141489482636</v>
      </c>
      <c r="AH152">
        <f t="shared" ca="1" si="30"/>
        <v>150</v>
      </c>
      <c r="AI152">
        <f t="shared" ca="1" si="31"/>
        <v>0</v>
      </c>
      <c r="AJ152">
        <f t="shared" ca="1" si="32"/>
        <v>919.80687973373904</v>
      </c>
      <c r="AK152">
        <f t="shared" ca="1" si="33"/>
        <v>57.599999999999902</v>
      </c>
      <c r="AL152">
        <f t="shared" ca="1" si="34"/>
        <v>13.9338895143689</v>
      </c>
    </row>
    <row r="153" spans="1:38" hidden="1">
      <c r="A153" t="str">
        <f ca="1">IF(ISNA(A$1), 0, OFFSET(data!$A$1, ROW()-1, A$1-1))</f>
        <v>Oahu</v>
      </c>
      <c r="B153">
        <f ca="1">IF(ISNA(B$1), 0, OFFSET(data!$A$1, ROW()-1, B$1-1))</f>
        <v>2025</v>
      </c>
      <c r="C153" t="str">
        <f ca="1">IF(ISNA(C$1), 0, OFFSET(data!$A$1, ROW()-1, C$1-1))</f>
        <v>2025-02-02-12:00</v>
      </c>
      <c r="D153">
        <f ca="1">IF(ISNA(D$1), 0, OFFSET(data!$A$1, ROW()-1, D$1-1))</f>
        <v>119.750645646718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1065.0645199079099</v>
      </c>
      <c r="L153">
        <f ca="1">IF(ISNA(L$1), 0, OFFSET(data!$A$1, ROW()-1, L$1-1))</f>
        <v>57.599999999999902</v>
      </c>
      <c r="M153">
        <f ca="1">IF(ISNA(M$1), 0, OFFSET(data!$A$1, ROW()-1, M$1-1))</f>
        <v>33.330514034672703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1275.7456795892999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922.85806758199999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352.88761200730698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58.352639020850198</v>
      </c>
      <c r="AA153" t="str">
        <f ca="1">IF(ISNA(AA$1), #N/A, OFFSET(data!$A$1, ROW()-1, AA$1-1))</f>
        <v>typical</v>
      </c>
      <c r="AB153">
        <f t="shared" ca="1" si="24"/>
        <v>2025</v>
      </c>
      <c r="AC153">
        <f t="shared" ca="1" si="25"/>
        <v>2</v>
      </c>
      <c r="AD153" t="str">
        <f t="shared" ca="1" si="26"/>
        <v>02/02/2025</v>
      </c>
      <c r="AE153" t="str">
        <f t="shared" ca="1" si="27"/>
        <v>02/02/2025</v>
      </c>
      <c r="AF153" s="6">
        <f t="shared" ca="1" si="28"/>
        <v>5.8352639020850201E-2</v>
      </c>
      <c r="AG153">
        <f t="shared" ca="1" si="29"/>
        <v>1275.745679589307</v>
      </c>
      <c r="AH153">
        <f t="shared" ca="1" si="30"/>
        <v>0</v>
      </c>
      <c r="AI153">
        <f t="shared" ca="1" si="31"/>
        <v>0</v>
      </c>
      <c r="AJ153">
        <f t="shared" ca="1" si="32"/>
        <v>1065.0645199079099</v>
      </c>
      <c r="AK153">
        <f t="shared" ca="1" si="33"/>
        <v>57.599999999999902</v>
      </c>
      <c r="AL153">
        <f t="shared" ca="1" si="34"/>
        <v>33.330514034672703</v>
      </c>
    </row>
    <row r="154" spans="1:38" hidden="1">
      <c r="A154" t="str">
        <f ca="1">IF(ISNA(A$1), 0, OFFSET(data!$A$1, ROW()-1, A$1-1))</f>
        <v>Oahu</v>
      </c>
      <c r="B154">
        <f ca="1">IF(ISNA(B$1), 0, OFFSET(data!$A$1, ROW()-1, B$1-1))</f>
        <v>2025</v>
      </c>
      <c r="C154" t="str">
        <f ca="1">IF(ISNA(C$1), 0, OFFSET(data!$A$1, ROW()-1, C$1-1))</f>
        <v>2025-02-02-14:00</v>
      </c>
      <c r="D154">
        <f ca="1">IF(ISNA(D$1), 0, OFFSET(data!$A$1, ROW()-1, D$1-1))</f>
        <v>119.750645646718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53.790148202850702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1246.8620460745001</v>
      </c>
      <c r="L154">
        <f ca="1">IF(ISNA(L$1), 0, OFFSET(data!$A$1, ROW()-1, L$1-1))</f>
        <v>57.599999999999902</v>
      </c>
      <c r="M154">
        <f ca="1">IF(ISNA(M$1), 0, OFFSET(data!$A$1, ROW()-1, M$1-1))</f>
        <v>37.959879748350701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1515.96271967242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919.08846173899997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446.874257933428</v>
      </c>
      <c r="X154">
        <f ca="1">IF(ISNA(X$1), 0, OFFSET(data!$A$1, ROW()-1, X$1-1))</f>
        <v>0</v>
      </c>
      <c r="Y154">
        <f ca="1">IF(ISNA(Y$1), 0, OFFSET(data!$A$1, ROW()-1, Y$1-1))</f>
        <v>150</v>
      </c>
      <c r="Z154">
        <f ca="1">IF(ISNA(Z$1), 0, OFFSET(data!$A$1, ROW()-1, Z$1-1))</f>
        <v>58.352639020850198</v>
      </c>
      <c r="AA154" t="str">
        <f ca="1">IF(ISNA(AA$1), #N/A, OFFSET(data!$A$1, ROW()-1, AA$1-1))</f>
        <v>typical</v>
      </c>
      <c r="AB154">
        <f t="shared" ca="1" si="24"/>
        <v>2025</v>
      </c>
      <c r="AC154">
        <f t="shared" ca="1" si="25"/>
        <v>2</v>
      </c>
      <c r="AD154" t="str">
        <f t="shared" ca="1" si="26"/>
        <v>02/02/2025</v>
      </c>
      <c r="AE154" t="str">
        <f t="shared" ca="1" si="27"/>
        <v/>
      </c>
      <c r="AF154" s="6">
        <f t="shared" ca="1" si="28"/>
        <v>5.8352639020850201E-2</v>
      </c>
      <c r="AG154">
        <f t="shared" ca="1" si="29"/>
        <v>1365.962719672428</v>
      </c>
      <c r="AH154">
        <f t="shared" ca="1" si="30"/>
        <v>150</v>
      </c>
      <c r="AI154">
        <f t="shared" ca="1" si="31"/>
        <v>0</v>
      </c>
      <c r="AJ154">
        <f t="shared" ca="1" si="32"/>
        <v>1246.8620460745001</v>
      </c>
      <c r="AK154">
        <f t="shared" ca="1" si="33"/>
        <v>57.599999999999902</v>
      </c>
      <c r="AL154">
        <f t="shared" ca="1" si="34"/>
        <v>37.959879748350701</v>
      </c>
    </row>
    <row r="155" spans="1:38" hidden="1">
      <c r="A155" t="str">
        <f ca="1">IF(ISNA(A$1), 0, OFFSET(data!$A$1, ROW()-1, A$1-1))</f>
        <v>Oahu</v>
      </c>
      <c r="B155">
        <f ca="1">IF(ISNA(B$1), 0, OFFSET(data!$A$1, ROW()-1, B$1-1))</f>
        <v>2025</v>
      </c>
      <c r="C155" t="str">
        <f ca="1">IF(ISNA(C$1), 0, OFFSET(data!$A$1, ROW()-1, C$1-1))</f>
        <v>2025-02-02-16:00</v>
      </c>
      <c r="D155">
        <f ca="1">IF(ISNA(D$1), 0, OFFSET(data!$A$1, ROW()-1, D$1-1))</f>
        <v>119.750645646718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1134.4833933299899</v>
      </c>
      <c r="L155">
        <f ca="1">IF(ISNA(L$1), 0, OFFSET(data!$A$1, ROW()-1, L$1-1))</f>
        <v>57.599999999999902</v>
      </c>
      <c r="M155">
        <f ca="1">IF(ISNA(M$1), 0, OFFSET(data!$A$1, ROW()-1, M$1-1))</f>
        <v>33.684859995150497</v>
      </c>
      <c r="N155">
        <f ca="1">IF(ISNA(N$1), 0, OFFSET(data!$A$1, ROW()-1, N$1-1))</f>
        <v>-1.4210854715202001E-14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1345.5188989718599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897.38621434599997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325.047303192806</v>
      </c>
      <c r="X155">
        <f ca="1">IF(ISNA(X$1), 0, OFFSET(data!$A$1, ROW()-1, X$1-1))</f>
        <v>0</v>
      </c>
      <c r="Y155">
        <f ca="1">IF(ISNA(Y$1), 0, OFFSET(data!$A$1, ROW()-1, Y$1-1))</f>
        <v>123.08538143305999</v>
      </c>
      <c r="Z155">
        <f ca="1">IF(ISNA(Z$1), 0, OFFSET(data!$A$1, ROW()-1, Z$1-1))</f>
        <v>58.352639020850198</v>
      </c>
      <c r="AA155" t="str">
        <f ca="1">IF(ISNA(AA$1), #N/A, OFFSET(data!$A$1, ROW()-1, AA$1-1))</f>
        <v>typical</v>
      </c>
      <c r="AB155">
        <f t="shared" ca="1" si="24"/>
        <v>2025</v>
      </c>
      <c r="AC155">
        <f t="shared" ca="1" si="25"/>
        <v>2</v>
      </c>
      <c r="AD155" t="str">
        <f t="shared" ca="1" si="26"/>
        <v>02/02/2025</v>
      </c>
      <c r="AE155" t="str">
        <f t="shared" ca="1" si="27"/>
        <v/>
      </c>
      <c r="AF155" s="6">
        <f t="shared" ca="1" si="28"/>
        <v>5.8352639020850201E-2</v>
      </c>
      <c r="AG155">
        <f t="shared" ca="1" si="29"/>
        <v>1222.433517538806</v>
      </c>
      <c r="AH155">
        <f t="shared" ca="1" si="30"/>
        <v>123.08538143305999</v>
      </c>
      <c r="AI155">
        <f t="shared" ca="1" si="31"/>
        <v>0</v>
      </c>
      <c r="AJ155">
        <f t="shared" ca="1" si="32"/>
        <v>1134.4833933299899</v>
      </c>
      <c r="AK155">
        <f t="shared" ca="1" si="33"/>
        <v>57.599999999999902</v>
      </c>
      <c r="AL155">
        <f t="shared" ca="1" si="34"/>
        <v>33.684859995150497</v>
      </c>
    </row>
    <row r="156" spans="1:38" hidden="1">
      <c r="A156" t="str">
        <f ca="1">IF(ISNA(A$1), 0, OFFSET(data!$A$1, ROW()-1, A$1-1))</f>
        <v>Oahu</v>
      </c>
      <c r="B156">
        <f ca="1">IF(ISNA(B$1), 0, OFFSET(data!$A$1, ROW()-1, B$1-1))</f>
        <v>2025</v>
      </c>
      <c r="C156" t="str">
        <f ca="1">IF(ISNA(C$1), 0, OFFSET(data!$A$1, ROW()-1, C$1-1))</f>
        <v>2025-02-02-18:00</v>
      </c>
      <c r="D156">
        <f ca="1">IF(ISNA(D$1), 0, OFFSET(data!$A$1, ROW()-1, D$1-1))</f>
        <v>119.750645646718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120.535458164167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1.91598738406127</v>
      </c>
      <c r="L156">
        <f ca="1">IF(ISNA(L$1), 0, OFFSET(data!$A$1, ROW()-1, L$1-1))</f>
        <v>57.599999999999902</v>
      </c>
      <c r="M156">
        <f ca="1">IF(ISNA(M$1), 0, OFFSET(data!$A$1, ROW()-1, M$1-1))</f>
        <v>45.714678596153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523.71676979109998</v>
      </c>
      <c r="R156">
        <f ca="1">IF(ISNA(R$1), 0, OFFSET(data!$A$1, ROW()-1, R$1-1))</f>
        <v>0</v>
      </c>
      <c r="S156">
        <f ca="1">IF(ISNA(S$1), 0, OFFSET(data!$A$1, ROW()-1, S$1-1))</f>
        <v>150</v>
      </c>
      <c r="T156">
        <f ca="1">IF(ISNA(T$1), 0, OFFSET(data!$A$1, ROW()-1, T$1-1))</f>
        <v>962.45252827299998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-288.73575848190001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208.53398718329001</v>
      </c>
      <c r="AA156" t="str">
        <f ca="1">IF(ISNA(AA$1), #N/A, OFFSET(data!$A$1, ROW()-1, AA$1-1))</f>
        <v>typical</v>
      </c>
      <c r="AB156">
        <f t="shared" ca="1" si="24"/>
        <v>2025</v>
      </c>
      <c r="AC156">
        <f t="shared" ca="1" si="25"/>
        <v>2</v>
      </c>
      <c r="AD156" t="str">
        <f t="shared" ca="1" si="26"/>
        <v>02/02/2025</v>
      </c>
      <c r="AE156" t="str">
        <f t="shared" ca="1" si="27"/>
        <v/>
      </c>
      <c r="AF156" s="6">
        <f t="shared" ca="1" si="28"/>
        <v>0.20853398718329</v>
      </c>
      <c r="AG156">
        <f t="shared" ca="1" si="29"/>
        <v>673.71676979109998</v>
      </c>
      <c r="AH156">
        <f t="shared" ca="1" si="30"/>
        <v>150</v>
      </c>
      <c r="AI156">
        <f t="shared" ca="1" si="31"/>
        <v>0</v>
      </c>
      <c r="AJ156">
        <f t="shared" ca="1" si="32"/>
        <v>1.91598738406127</v>
      </c>
      <c r="AK156">
        <f t="shared" ca="1" si="33"/>
        <v>57.599999999999902</v>
      </c>
      <c r="AL156">
        <f t="shared" ca="1" si="34"/>
        <v>45.714678596153</v>
      </c>
    </row>
    <row r="157" spans="1:38" hidden="1">
      <c r="A157" t="str">
        <f ca="1">IF(ISNA(A$1), 0, OFFSET(data!$A$1, ROW()-1, A$1-1))</f>
        <v>Oahu</v>
      </c>
      <c r="B157">
        <f ca="1">IF(ISNA(B$1), 0, OFFSET(data!$A$1, ROW()-1, B$1-1))</f>
        <v>2025</v>
      </c>
      <c r="C157" t="str">
        <f ca="1">IF(ISNA(C$1), 0, OFFSET(data!$A$1, ROW()-1, C$1-1))</f>
        <v>2025-02-02-20:00</v>
      </c>
      <c r="D157">
        <f ca="1">IF(ISNA(D$1), 0, OFFSET(data!$A$1, ROW()-1, D$1-1))</f>
        <v>119.750645646718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80.836194916404196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436.38684056312201</v>
      </c>
      <c r="R157">
        <f ca="1">IF(ISNA(R$1), 0, OFFSET(data!$A$1, ROW()-1, R$1-1))</f>
        <v>0</v>
      </c>
      <c r="S157">
        <f ca="1">IF(ISNA(S$1), 0, OFFSET(data!$A$1, ROW()-1, S$1-1))</f>
        <v>143.36270672777701</v>
      </c>
      <c r="T157">
        <f ca="1">IF(ISNA(T$1), 0, OFFSET(data!$A$1, ROW()-1, T$1-1))</f>
        <v>828.21363898699997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-248.46409169609899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75.782648079026202</v>
      </c>
      <c r="AA157" t="str">
        <f ca="1">IF(ISNA(AA$1), #N/A, OFFSET(data!$A$1, ROW()-1, AA$1-1))</f>
        <v>typical</v>
      </c>
      <c r="AB157">
        <f t="shared" ca="1" si="24"/>
        <v>2025</v>
      </c>
      <c r="AC157">
        <f t="shared" ca="1" si="25"/>
        <v>2</v>
      </c>
      <c r="AD157" t="str">
        <f t="shared" ca="1" si="26"/>
        <v>02/02/2025</v>
      </c>
      <c r="AE157" t="str">
        <f t="shared" ca="1" si="27"/>
        <v/>
      </c>
      <c r="AF157" s="6">
        <f t="shared" ca="1" si="28"/>
        <v>7.5782648079026196E-2</v>
      </c>
      <c r="AG157">
        <f t="shared" ca="1" si="29"/>
        <v>579.74954729090098</v>
      </c>
      <c r="AH157">
        <f t="shared" ca="1" si="30"/>
        <v>143.36270672777701</v>
      </c>
      <c r="AI157">
        <f t="shared" ca="1" si="31"/>
        <v>0</v>
      </c>
      <c r="AJ157">
        <f t="shared" ca="1" si="32"/>
        <v>0</v>
      </c>
      <c r="AK157">
        <f t="shared" ca="1" si="33"/>
        <v>57.599999999999902</v>
      </c>
      <c r="AL157">
        <f t="shared" ca="1" si="34"/>
        <v>80.836194916404196</v>
      </c>
    </row>
    <row r="158" spans="1:38" hidden="1">
      <c r="A158" t="str">
        <f ca="1">IF(ISNA(A$1), 0, OFFSET(data!$A$1, ROW()-1, A$1-1))</f>
        <v>Oahu</v>
      </c>
      <c r="B158">
        <f ca="1">IF(ISNA(B$1), 0, OFFSET(data!$A$1, ROW()-1, B$1-1))</f>
        <v>2025</v>
      </c>
      <c r="C158" t="str">
        <f ca="1">IF(ISNA(C$1), 0, OFFSET(data!$A$1, ROW()-1, C$1-1))</f>
        <v>2025-02-02-22:00</v>
      </c>
      <c r="D158">
        <f ca="1">IF(ISNA(D$1), 0, OFFSET(data!$A$1, ROW()-1, D$1-1))</f>
        <v>119.750645646718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75.703568169902894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431.25421381662102</v>
      </c>
      <c r="R158">
        <f ca="1">IF(ISNA(R$1), 0, OFFSET(data!$A$1, ROW()-1, R$1-1))</f>
        <v>0</v>
      </c>
      <c r="S158">
        <f ca="1">IF(ISNA(S$1), 0, OFFSET(data!$A$1, ROW()-1, S$1-1))</f>
        <v>2.4130369756788599</v>
      </c>
      <c r="T158">
        <f ca="1">IF(ISNA(T$1), 0, OFFSET(data!$A$1, ROW()-1, T$1-1))</f>
        <v>619.52464398899997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-185.85739319669901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75.782648079026202</v>
      </c>
      <c r="AA158" t="str">
        <f ca="1">IF(ISNA(AA$1), #N/A, OFFSET(data!$A$1, ROW()-1, AA$1-1))</f>
        <v>typical</v>
      </c>
      <c r="AB158">
        <f t="shared" ca="1" si="24"/>
        <v>2025</v>
      </c>
      <c r="AC158">
        <f t="shared" ca="1" si="25"/>
        <v>2</v>
      </c>
      <c r="AD158" t="str">
        <f t="shared" ca="1" si="26"/>
        <v>02/02/2025</v>
      </c>
      <c r="AE158" t="str">
        <f t="shared" ca="1" si="27"/>
        <v/>
      </c>
      <c r="AF158" s="6">
        <f t="shared" ca="1" si="28"/>
        <v>7.5782648079026196E-2</v>
      </c>
      <c r="AG158">
        <f t="shared" ca="1" si="29"/>
        <v>433.66725079230093</v>
      </c>
      <c r="AH158">
        <f t="shared" ca="1" si="30"/>
        <v>2.4130369756788599</v>
      </c>
      <c r="AI158">
        <f t="shared" ca="1" si="31"/>
        <v>0</v>
      </c>
      <c r="AJ158">
        <f t="shared" ca="1" si="32"/>
        <v>0</v>
      </c>
      <c r="AK158">
        <f t="shared" ca="1" si="33"/>
        <v>57.599999999999902</v>
      </c>
      <c r="AL158">
        <f t="shared" ca="1" si="34"/>
        <v>75.703568169902894</v>
      </c>
    </row>
    <row r="159" spans="1:38" hidden="1">
      <c r="A159" t="str">
        <f ca="1">IF(ISNA(A$1), 0, OFFSET(data!$A$1, ROW()-1, A$1-1))</f>
        <v>Oahu</v>
      </c>
      <c r="B159">
        <f ca="1">IF(ISNA(B$1), 0, OFFSET(data!$A$1, ROW()-1, B$1-1))</f>
        <v>2025</v>
      </c>
      <c r="C159" t="str">
        <f ca="1">IF(ISNA(C$1), 0, OFFSET(data!$A$1, ROW()-1, C$1-1))</f>
        <v>2025-02-06-00:00</v>
      </c>
      <c r="D159">
        <f ca="1">IF(ISNA(D$1), 0, OFFSET(data!$A$1, ROW()-1, D$1-1))</f>
        <v>119.750645646718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19.604064855881202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151.08673731580001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348.04144781839898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497.20206831199999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-149.16062049359999</v>
      </c>
      <c r="X159">
        <f ca="1">IF(ISNA(X$1), 0, OFFSET(data!$A$1, ROW()-1, X$1-1))</f>
        <v>0</v>
      </c>
      <c r="Y159">
        <f ca="1">IF(ISNA(Y$1), 0, OFFSET(data!$A$1, ROW()-1, Y$1-1))</f>
        <v>0</v>
      </c>
      <c r="Z159">
        <f ca="1">IF(ISNA(Z$1), 0, OFFSET(data!$A$1, ROW()-1, Z$1-1))</f>
        <v>713.44324846632696</v>
      </c>
      <c r="AA159" t="str">
        <f ca="1">IF(ISNA(AA$1), #N/A, OFFSET(data!$A$1, ROW()-1, AA$1-1))</f>
        <v>peak</v>
      </c>
      <c r="AB159">
        <f t="shared" ca="1" si="24"/>
        <v>2025</v>
      </c>
      <c r="AC159">
        <f t="shared" ca="1" si="25"/>
        <v>2</v>
      </c>
      <c r="AD159" t="str">
        <f t="shared" ca="1" si="26"/>
        <v>02/06/2025</v>
      </c>
      <c r="AE159" t="str">
        <f t="shared" ca="1" si="27"/>
        <v/>
      </c>
      <c r="AF159" s="6">
        <f t="shared" ca="1" si="28"/>
        <v>0.71344324846632701</v>
      </c>
      <c r="AG159">
        <f t="shared" ca="1" si="29"/>
        <v>348.0414478184</v>
      </c>
      <c r="AH159">
        <f t="shared" ca="1" si="30"/>
        <v>0</v>
      </c>
      <c r="AI159">
        <f t="shared" ca="1" si="31"/>
        <v>0</v>
      </c>
      <c r="AJ159">
        <f t="shared" ca="1" si="32"/>
        <v>0</v>
      </c>
      <c r="AK159">
        <f t="shared" ca="1" si="33"/>
        <v>57.599999999999902</v>
      </c>
      <c r="AL159">
        <f t="shared" ca="1" si="34"/>
        <v>151.08673731580001</v>
      </c>
    </row>
    <row r="160" spans="1:38" hidden="1">
      <c r="A160" t="str">
        <f ca="1">IF(ISNA(A$1), 0, OFFSET(data!$A$1, ROW()-1, A$1-1))</f>
        <v>Oahu</v>
      </c>
      <c r="B160">
        <f ca="1">IF(ISNA(B$1), 0, OFFSET(data!$A$1, ROW()-1, B$1-1))</f>
        <v>2025</v>
      </c>
      <c r="C160" t="str">
        <f ca="1">IF(ISNA(C$1), 0, OFFSET(data!$A$1, ROW()-1, C$1-1))</f>
        <v>2025-02-06-02:00</v>
      </c>
      <c r="D160">
        <f ca="1">IF(ISNA(D$1), 0, OFFSET(data!$A$1, ROW()-1, D$1-1))</f>
        <v>119.750645646718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146.094540341146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323.44518598786402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442.38955220100001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-118.944366213135</v>
      </c>
      <c r="X160">
        <f ca="1">IF(ISNA(X$1), 0, OFFSET(data!$A$1, ROW()-1, X$1-1))</f>
        <v>0</v>
      </c>
      <c r="Y160">
        <f ca="1">IF(ISNA(Y$1), 0, OFFSET(data!$A$1, ROW()-1, Y$1-1))</f>
        <v>0</v>
      </c>
      <c r="Z160">
        <f ca="1">IF(ISNA(Z$1), 0, OFFSET(data!$A$1, ROW()-1, Z$1-1))</f>
        <v>713.44324846632196</v>
      </c>
      <c r="AA160" t="str">
        <f ca="1">IF(ISNA(AA$1), #N/A, OFFSET(data!$A$1, ROW()-1, AA$1-1))</f>
        <v>peak</v>
      </c>
      <c r="AB160">
        <f t="shared" ca="1" si="24"/>
        <v>2025</v>
      </c>
      <c r="AC160">
        <f t="shared" ca="1" si="25"/>
        <v>2</v>
      </c>
      <c r="AD160" t="str">
        <f t="shared" ca="1" si="26"/>
        <v>02/06/2025</v>
      </c>
      <c r="AE160" t="str">
        <f t="shared" ca="1" si="27"/>
        <v/>
      </c>
      <c r="AF160" s="6">
        <f t="shared" ca="1" si="28"/>
        <v>0.71344324846632201</v>
      </c>
      <c r="AG160">
        <f t="shared" ca="1" si="29"/>
        <v>323.44518598786499</v>
      </c>
      <c r="AH160">
        <f t="shared" ca="1" si="30"/>
        <v>0</v>
      </c>
      <c r="AI160">
        <f t="shared" ca="1" si="31"/>
        <v>0</v>
      </c>
      <c r="AJ160">
        <f t="shared" ca="1" si="32"/>
        <v>0</v>
      </c>
      <c r="AK160">
        <f t="shared" ca="1" si="33"/>
        <v>57.599999999999902</v>
      </c>
      <c r="AL160">
        <f t="shared" ca="1" si="34"/>
        <v>146.094540341146</v>
      </c>
    </row>
    <row r="161" spans="1:38" hidden="1">
      <c r="A161" t="str">
        <f ca="1">IF(ISNA(A$1), 0, OFFSET(data!$A$1, ROW()-1, A$1-1))</f>
        <v>Oahu</v>
      </c>
      <c r="B161">
        <f ca="1">IF(ISNA(B$1), 0, OFFSET(data!$A$1, ROW()-1, B$1-1))</f>
        <v>2025</v>
      </c>
      <c r="C161" t="str">
        <f ca="1">IF(ISNA(C$1), 0, OFFSET(data!$A$1, ROW()-1, C$1-1))</f>
        <v>2025-02-06-04:00</v>
      </c>
      <c r="D161">
        <f ca="1">IF(ISNA(D$1), 0, OFFSET(data!$A$1, ROW()-1, D$1-1))</f>
        <v>119.750645646718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79.730708131803496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127.55653838237799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384.63789216089998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549.482703087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-164.8448109261</v>
      </c>
      <c r="X161">
        <f ca="1">IF(ISNA(X$1), 0, OFFSET(data!$A$1, ROW()-1, X$1-1))</f>
        <v>0</v>
      </c>
      <c r="Y161">
        <f ca="1">IF(ISNA(Y$1), 0, OFFSET(data!$A$1, ROW()-1, Y$1-1))</f>
        <v>0</v>
      </c>
      <c r="Z161">
        <f ca="1">IF(ISNA(Z$1), 0, OFFSET(data!$A$1, ROW()-1, Z$1-1))</f>
        <v>713.44324846632696</v>
      </c>
      <c r="AA161" t="str">
        <f ca="1">IF(ISNA(AA$1), #N/A, OFFSET(data!$A$1, ROW()-1, AA$1-1))</f>
        <v>peak</v>
      </c>
      <c r="AB161">
        <f t="shared" ca="1" si="24"/>
        <v>2025</v>
      </c>
      <c r="AC161">
        <f t="shared" ca="1" si="25"/>
        <v>2</v>
      </c>
      <c r="AD161" t="str">
        <f t="shared" ca="1" si="26"/>
        <v>02/06/2025</v>
      </c>
      <c r="AE161" t="str">
        <f t="shared" ca="1" si="27"/>
        <v/>
      </c>
      <c r="AF161" s="6">
        <f t="shared" ca="1" si="28"/>
        <v>0.71344324846632701</v>
      </c>
      <c r="AG161">
        <f t="shared" ca="1" si="29"/>
        <v>384.63789216090004</v>
      </c>
      <c r="AH161">
        <f t="shared" ca="1" si="30"/>
        <v>0</v>
      </c>
      <c r="AI161">
        <f t="shared" ca="1" si="31"/>
        <v>0</v>
      </c>
      <c r="AJ161">
        <f t="shared" ca="1" si="32"/>
        <v>0</v>
      </c>
      <c r="AK161">
        <f t="shared" ca="1" si="33"/>
        <v>57.599999999999902</v>
      </c>
      <c r="AL161">
        <f t="shared" ca="1" si="34"/>
        <v>127.55653838237799</v>
      </c>
    </row>
    <row r="162" spans="1:38" hidden="1">
      <c r="A162" t="str">
        <f ca="1">IF(ISNA(A$1), 0, OFFSET(data!$A$1, ROW()-1, A$1-1))</f>
        <v>Oahu</v>
      </c>
      <c r="B162">
        <f ca="1">IF(ISNA(B$1), 0, OFFSET(data!$A$1, ROW()-1, B$1-1))</f>
        <v>2025</v>
      </c>
      <c r="C162" t="str">
        <f ca="1">IF(ISNA(C$1), 0, OFFSET(data!$A$1, ROW()-1, C$1-1))</f>
        <v>2025-02-06-06:00</v>
      </c>
      <c r="D162">
        <f ca="1">IF(ISNA(D$1), 0, OFFSET(data!$A$1, ROW()-1, D$1-1))</f>
        <v>119.750645646718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121.840431268926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0</v>
      </c>
      <c r="L162">
        <f ca="1">IF(ISNA(L$1), 0, OFFSET(data!$A$1, ROW()-1, L$1-1))</f>
        <v>57.599999999999902</v>
      </c>
      <c r="M162">
        <f ca="1">IF(ISNA(M$1), 0, OFFSET(data!$A$1, ROW()-1, M$1-1))</f>
        <v>145.468489575055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622.85956649069897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889.79938070100002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-266.93981421029901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863.62459662876802</v>
      </c>
      <c r="AA162" t="str">
        <f ca="1">IF(ISNA(AA$1), #N/A, OFFSET(data!$A$1, ROW()-1, AA$1-1))</f>
        <v>peak</v>
      </c>
      <c r="AB162">
        <f t="shared" ca="1" si="24"/>
        <v>2025</v>
      </c>
      <c r="AC162">
        <f t="shared" ca="1" si="25"/>
        <v>2</v>
      </c>
      <c r="AD162" t="str">
        <f t="shared" ca="1" si="26"/>
        <v>02/06/2025</v>
      </c>
      <c r="AE162" t="str">
        <f t="shared" ca="1" si="27"/>
        <v/>
      </c>
      <c r="AF162" s="6">
        <f t="shared" ca="1" si="28"/>
        <v>0.863624596628768</v>
      </c>
      <c r="AG162">
        <f t="shared" ca="1" si="29"/>
        <v>622.85956649070101</v>
      </c>
      <c r="AH162">
        <f t="shared" ca="1" si="30"/>
        <v>0</v>
      </c>
      <c r="AI162">
        <f t="shared" ca="1" si="31"/>
        <v>0</v>
      </c>
      <c r="AJ162">
        <f t="shared" ca="1" si="32"/>
        <v>0</v>
      </c>
      <c r="AK162">
        <f t="shared" ca="1" si="33"/>
        <v>57.599999999999902</v>
      </c>
      <c r="AL162">
        <f t="shared" ca="1" si="34"/>
        <v>145.468489575055</v>
      </c>
    </row>
    <row r="163" spans="1:38" hidden="1">
      <c r="A163" t="str">
        <f ca="1">IF(ISNA(A$1), 0, OFFSET(data!$A$1, ROW()-1, A$1-1))</f>
        <v>Oahu</v>
      </c>
      <c r="B163">
        <f ca="1">IF(ISNA(B$1), 0, OFFSET(data!$A$1, ROW()-1, B$1-1))</f>
        <v>2025</v>
      </c>
      <c r="C163" t="str">
        <f ca="1">IF(ISNA(C$1), 0, OFFSET(data!$A$1, ROW()-1, C$1-1))</f>
        <v>2025-02-06-08:00</v>
      </c>
      <c r="D163">
        <f ca="1">IF(ISNA(D$1), 0, OFFSET(data!$A$1, ROW()-1, D$1-1))</f>
        <v>119.750645646718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840.86837468444696</v>
      </c>
      <c r="L163">
        <f ca="1">IF(ISNA(L$1), 0, OFFSET(data!$A$1, ROW()-1, L$1-1))</f>
        <v>57.599999999999902</v>
      </c>
      <c r="M163">
        <f ca="1">IF(ISNA(M$1), 0, OFFSET(data!$A$1, ROW()-1, M$1-1))</f>
        <v>133.74472108546701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1151.96374141663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968.71296797399998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183.250773442633</v>
      </c>
      <c r="X163">
        <f ca="1">IF(ISNA(X$1), 0, OFFSET(data!$A$1, ROW()-1, X$1-1))</f>
        <v>0</v>
      </c>
      <c r="Y163">
        <f ca="1">IF(ISNA(Y$1), 0, OFFSET(data!$A$1, ROW()-1, Y$1-1))</f>
        <v>0</v>
      </c>
      <c r="Z163">
        <f ca="1">IF(ISNA(Z$1), 0, OFFSET(data!$A$1, ROW()-1, Z$1-1))</f>
        <v>713.44324846632196</v>
      </c>
      <c r="AA163" t="str">
        <f ca="1">IF(ISNA(AA$1), #N/A, OFFSET(data!$A$1, ROW()-1, AA$1-1))</f>
        <v>peak</v>
      </c>
      <c r="AB163">
        <f t="shared" ca="1" si="24"/>
        <v>2025</v>
      </c>
      <c r="AC163">
        <f t="shared" ca="1" si="25"/>
        <v>2</v>
      </c>
      <c r="AD163" t="str">
        <f t="shared" ca="1" si="26"/>
        <v>02/06/2025</v>
      </c>
      <c r="AE163" t="str">
        <f t="shared" ca="1" si="27"/>
        <v/>
      </c>
      <c r="AF163" s="6">
        <f t="shared" ca="1" si="28"/>
        <v>0.71344324846632201</v>
      </c>
      <c r="AG163">
        <f t="shared" ca="1" si="29"/>
        <v>1151.963741416633</v>
      </c>
      <c r="AH163">
        <f t="shared" ca="1" si="30"/>
        <v>0</v>
      </c>
      <c r="AI163">
        <f t="shared" ca="1" si="31"/>
        <v>0</v>
      </c>
      <c r="AJ163">
        <f t="shared" ca="1" si="32"/>
        <v>840.86837468444696</v>
      </c>
      <c r="AK163">
        <f t="shared" ca="1" si="33"/>
        <v>57.599999999999902</v>
      </c>
      <c r="AL163">
        <f t="shared" ca="1" si="34"/>
        <v>133.74472108546701</v>
      </c>
    </row>
    <row r="164" spans="1:38" hidden="1">
      <c r="A164" t="str">
        <f ca="1">IF(ISNA(A$1), 0, OFFSET(data!$A$1, ROW()-1, A$1-1))</f>
        <v>Oahu</v>
      </c>
      <c r="B164">
        <f ca="1">IF(ISNA(B$1), 0, OFFSET(data!$A$1, ROW()-1, B$1-1))</f>
        <v>2025</v>
      </c>
      <c r="C164" t="str">
        <f ca="1">IF(ISNA(C$1), 0, OFFSET(data!$A$1, ROW()-1, C$1-1))</f>
        <v>2025-02-06-10:00</v>
      </c>
      <c r="D164">
        <f ca="1">IF(ISNA(D$1), 0, OFFSET(data!$A$1, ROW()-1, D$1-1))</f>
        <v>119.750645646718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1100.5441985264999</v>
      </c>
      <c r="L164">
        <f ca="1">IF(ISNA(L$1), 0, OFFSET(data!$A$1, ROW()-1, L$1-1))</f>
        <v>57.599999999999902</v>
      </c>
      <c r="M164">
        <f ca="1">IF(ISNA(M$1), 0, OFFSET(data!$A$1, ROW()-1, M$1-1))</f>
        <v>114.458602919174</v>
      </c>
      <c r="N164">
        <f ca="1">IF(ISNA(N$1), 0, OFFSET(data!$A$1, ROW()-1, N$1-1))</f>
        <v>-1.4210854715202001E-14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1392.3534470923901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1047.2022917899999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345.151155302397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713.44324846632196</v>
      </c>
      <c r="AA164" t="str">
        <f ca="1">IF(ISNA(AA$1), #N/A, OFFSET(data!$A$1, ROW()-1, AA$1-1))</f>
        <v>peak</v>
      </c>
      <c r="AB164">
        <f t="shared" ca="1" si="24"/>
        <v>2025</v>
      </c>
      <c r="AC164">
        <f t="shared" ca="1" si="25"/>
        <v>2</v>
      </c>
      <c r="AD164" t="str">
        <f t="shared" ca="1" si="26"/>
        <v>02/06/2025</v>
      </c>
      <c r="AE164" t="str">
        <f t="shared" ca="1" si="27"/>
        <v/>
      </c>
      <c r="AF164" s="6">
        <f t="shared" ca="1" si="28"/>
        <v>0.71344324846632201</v>
      </c>
      <c r="AG164">
        <f t="shared" ca="1" si="29"/>
        <v>1392.3534470923969</v>
      </c>
      <c r="AH164">
        <f t="shared" ca="1" si="30"/>
        <v>0</v>
      </c>
      <c r="AI164">
        <f t="shared" ca="1" si="31"/>
        <v>0</v>
      </c>
      <c r="AJ164">
        <f t="shared" ca="1" si="32"/>
        <v>1100.5441985264999</v>
      </c>
      <c r="AK164">
        <f t="shared" ca="1" si="33"/>
        <v>57.599999999999902</v>
      </c>
      <c r="AL164">
        <f t="shared" ca="1" si="34"/>
        <v>114.458602919174</v>
      </c>
    </row>
    <row r="165" spans="1:38" hidden="1">
      <c r="A165" t="str">
        <f ca="1">IF(ISNA(A$1), 0, OFFSET(data!$A$1, ROW()-1, A$1-1))</f>
        <v>Oahu</v>
      </c>
      <c r="B165">
        <f ca="1">IF(ISNA(B$1), 0, OFFSET(data!$A$1, ROW()-1, B$1-1))</f>
        <v>2025</v>
      </c>
      <c r="C165" t="str">
        <f ca="1">IF(ISNA(C$1), 0, OFFSET(data!$A$1, ROW()-1, C$1-1))</f>
        <v>2025-02-06-12:00</v>
      </c>
      <c r="D165">
        <f ca="1">IF(ISNA(D$1), 0, OFFSET(data!$A$1, ROW()-1, D$1-1))</f>
        <v>119.750645646718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1204.00111709162</v>
      </c>
      <c r="L165">
        <f ca="1">IF(ISNA(L$1), 0, OFFSET(data!$A$1, ROW()-1, L$1-1))</f>
        <v>57.599999999999902</v>
      </c>
      <c r="M165">
        <f ca="1">IF(ISNA(M$1), 0, OFFSET(data!$A$1, ROW()-1, M$1-1))</f>
        <v>91.884372431414405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1473.23613516975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1054.70237419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418.53376097975797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713.44324846632196</v>
      </c>
      <c r="AA165" t="str">
        <f ca="1">IF(ISNA(AA$1), #N/A, OFFSET(data!$A$1, ROW()-1, AA$1-1))</f>
        <v>peak</v>
      </c>
      <c r="AB165">
        <f t="shared" ca="1" si="24"/>
        <v>2025</v>
      </c>
      <c r="AC165">
        <f t="shared" ca="1" si="25"/>
        <v>2</v>
      </c>
      <c r="AD165" t="str">
        <f t="shared" ca="1" si="26"/>
        <v>02/06/2025</v>
      </c>
      <c r="AE165" t="str">
        <f t="shared" ca="1" si="27"/>
        <v>02/06/2025</v>
      </c>
      <c r="AF165" s="6">
        <f t="shared" ca="1" si="28"/>
        <v>0.71344324846632201</v>
      </c>
      <c r="AG165">
        <f t="shared" ca="1" si="29"/>
        <v>1473.236135169758</v>
      </c>
      <c r="AH165">
        <f t="shared" ca="1" si="30"/>
        <v>0</v>
      </c>
      <c r="AI165">
        <f t="shared" ca="1" si="31"/>
        <v>0</v>
      </c>
      <c r="AJ165">
        <f t="shared" ca="1" si="32"/>
        <v>1204.00111709162</v>
      </c>
      <c r="AK165">
        <f t="shared" ca="1" si="33"/>
        <v>57.599999999999902</v>
      </c>
      <c r="AL165">
        <f t="shared" ca="1" si="34"/>
        <v>91.884372431414405</v>
      </c>
    </row>
    <row r="166" spans="1:38" hidden="1">
      <c r="A166" t="str">
        <f ca="1">IF(ISNA(A$1), 0, OFFSET(data!$A$1, ROW()-1, A$1-1))</f>
        <v>Oahu</v>
      </c>
      <c r="B166">
        <f ca="1">IF(ISNA(B$1), 0, OFFSET(data!$A$1, ROW()-1, B$1-1))</f>
        <v>2025</v>
      </c>
      <c r="C166" t="str">
        <f ca="1">IF(ISNA(C$1), 0, OFFSET(data!$A$1, ROW()-1, C$1-1))</f>
        <v>2025-02-06-14:00</v>
      </c>
      <c r="D166">
        <f ca="1">IF(ISNA(D$1), 0, OFFSET(data!$A$1, ROW()-1, D$1-1))</f>
        <v>119.750645646718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1102.81650599412</v>
      </c>
      <c r="L166">
        <f ca="1">IF(ISNA(L$1), 0, OFFSET(data!$A$1, ROW()-1, L$1-1))</f>
        <v>57.599999999999902</v>
      </c>
      <c r="M166">
        <f ca="1">IF(ISNA(M$1), 0, OFFSET(data!$A$1, ROW()-1, M$1-1))</f>
        <v>94.925566845612195</v>
      </c>
      <c r="N166">
        <f ca="1">IF(ISNA(N$1), 0, OFFSET(data!$A$1, ROW()-1, N$1-1))</f>
        <v>-1.4210854715202001E-14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1375.0927184864499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1066.9923985200001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308.100319966455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713.44324846632196</v>
      </c>
      <c r="AA166" t="str">
        <f ca="1">IF(ISNA(AA$1), #N/A, OFFSET(data!$A$1, ROW()-1, AA$1-1))</f>
        <v>peak</v>
      </c>
      <c r="AB166">
        <f t="shared" ca="1" si="24"/>
        <v>2025</v>
      </c>
      <c r="AC166">
        <f t="shared" ca="1" si="25"/>
        <v>2</v>
      </c>
      <c r="AD166" t="str">
        <f t="shared" ca="1" si="26"/>
        <v>02/06/2025</v>
      </c>
      <c r="AE166" t="str">
        <f t="shared" ca="1" si="27"/>
        <v/>
      </c>
      <c r="AF166" s="6">
        <f t="shared" ca="1" si="28"/>
        <v>0.71344324846632201</v>
      </c>
      <c r="AG166">
        <f t="shared" ca="1" si="29"/>
        <v>1375.0927184864549</v>
      </c>
      <c r="AH166">
        <f t="shared" ca="1" si="30"/>
        <v>0</v>
      </c>
      <c r="AI166">
        <f t="shared" ca="1" si="31"/>
        <v>0</v>
      </c>
      <c r="AJ166">
        <f t="shared" ca="1" si="32"/>
        <v>1102.81650599412</v>
      </c>
      <c r="AK166">
        <f t="shared" ca="1" si="33"/>
        <v>57.599999999999902</v>
      </c>
      <c r="AL166">
        <f t="shared" ca="1" si="34"/>
        <v>94.925566845612195</v>
      </c>
    </row>
    <row r="167" spans="1:38" hidden="1">
      <c r="A167" t="str">
        <f ca="1">IF(ISNA(A$1), 0, OFFSET(data!$A$1, ROW()-1, A$1-1))</f>
        <v>Oahu</v>
      </c>
      <c r="B167">
        <f ca="1">IF(ISNA(B$1), 0, OFFSET(data!$A$1, ROW()-1, B$1-1))</f>
        <v>2025</v>
      </c>
      <c r="C167" t="str">
        <f ca="1">IF(ISNA(C$1), 0, OFFSET(data!$A$1, ROW()-1, C$1-1))</f>
        <v>2025-02-06-16:00</v>
      </c>
      <c r="D167">
        <f ca="1">IF(ISNA(D$1), 0, OFFSET(data!$A$1, ROW()-1, D$1-1))</f>
        <v>119.750645646718</v>
      </c>
      <c r="E167">
        <f ca="1">IF(ISNA(E$1), 0, OFFSET(data!$A$1, ROW()-1, E$1-1))</f>
        <v>0</v>
      </c>
      <c r="F167">
        <f ca="1">IF(ISNA(F$1), 0, OFFSET(data!$A$1, ROW()-1, F$1-1))</f>
        <v>62.557478764133599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1073.4710211884501</v>
      </c>
      <c r="L167">
        <f ca="1">IF(ISNA(L$1), 0, OFFSET(data!$A$1, ROW()-1, L$1-1))</f>
        <v>57.599999999999902</v>
      </c>
      <c r="M167">
        <f ca="1">IF(ISNA(M$1), 0, OFFSET(data!$A$1, ROW()-1, M$1-1))</f>
        <v>74.244628568487201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1387.6237741677901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1060.1219868999999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327.50178726779001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713.44324846632196</v>
      </c>
      <c r="AA167" t="str">
        <f ca="1">IF(ISNA(AA$1), #N/A, OFFSET(data!$A$1, ROW()-1, AA$1-1))</f>
        <v>peak</v>
      </c>
      <c r="AB167">
        <f t="shared" ca="1" si="24"/>
        <v>2025</v>
      </c>
      <c r="AC167">
        <f t="shared" ca="1" si="25"/>
        <v>2</v>
      </c>
      <c r="AD167" t="str">
        <f t="shared" ca="1" si="26"/>
        <v>02/06/2025</v>
      </c>
      <c r="AE167" t="str">
        <f t="shared" ca="1" si="27"/>
        <v/>
      </c>
      <c r="AF167" s="6">
        <f t="shared" ca="1" si="28"/>
        <v>0.71344324846632201</v>
      </c>
      <c r="AG167">
        <f t="shared" ca="1" si="29"/>
        <v>1387.6237741677899</v>
      </c>
      <c r="AH167">
        <f t="shared" ca="1" si="30"/>
        <v>0</v>
      </c>
      <c r="AI167">
        <f t="shared" ca="1" si="31"/>
        <v>0</v>
      </c>
      <c r="AJ167">
        <f t="shared" ca="1" si="32"/>
        <v>1073.4710211884501</v>
      </c>
      <c r="AK167">
        <f t="shared" ca="1" si="33"/>
        <v>57.599999999999902</v>
      </c>
      <c r="AL167">
        <f t="shared" ca="1" si="34"/>
        <v>74.244628568487201</v>
      </c>
    </row>
    <row r="168" spans="1:38" hidden="1">
      <c r="A168" t="str">
        <f ca="1">IF(ISNA(A$1), 0, OFFSET(data!$A$1, ROW()-1, A$1-1))</f>
        <v>Oahu</v>
      </c>
      <c r="B168">
        <f ca="1">IF(ISNA(B$1), 0, OFFSET(data!$A$1, ROW()-1, B$1-1))</f>
        <v>2025</v>
      </c>
      <c r="C168" t="str">
        <f ca="1">IF(ISNA(C$1), 0, OFFSET(data!$A$1, ROW()-1, C$1-1))</f>
        <v>2025-02-06-18:00</v>
      </c>
      <c r="D168">
        <f ca="1">IF(ISNA(D$1), 0, OFFSET(data!$A$1, ROW()-1, D$1-1))</f>
        <v>119.750645646718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260.66610551439499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2.34665541428858</v>
      </c>
      <c r="L168">
        <f ca="1">IF(ISNA(L$1), 0, OFFSET(data!$A$1, ROW()-1, L$1-1))</f>
        <v>57.599999999999902</v>
      </c>
      <c r="M168">
        <f ca="1">IF(ISNA(M$1), 0, OFFSET(data!$A$1, ROW()-1, M$1-1))</f>
        <v>103.022056750568</v>
      </c>
      <c r="N168">
        <f ca="1">IF(ISNA(N$1), 0, OFFSET(data!$A$1, ROW()-1, N$1-1))</f>
        <v>-2.7755575615628901E-17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721.58546332597098</v>
      </c>
      <c r="R168">
        <f ca="1">IF(ISNA(R$1), 0, OFFSET(data!$A$1, ROW()-1, R$1-1))</f>
        <v>0</v>
      </c>
      <c r="S168">
        <f ca="1">IF(ISNA(S$1), 0, OFFSET(data!$A$1, ROW()-1, S$1-1))</f>
        <v>89.439138600028599</v>
      </c>
      <c r="T168">
        <f ca="1">IF(ISNA(T$1), 0, OFFSET(data!$A$1, ROW()-1, T$1-1))</f>
        <v>1158.6065741800001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-347.58197225399999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866.82746626512301</v>
      </c>
      <c r="AA168" t="str">
        <f ca="1">IF(ISNA(AA$1), #N/A, OFFSET(data!$A$1, ROW()-1, AA$1-1))</f>
        <v>peak</v>
      </c>
      <c r="AB168">
        <f t="shared" ca="1" si="24"/>
        <v>2025</v>
      </c>
      <c r="AC168">
        <f t="shared" ca="1" si="25"/>
        <v>2</v>
      </c>
      <c r="AD168" t="str">
        <f t="shared" ca="1" si="26"/>
        <v>02/06/2025</v>
      </c>
      <c r="AE168" t="str">
        <f t="shared" ca="1" si="27"/>
        <v/>
      </c>
      <c r="AF168" s="6">
        <f t="shared" ca="1" si="28"/>
        <v>0.86682746626512297</v>
      </c>
      <c r="AG168">
        <f t="shared" ca="1" si="29"/>
        <v>811.02460192600006</v>
      </c>
      <c r="AH168">
        <f t="shared" ca="1" si="30"/>
        <v>89.439138600028599</v>
      </c>
      <c r="AI168">
        <f t="shared" ca="1" si="31"/>
        <v>0</v>
      </c>
      <c r="AJ168">
        <f t="shared" ca="1" si="32"/>
        <v>2.34665541428858</v>
      </c>
      <c r="AK168">
        <f t="shared" ca="1" si="33"/>
        <v>57.599999999999902</v>
      </c>
      <c r="AL168">
        <f t="shared" ca="1" si="34"/>
        <v>103.022056750568</v>
      </c>
    </row>
    <row r="169" spans="1:38" hidden="1">
      <c r="A169" t="str">
        <f ca="1">IF(ISNA(A$1), 0, OFFSET(data!$A$1, ROW()-1, A$1-1))</f>
        <v>Oahu</v>
      </c>
      <c r="B169">
        <f ca="1">IF(ISNA(B$1), 0, OFFSET(data!$A$1, ROW()-1, B$1-1))</f>
        <v>2025</v>
      </c>
      <c r="C169" t="str">
        <f ca="1">IF(ISNA(C$1), 0, OFFSET(data!$A$1, ROW()-1, C$1-1))</f>
        <v>2025-02-06-20:00</v>
      </c>
      <c r="D169">
        <f ca="1">IF(ISNA(D$1), 0, OFFSET(data!$A$1, ROW()-1, D$1-1))</f>
        <v>119.750645646718</v>
      </c>
      <c r="E169">
        <f ca="1">IF(ISNA(E$1), 0, OFFSET(data!$A$1, ROW()-1, E$1-1))</f>
        <v>0</v>
      </c>
      <c r="F169">
        <f ca="1">IF(ISNA(F$1), 0, OFFSET(data!$A$1, ROW()-1, F$1-1))</f>
        <v>178.2</v>
      </c>
      <c r="G169">
        <f ca="1">IF(ISNA(G$1), 0, OFFSET(data!$A$1, ROW()-1, G$1-1))</f>
        <v>0</v>
      </c>
      <c r="H169">
        <f ca="1">IF(ISNA(H$1), 0, OFFSET(data!$A$1, ROW()-1, H$1-1))</f>
        <v>248.928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86.908246900310303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691.38689254702797</v>
      </c>
      <c r="R169">
        <f ca="1">IF(ISNA(R$1), 0, OFFSET(data!$A$1, ROW()-1, R$1-1))</f>
        <v>0</v>
      </c>
      <c r="S169">
        <f ca="1">IF(ISNA(S$1), 0, OFFSET(data!$A$1, ROW()-1, S$1-1))</f>
        <v>30.560861399971301</v>
      </c>
      <c r="T169">
        <f ca="1">IF(ISNA(T$1), 0, OFFSET(data!$A$1, ROW()-1, T$1-1))</f>
        <v>1031.35393421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-309.40618026300001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866.82746626512301</v>
      </c>
      <c r="AA169" t="str">
        <f ca="1">IF(ISNA(AA$1), #N/A, OFFSET(data!$A$1, ROW()-1, AA$1-1))</f>
        <v>peak</v>
      </c>
      <c r="AB169">
        <f t="shared" ca="1" si="24"/>
        <v>2025</v>
      </c>
      <c r="AC169">
        <f t="shared" ca="1" si="25"/>
        <v>2</v>
      </c>
      <c r="AD169" t="str">
        <f t="shared" ca="1" si="26"/>
        <v>02/06/2025</v>
      </c>
      <c r="AE169" t="str">
        <f t="shared" ca="1" si="27"/>
        <v/>
      </c>
      <c r="AF169" s="6">
        <f t="shared" ca="1" si="28"/>
        <v>0.86682746626512297</v>
      </c>
      <c r="AG169">
        <f t="shared" ca="1" si="29"/>
        <v>721.94775394700002</v>
      </c>
      <c r="AH169">
        <f t="shared" ca="1" si="30"/>
        <v>30.560861399971301</v>
      </c>
      <c r="AI169">
        <f t="shared" ca="1" si="31"/>
        <v>0</v>
      </c>
      <c r="AJ169">
        <f t="shared" ca="1" si="32"/>
        <v>0</v>
      </c>
      <c r="AK169">
        <f t="shared" ca="1" si="33"/>
        <v>57.599999999999902</v>
      </c>
      <c r="AL169">
        <f t="shared" ca="1" si="34"/>
        <v>86.908246900310303</v>
      </c>
    </row>
    <row r="170" spans="1:38" hidden="1">
      <c r="A170" t="str">
        <f ca="1">IF(ISNA(A$1), 0, OFFSET(data!$A$1, ROW()-1, A$1-1))</f>
        <v>Oahu</v>
      </c>
      <c r="B170">
        <f ca="1">IF(ISNA(B$1), 0, OFFSET(data!$A$1, ROW()-1, B$1-1))</f>
        <v>2025</v>
      </c>
      <c r="C170" t="str">
        <f ca="1">IF(ISNA(C$1), 0, OFFSET(data!$A$1, ROW()-1, C$1-1))</f>
        <v>2025-02-06-22:00</v>
      </c>
      <c r="D170">
        <f ca="1">IF(ISNA(D$1), 0, OFFSET(data!$A$1, ROW()-1, D$1-1))</f>
        <v>119.750645646718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74.055261081387101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96.934169335994497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526.54007606409903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752.20010866300004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-225.66003259889999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863.62459662876802</v>
      </c>
      <c r="AA170" t="str">
        <f ca="1">IF(ISNA(AA$1), #N/A, OFFSET(data!$A$1, ROW()-1, AA$1-1))</f>
        <v>peak</v>
      </c>
      <c r="AB170">
        <f t="shared" ca="1" si="24"/>
        <v>2025</v>
      </c>
      <c r="AC170">
        <f t="shared" ca="1" si="25"/>
        <v>2</v>
      </c>
      <c r="AD170" t="str">
        <f t="shared" ca="1" si="26"/>
        <v>02/06/2025</v>
      </c>
      <c r="AE170" t="str">
        <f t="shared" ca="1" si="27"/>
        <v/>
      </c>
      <c r="AF170" s="6">
        <f t="shared" ca="1" si="28"/>
        <v>0.863624596628768</v>
      </c>
      <c r="AG170">
        <f t="shared" ca="1" si="29"/>
        <v>526.54007606410005</v>
      </c>
      <c r="AH170">
        <f t="shared" ca="1" si="30"/>
        <v>0</v>
      </c>
      <c r="AI170">
        <f t="shared" ca="1" si="31"/>
        <v>0</v>
      </c>
      <c r="AJ170">
        <f t="shared" ca="1" si="32"/>
        <v>0</v>
      </c>
      <c r="AK170">
        <f t="shared" ca="1" si="33"/>
        <v>57.599999999999902</v>
      </c>
      <c r="AL170">
        <f t="shared" ca="1" si="34"/>
        <v>96.934169335994497</v>
      </c>
    </row>
    <row r="171" spans="1:38" hidden="1">
      <c r="A171" t="str">
        <f ca="1">IF(ISNA(A$1), 0, OFFSET(data!$A$1, ROW()-1, A$1-1))</f>
        <v>Oahu</v>
      </c>
      <c r="B171">
        <f ca="1">IF(ISNA(B$1), 0, OFFSET(data!$A$1, ROW()-1, B$1-1))</f>
        <v>2025</v>
      </c>
      <c r="C171" t="str">
        <f ca="1">IF(ISNA(C$1), 0, OFFSET(data!$A$1, ROW()-1, C$1-1))</f>
        <v>2025-04-09-00:00</v>
      </c>
      <c r="D171">
        <f ca="1">IF(ISNA(D$1), 0, OFFSET(data!$A$1, ROW()-1, D$1-1))</f>
        <v>119.750645646718</v>
      </c>
      <c r="E171">
        <f ca="1">IF(ISNA(E$1), 0, OFFSET(data!$A$1, ROW()-1, E$1-1))</f>
        <v>0</v>
      </c>
      <c r="F171">
        <f ca="1">IF(ISNA(F$1), 0, OFFSET(data!$A$1, ROW()-1, F$1-1))</f>
        <v>7.8674005047379003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46.803955976043802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232.0220021275</v>
      </c>
      <c r="R171">
        <f ca="1">IF(ISNA(R$1), 0, OFFSET(data!$A$1, ROW()-1, R$1-1))</f>
        <v>0</v>
      </c>
      <c r="S171">
        <f ca="1">IF(ISNA(S$1), 0, OFFSET(data!$A$1, ROW()-1, S$1-1))</f>
        <v>97.5</v>
      </c>
      <c r="T171">
        <f ca="1">IF(ISNA(T$1), 0, OFFSET(data!$A$1, ROW()-1, T$1-1))</f>
        <v>470.74571732499999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-141.22371519749899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713.44324846636005</v>
      </c>
      <c r="AA171" t="str">
        <f ca="1">IF(ISNA(AA$1), #N/A, OFFSET(data!$A$1, ROW()-1, AA$1-1))</f>
        <v>peak</v>
      </c>
      <c r="AB171">
        <f t="shared" ca="1" si="24"/>
        <v>2025</v>
      </c>
      <c r="AC171">
        <f t="shared" ca="1" si="25"/>
        <v>4</v>
      </c>
      <c r="AD171" t="str">
        <f t="shared" ca="1" si="26"/>
        <v>04/09/2025</v>
      </c>
      <c r="AE171" t="str">
        <f t="shared" ca="1" si="27"/>
        <v/>
      </c>
      <c r="AF171" s="6">
        <f t="shared" ca="1" si="28"/>
        <v>0.71344324846636009</v>
      </c>
      <c r="AG171">
        <f t="shared" ca="1" si="29"/>
        <v>329.52200212750097</v>
      </c>
      <c r="AH171">
        <f t="shared" ca="1" si="30"/>
        <v>97.5</v>
      </c>
      <c r="AI171">
        <f t="shared" ca="1" si="31"/>
        <v>0</v>
      </c>
      <c r="AJ171">
        <f t="shared" ca="1" si="32"/>
        <v>0</v>
      </c>
      <c r="AK171">
        <f t="shared" ca="1" si="33"/>
        <v>57.599999999999902</v>
      </c>
      <c r="AL171">
        <f t="shared" ca="1" si="34"/>
        <v>46.803955976043802</v>
      </c>
    </row>
    <row r="172" spans="1:38" hidden="1">
      <c r="A172" t="str">
        <f ca="1">IF(ISNA(A$1), 0, OFFSET(data!$A$1, ROW()-1, A$1-1))</f>
        <v>Oahu</v>
      </c>
      <c r="B172">
        <f ca="1">IF(ISNA(B$1), 0, OFFSET(data!$A$1, ROW()-1, B$1-1))</f>
        <v>2025</v>
      </c>
      <c r="C172" t="str">
        <f ca="1">IF(ISNA(C$1), 0, OFFSET(data!$A$1, ROW()-1, C$1-1))</f>
        <v>2025-04-09-02:00</v>
      </c>
      <c r="D172">
        <f ca="1">IF(ISNA(D$1), 0, OFFSET(data!$A$1, ROW()-1, D$1-1))</f>
        <v>119.750645646718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64.549329218344397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49.049374214137302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290.94934907919998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415.64192725599997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-124.692578176799</v>
      </c>
      <c r="X172">
        <f ca="1">IF(ISNA(X$1), 0, OFFSET(data!$A$1, ROW()-1, X$1-1))</f>
        <v>0</v>
      </c>
      <c r="Y172">
        <f ca="1">IF(ISNA(Y$1), 0, OFFSET(data!$A$1, ROW()-1, Y$1-1))</f>
        <v>0</v>
      </c>
      <c r="Z172">
        <f ca="1">IF(ISNA(Z$1), 0, OFFSET(data!$A$1, ROW()-1, Z$1-1))</f>
        <v>713.44324846632696</v>
      </c>
      <c r="AA172" t="str">
        <f ca="1">IF(ISNA(AA$1), #N/A, OFFSET(data!$A$1, ROW()-1, AA$1-1))</f>
        <v>peak</v>
      </c>
      <c r="AB172">
        <f t="shared" ca="1" si="24"/>
        <v>2025</v>
      </c>
      <c r="AC172">
        <f t="shared" ca="1" si="25"/>
        <v>4</v>
      </c>
      <c r="AD172" t="str">
        <f t="shared" ca="1" si="26"/>
        <v>04/09/2025</v>
      </c>
      <c r="AE172" t="str">
        <f t="shared" ca="1" si="27"/>
        <v/>
      </c>
      <c r="AF172" s="6">
        <f t="shared" ca="1" si="28"/>
        <v>0.71344324846632701</v>
      </c>
      <c r="AG172">
        <f t="shared" ca="1" si="29"/>
        <v>290.94934907920094</v>
      </c>
      <c r="AH172">
        <f t="shared" ca="1" si="30"/>
        <v>0</v>
      </c>
      <c r="AI172">
        <f t="shared" ca="1" si="31"/>
        <v>0</v>
      </c>
      <c r="AJ172">
        <f t="shared" ca="1" si="32"/>
        <v>0</v>
      </c>
      <c r="AK172">
        <f t="shared" ca="1" si="33"/>
        <v>57.599999999999902</v>
      </c>
      <c r="AL172">
        <f t="shared" ca="1" si="34"/>
        <v>49.049374214137302</v>
      </c>
    </row>
    <row r="173" spans="1:38" hidden="1">
      <c r="A173" t="str">
        <f ca="1">IF(ISNA(A$1), 0, OFFSET(data!$A$1, ROW()-1, A$1-1))</f>
        <v>Oahu</v>
      </c>
      <c r="B173">
        <f ca="1">IF(ISNA(B$1), 0, OFFSET(data!$A$1, ROW()-1, B$1-1))</f>
        <v>2025</v>
      </c>
      <c r="C173" t="str">
        <f ca="1">IF(ISNA(C$1), 0, OFFSET(data!$A$1, ROW()-1, C$1-1))</f>
        <v>2025-04-09-04:00</v>
      </c>
      <c r="D173">
        <f ca="1">IF(ISNA(D$1), 0, OFFSET(data!$A$1, ROW()-1, D$1-1))</f>
        <v>119.750645646718</v>
      </c>
      <c r="E173">
        <f ca="1">IF(ISNA(E$1), 0, OFFSET(data!$A$1, ROW()-1, E$1-1))</f>
        <v>0</v>
      </c>
      <c r="F173">
        <f ca="1">IF(ISNA(F$1), 0, OFFSET(data!$A$1, ROW()-1, F$1-1))</f>
        <v>153.745636934223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24.982759106658001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356.07904168759899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508.68434526800002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-152.6053035804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713.44324846633504</v>
      </c>
      <c r="AA173" t="str">
        <f ca="1">IF(ISNA(AA$1), #N/A, OFFSET(data!$A$1, ROW()-1, AA$1-1))</f>
        <v>peak</v>
      </c>
      <c r="AB173">
        <f t="shared" ca="1" si="24"/>
        <v>2025</v>
      </c>
      <c r="AC173">
        <f t="shared" ca="1" si="25"/>
        <v>4</v>
      </c>
      <c r="AD173" t="str">
        <f t="shared" ca="1" si="26"/>
        <v>04/09/2025</v>
      </c>
      <c r="AE173" t="str">
        <f t="shared" ca="1" si="27"/>
        <v/>
      </c>
      <c r="AF173" s="6">
        <f t="shared" ca="1" si="28"/>
        <v>0.713443248466335</v>
      </c>
      <c r="AG173">
        <f t="shared" ca="1" si="29"/>
        <v>356.07904168760001</v>
      </c>
      <c r="AH173">
        <f t="shared" ca="1" si="30"/>
        <v>0</v>
      </c>
      <c r="AI173">
        <f t="shared" ca="1" si="31"/>
        <v>0</v>
      </c>
      <c r="AJ173">
        <f t="shared" ca="1" si="32"/>
        <v>0</v>
      </c>
      <c r="AK173">
        <f t="shared" ca="1" si="33"/>
        <v>57.599999999999902</v>
      </c>
      <c r="AL173">
        <f t="shared" ca="1" si="34"/>
        <v>24.982759106658001</v>
      </c>
    </row>
    <row r="174" spans="1:38" hidden="1">
      <c r="A174" t="str">
        <f ca="1">IF(ISNA(A$1), 0, OFFSET(data!$A$1, ROW()-1, A$1-1))</f>
        <v>Oahu</v>
      </c>
      <c r="B174">
        <f ca="1">IF(ISNA(B$1), 0, OFFSET(data!$A$1, ROW()-1, B$1-1))</f>
        <v>2025</v>
      </c>
      <c r="C174" t="str">
        <f ca="1">IF(ISNA(C$1), 0, OFFSET(data!$A$1, ROW()-1, C$1-1))</f>
        <v>2025-04-09-06:00</v>
      </c>
      <c r="D174">
        <f ca="1">IF(ISNA(D$1), 0, OFFSET(data!$A$1, ROW()-1, D$1-1))</f>
        <v>119.750645646718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176.599264548734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40.428814600329098</v>
      </c>
      <c r="L174">
        <f ca="1">IF(ISNA(L$1), 0, OFFSET(data!$A$1, ROW()-1, L$1-1))</f>
        <v>57.599999999999902</v>
      </c>
      <c r="M174">
        <f ca="1">IF(ISNA(M$1), 0, OFFSET(data!$A$1, ROW()-1, M$1-1))</f>
        <v>39.300637613018502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433.67936240879999</v>
      </c>
      <c r="R174">
        <f ca="1">IF(ISNA(R$1), 0, OFFSET(data!$A$1, ROW()-1, R$1-1))</f>
        <v>0</v>
      </c>
      <c r="S174">
        <f ca="1">IF(ISNA(S$1), 0, OFFSET(data!$A$1, ROW()-1, S$1-1))</f>
        <v>150</v>
      </c>
      <c r="T174">
        <f ca="1">IF(ISNA(T$1), 0, OFFSET(data!$A$1, ROW()-1, T$1-1))</f>
        <v>833.827660584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-250.14829817519899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713.44324846632696</v>
      </c>
      <c r="AA174" t="str">
        <f ca="1">IF(ISNA(AA$1), #N/A, OFFSET(data!$A$1, ROW()-1, AA$1-1))</f>
        <v>peak</v>
      </c>
      <c r="AB174">
        <f t="shared" ca="1" si="24"/>
        <v>2025</v>
      </c>
      <c r="AC174">
        <f t="shared" ca="1" si="25"/>
        <v>4</v>
      </c>
      <c r="AD174" t="str">
        <f t="shared" ca="1" si="26"/>
        <v>04/09/2025</v>
      </c>
      <c r="AE174" t="str">
        <f t="shared" ca="1" si="27"/>
        <v/>
      </c>
      <c r="AF174" s="6">
        <f t="shared" ca="1" si="28"/>
        <v>0.71344324846632701</v>
      </c>
      <c r="AG174">
        <f t="shared" ca="1" si="29"/>
        <v>583.67936240880101</v>
      </c>
      <c r="AH174">
        <f t="shared" ca="1" si="30"/>
        <v>150</v>
      </c>
      <c r="AI174">
        <f t="shared" ca="1" si="31"/>
        <v>0</v>
      </c>
      <c r="AJ174">
        <f t="shared" ca="1" si="32"/>
        <v>40.428814600329098</v>
      </c>
      <c r="AK174">
        <f t="shared" ca="1" si="33"/>
        <v>57.599999999999902</v>
      </c>
      <c r="AL174">
        <f t="shared" ca="1" si="34"/>
        <v>39.300637613018502</v>
      </c>
    </row>
    <row r="175" spans="1:38" hidden="1">
      <c r="A175" t="str">
        <f ca="1">IF(ISNA(A$1), 0, OFFSET(data!$A$1, ROW()-1, A$1-1))</f>
        <v>Oahu</v>
      </c>
      <c r="B175">
        <f ca="1">IF(ISNA(B$1), 0, OFFSET(data!$A$1, ROW()-1, B$1-1))</f>
        <v>2025</v>
      </c>
      <c r="C175" t="str">
        <f ca="1">IF(ISNA(C$1), 0, OFFSET(data!$A$1, ROW()-1, C$1-1))</f>
        <v>2025-04-09-08:00</v>
      </c>
      <c r="D175">
        <f ca="1">IF(ISNA(D$1), 0, OFFSET(data!$A$1, ROW()-1, D$1-1))</f>
        <v>119.750645646718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1065.8392135475001</v>
      </c>
      <c r="L175">
        <f ca="1">IF(ISNA(L$1), 0, OFFSET(data!$A$1, ROW()-1, L$1-1))</f>
        <v>0</v>
      </c>
      <c r="M175">
        <f ca="1">IF(ISNA(M$1), 0, OFFSET(data!$A$1, ROW()-1, M$1-1))</f>
        <v>37.372364479275198</v>
      </c>
      <c r="N175">
        <f ca="1">IF(ISNA(N$1), 0, OFFSET(data!$A$1, ROW()-1, N$1-1))</f>
        <v>0</v>
      </c>
      <c r="O175">
        <f ca="1">IF(ISNA(O$1), 0, OFFSET(data!$A$1, ROW()-1, O$1-1))</f>
        <v>57.599999999999902</v>
      </c>
      <c r="P175">
        <f ca="1">IF(ISNA(P$1), 0, OFFSET(data!$A$1, ROW()-1, P$1-1))</f>
        <v>0</v>
      </c>
      <c r="Q175">
        <f ca="1">IF(ISNA(Q$1), 0, OFFSET(data!$A$1, ROW()-1, Q$1-1))</f>
        <v>1222.9622236734999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986.376193091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86.586030582500399</v>
      </c>
      <c r="X175">
        <f ca="1">IF(ISNA(X$1), 0, OFFSET(data!$A$1, ROW()-1, X$1-1))</f>
        <v>0</v>
      </c>
      <c r="Y175">
        <f ca="1">IF(ISNA(Y$1), 0, OFFSET(data!$A$1, ROW()-1, Y$1-1))</f>
        <v>150</v>
      </c>
      <c r="Z175">
        <f ca="1">IF(ISNA(Z$1), 0, OFFSET(data!$A$1, ROW()-1, Z$1-1))</f>
        <v>-302.40950027084801</v>
      </c>
      <c r="AA175" t="str">
        <f ca="1">IF(ISNA(AA$1), #N/A, OFFSET(data!$A$1, ROW()-1, AA$1-1))</f>
        <v>peak</v>
      </c>
      <c r="AB175">
        <f t="shared" ca="1" si="24"/>
        <v>2025</v>
      </c>
      <c r="AC175">
        <f t="shared" ca="1" si="25"/>
        <v>4</v>
      </c>
      <c r="AD175" t="str">
        <f t="shared" ca="1" si="26"/>
        <v>04/09/2025</v>
      </c>
      <c r="AE175" t="str">
        <f t="shared" ca="1" si="27"/>
        <v/>
      </c>
      <c r="AF175" s="6">
        <f t="shared" ca="1" si="28"/>
        <v>-0.30240950027084801</v>
      </c>
      <c r="AG175">
        <f t="shared" ca="1" si="29"/>
        <v>1072.9622236735004</v>
      </c>
      <c r="AH175">
        <f t="shared" ca="1" si="30"/>
        <v>150</v>
      </c>
      <c r="AI175">
        <f t="shared" ca="1" si="31"/>
        <v>0</v>
      </c>
      <c r="AJ175">
        <f t="shared" ca="1" si="32"/>
        <v>1065.8392135475001</v>
      </c>
      <c r="AK175">
        <f t="shared" ca="1" si="33"/>
        <v>57.599999999999902</v>
      </c>
      <c r="AL175">
        <f t="shared" ca="1" si="34"/>
        <v>37.372364479275198</v>
      </c>
    </row>
    <row r="176" spans="1:38" hidden="1">
      <c r="A176" t="str">
        <f ca="1">IF(ISNA(A$1), 0, OFFSET(data!$A$1, ROW()-1, A$1-1))</f>
        <v>Oahu</v>
      </c>
      <c r="B176">
        <f ca="1">IF(ISNA(B$1), 0, OFFSET(data!$A$1, ROW()-1, B$1-1))</f>
        <v>2025</v>
      </c>
      <c r="C176" t="str">
        <f ca="1">IF(ISNA(C$1), 0, OFFSET(data!$A$1, ROW()-1, C$1-1))</f>
        <v>2025-04-09-10:00</v>
      </c>
      <c r="D176">
        <f ca="1">IF(ISNA(D$1), 0, OFFSET(data!$A$1, ROW()-1, D$1-1))</f>
        <v>119.750645646718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1394.5278274008001</v>
      </c>
      <c r="L176">
        <f ca="1">IF(ISNA(L$1), 0, OFFSET(data!$A$1, ROW()-1, L$1-1))</f>
        <v>57.599999999999902</v>
      </c>
      <c r="M176">
        <f ca="1">IF(ISNA(M$1), 0, OFFSET(data!$A$1, ROW()-1, M$1-1))</f>
        <v>43.543925391987003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1615.4223984395001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1068.56748741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396.854911029508</v>
      </c>
      <c r="X176">
        <f ca="1">IF(ISNA(X$1), 0, OFFSET(data!$A$1, ROW()-1, X$1-1))</f>
        <v>0</v>
      </c>
      <c r="Y176">
        <f ca="1">IF(ISNA(Y$1), 0, OFFSET(data!$A$1, ROW()-1, Y$1-1))</f>
        <v>150</v>
      </c>
      <c r="Z176">
        <f ca="1">IF(ISNA(Z$1), 0, OFFSET(data!$A$1, ROW()-1, Z$1-1))</f>
        <v>-302.40950027084801</v>
      </c>
      <c r="AA176" t="str">
        <f ca="1">IF(ISNA(AA$1), #N/A, OFFSET(data!$A$1, ROW()-1, AA$1-1))</f>
        <v>peak</v>
      </c>
      <c r="AB176">
        <f t="shared" ca="1" si="24"/>
        <v>2025</v>
      </c>
      <c r="AC176">
        <f t="shared" ca="1" si="25"/>
        <v>4</v>
      </c>
      <c r="AD176" t="str">
        <f t="shared" ca="1" si="26"/>
        <v>04/09/2025</v>
      </c>
      <c r="AE176" t="str">
        <f t="shared" ca="1" si="27"/>
        <v/>
      </c>
      <c r="AF176" s="6">
        <f t="shared" ca="1" si="28"/>
        <v>-0.30240950027084801</v>
      </c>
      <c r="AG176">
        <f t="shared" ca="1" si="29"/>
        <v>1465.422398439508</v>
      </c>
      <c r="AH176">
        <f t="shared" ca="1" si="30"/>
        <v>150</v>
      </c>
      <c r="AI176">
        <f t="shared" ca="1" si="31"/>
        <v>0</v>
      </c>
      <c r="AJ176">
        <f t="shared" ca="1" si="32"/>
        <v>1394.5278274008001</v>
      </c>
      <c r="AK176">
        <f t="shared" ca="1" si="33"/>
        <v>57.599999999999902</v>
      </c>
      <c r="AL176">
        <f t="shared" ca="1" si="34"/>
        <v>43.543925391987003</v>
      </c>
    </row>
    <row r="177" spans="1:38" hidden="1">
      <c r="A177" t="str">
        <f ca="1">IF(ISNA(A$1), 0, OFFSET(data!$A$1, ROW()-1, A$1-1))</f>
        <v>Oahu</v>
      </c>
      <c r="B177">
        <f ca="1">IF(ISNA(B$1), 0, OFFSET(data!$A$1, ROW()-1, B$1-1))</f>
        <v>2025</v>
      </c>
      <c r="C177" t="str">
        <f ca="1">IF(ISNA(C$1), 0, OFFSET(data!$A$1, ROW()-1, C$1-1))</f>
        <v>2025-04-09-12:00</v>
      </c>
      <c r="D177">
        <f ca="1">IF(ISNA(D$1), 0, OFFSET(data!$A$1, ROW()-1, D$1-1))</f>
        <v>119.750645646718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1421.5391985577201</v>
      </c>
      <c r="L177">
        <f ca="1">IF(ISNA(L$1), 0, OFFSET(data!$A$1, ROW()-1, L$1-1))</f>
        <v>57.599999999999902</v>
      </c>
      <c r="M177">
        <f ca="1">IF(ISNA(M$1), 0, OFFSET(data!$A$1, ROW()-1, M$1-1))</f>
        <v>50.5237172292113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1649.4135614336501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1097.21665616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402.19690527365401</v>
      </c>
      <c r="X177">
        <f ca="1">IF(ISNA(X$1), 0, OFFSET(data!$A$1, ROW()-1, X$1-1))</f>
        <v>0</v>
      </c>
      <c r="Y177">
        <f ca="1">IF(ISNA(Y$1), 0, OFFSET(data!$A$1, ROW()-1, Y$1-1))</f>
        <v>150</v>
      </c>
      <c r="Z177">
        <f ca="1">IF(ISNA(Z$1), 0, OFFSET(data!$A$1, ROW()-1, Z$1-1))</f>
        <v>-302.40950027084801</v>
      </c>
      <c r="AA177" t="str">
        <f ca="1">IF(ISNA(AA$1), #N/A, OFFSET(data!$A$1, ROW()-1, AA$1-1))</f>
        <v>peak</v>
      </c>
      <c r="AB177">
        <f t="shared" ca="1" si="24"/>
        <v>2025</v>
      </c>
      <c r="AC177">
        <f t="shared" ca="1" si="25"/>
        <v>4</v>
      </c>
      <c r="AD177" t="str">
        <f t="shared" ca="1" si="26"/>
        <v>04/09/2025</v>
      </c>
      <c r="AE177" t="str">
        <f t="shared" ca="1" si="27"/>
        <v>04/09/2025</v>
      </c>
      <c r="AF177" s="6">
        <f t="shared" ca="1" si="28"/>
        <v>-0.30240950027084801</v>
      </c>
      <c r="AG177">
        <f t="shared" ca="1" si="29"/>
        <v>1499.413561433654</v>
      </c>
      <c r="AH177">
        <f t="shared" ca="1" si="30"/>
        <v>150</v>
      </c>
      <c r="AI177">
        <f t="shared" ca="1" si="31"/>
        <v>0</v>
      </c>
      <c r="AJ177">
        <f t="shared" ca="1" si="32"/>
        <v>1421.5391985577201</v>
      </c>
      <c r="AK177">
        <f t="shared" ca="1" si="33"/>
        <v>57.599999999999902</v>
      </c>
      <c r="AL177">
        <f t="shared" ca="1" si="34"/>
        <v>50.5237172292113</v>
      </c>
    </row>
    <row r="178" spans="1:38" hidden="1">
      <c r="A178" t="str">
        <f ca="1">IF(ISNA(A$1), 0, OFFSET(data!$A$1, ROW()-1, A$1-1))</f>
        <v>Oahu</v>
      </c>
      <c r="B178">
        <f ca="1">IF(ISNA(B$1), 0, OFFSET(data!$A$1, ROW()-1, B$1-1))</f>
        <v>2025</v>
      </c>
      <c r="C178" t="str">
        <f ca="1">IF(ISNA(C$1), 0, OFFSET(data!$A$1, ROW()-1, C$1-1))</f>
        <v>2025-04-09-14:00</v>
      </c>
      <c r="D178">
        <f ca="1">IF(ISNA(D$1), 0, OFFSET(data!$A$1, ROW()-1, D$1-1))</f>
        <v>119.750645646718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1406.22374637966</v>
      </c>
      <c r="L178">
        <f ca="1">IF(ISNA(L$1), 0, OFFSET(data!$A$1, ROW()-1, L$1-1))</f>
        <v>57.599999999999902</v>
      </c>
      <c r="M178">
        <f ca="1">IF(ISNA(M$1), 0, OFFSET(data!$A$1, ROW()-1, M$1-1))</f>
        <v>56.4941584968253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1640.0685505232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1093.54113639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396.52741413320501</v>
      </c>
      <c r="X178">
        <f ca="1">IF(ISNA(X$1), 0, OFFSET(data!$A$1, ROW()-1, X$1-1))</f>
        <v>0</v>
      </c>
      <c r="Y178">
        <f ca="1">IF(ISNA(Y$1), 0, OFFSET(data!$A$1, ROW()-1, Y$1-1))</f>
        <v>150</v>
      </c>
      <c r="Z178">
        <f ca="1">IF(ISNA(Z$1), 0, OFFSET(data!$A$1, ROW()-1, Z$1-1))</f>
        <v>-302.40950027084801</v>
      </c>
      <c r="AA178" t="str">
        <f ca="1">IF(ISNA(AA$1), #N/A, OFFSET(data!$A$1, ROW()-1, AA$1-1))</f>
        <v>peak</v>
      </c>
      <c r="AB178">
        <f t="shared" ca="1" si="24"/>
        <v>2025</v>
      </c>
      <c r="AC178">
        <f t="shared" ca="1" si="25"/>
        <v>4</v>
      </c>
      <c r="AD178" t="str">
        <f t="shared" ca="1" si="26"/>
        <v>04/09/2025</v>
      </c>
      <c r="AE178" t="str">
        <f t="shared" ca="1" si="27"/>
        <v/>
      </c>
      <c r="AF178" s="6">
        <f t="shared" ca="1" si="28"/>
        <v>-0.30240950027084801</v>
      </c>
      <c r="AG178">
        <f t="shared" ca="1" si="29"/>
        <v>1490.068550523205</v>
      </c>
      <c r="AH178">
        <f t="shared" ca="1" si="30"/>
        <v>150</v>
      </c>
      <c r="AI178">
        <f t="shared" ca="1" si="31"/>
        <v>0</v>
      </c>
      <c r="AJ178">
        <f t="shared" ca="1" si="32"/>
        <v>1406.22374637966</v>
      </c>
      <c r="AK178">
        <f t="shared" ca="1" si="33"/>
        <v>57.599999999999902</v>
      </c>
      <c r="AL178">
        <f t="shared" ca="1" si="34"/>
        <v>56.4941584968253</v>
      </c>
    </row>
    <row r="179" spans="1:38" hidden="1">
      <c r="A179" t="str">
        <f ca="1">IF(ISNA(A$1), 0, OFFSET(data!$A$1, ROW()-1, A$1-1))</f>
        <v>Oahu</v>
      </c>
      <c r="B179">
        <f ca="1">IF(ISNA(B$1), 0, OFFSET(data!$A$1, ROW()-1, B$1-1))</f>
        <v>2025</v>
      </c>
      <c r="C179" t="str">
        <f ca="1">IF(ISNA(C$1), 0, OFFSET(data!$A$1, ROW()-1, C$1-1))</f>
        <v>2025-04-09-16:00</v>
      </c>
      <c r="D179">
        <f ca="1">IF(ISNA(D$1), 0, OFFSET(data!$A$1, ROW()-1, D$1-1))</f>
        <v>119.750645646718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1240.1368840878799</v>
      </c>
      <c r="L179">
        <f ca="1">IF(ISNA(L$1), 0, OFFSET(data!$A$1, ROW()-1, L$1-1))</f>
        <v>48.455141256835702</v>
      </c>
      <c r="M179">
        <f ca="1">IF(ISNA(M$1), 0, OFFSET(data!$A$1, ROW()-1, M$1-1))</f>
        <v>42.816275039595901</v>
      </c>
      <c r="N179">
        <f ca="1">IF(ISNA(N$1), 0, OFFSET(data!$A$1, ROW()-1, N$1-1))</f>
        <v>0</v>
      </c>
      <c r="O179">
        <f ca="1">IF(ISNA(O$1), 0, OFFSET(data!$A$1, ROW()-1, O$1-1))</f>
        <v>9.1448587431642299</v>
      </c>
      <c r="P179">
        <f ca="1">IF(ISNA(P$1), 0, OFFSET(data!$A$1, ROW()-1, P$1-1))</f>
        <v>0</v>
      </c>
      <c r="Q179">
        <f ca="1">IF(ISNA(Q$1), 0, OFFSET(data!$A$1, ROW()-1, Q$1-1))</f>
        <v>1451.1589460310299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1063.57262614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237.58631989103</v>
      </c>
      <c r="X179">
        <f ca="1">IF(ISNA(X$1), 0, OFFSET(data!$A$1, ROW()-1, X$1-1))</f>
        <v>0</v>
      </c>
      <c r="Y179">
        <f ca="1">IF(ISNA(Y$1), 0, OFFSET(data!$A$1, ROW()-1, Y$1-1))</f>
        <v>150</v>
      </c>
      <c r="Z179">
        <f ca="1">IF(ISNA(Z$1), 0, OFFSET(data!$A$1, ROW()-1, Z$1-1))</f>
        <v>-302.40950027084801</v>
      </c>
      <c r="AA179" t="str">
        <f ca="1">IF(ISNA(AA$1), #N/A, OFFSET(data!$A$1, ROW()-1, AA$1-1))</f>
        <v>peak</v>
      </c>
      <c r="AB179">
        <f t="shared" ca="1" si="24"/>
        <v>2025</v>
      </c>
      <c r="AC179">
        <f t="shared" ca="1" si="25"/>
        <v>4</v>
      </c>
      <c r="AD179" t="str">
        <f t="shared" ca="1" si="26"/>
        <v>04/09/2025</v>
      </c>
      <c r="AE179" t="str">
        <f t="shared" ca="1" si="27"/>
        <v/>
      </c>
      <c r="AF179" s="6">
        <f t="shared" ca="1" si="28"/>
        <v>-0.30240950027084801</v>
      </c>
      <c r="AG179">
        <f t="shared" ca="1" si="29"/>
        <v>1301.1589460310299</v>
      </c>
      <c r="AH179">
        <f t="shared" ca="1" si="30"/>
        <v>150</v>
      </c>
      <c r="AI179">
        <f t="shared" ca="1" si="31"/>
        <v>0</v>
      </c>
      <c r="AJ179">
        <f t="shared" ca="1" si="32"/>
        <v>1240.1368840878799</v>
      </c>
      <c r="AK179">
        <f t="shared" ca="1" si="33"/>
        <v>57.59999999999993</v>
      </c>
      <c r="AL179">
        <f t="shared" ca="1" si="34"/>
        <v>42.816275039595901</v>
      </c>
    </row>
    <row r="180" spans="1:38" hidden="1">
      <c r="A180" t="str">
        <f ca="1">IF(ISNA(A$1), 0, OFFSET(data!$A$1, ROW()-1, A$1-1))</f>
        <v>Oahu</v>
      </c>
      <c r="B180">
        <f ca="1">IF(ISNA(B$1), 0, OFFSET(data!$A$1, ROW()-1, B$1-1))</f>
        <v>2025</v>
      </c>
      <c r="C180" t="str">
        <f ca="1">IF(ISNA(C$1), 0, OFFSET(data!$A$1, ROW()-1, C$1-1))</f>
        <v>2025-04-09-18:00</v>
      </c>
      <c r="D180">
        <f ca="1">IF(ISNA(D$1), 0, OFFSET(data!$A$1, ROW()-1, D$1-1))</f>
        <v>119.750645646718</v>
      </c>
      <c r="E180">
        <f ca="1">IF(ISNA(E$1), 0, OFFSET(data!$A$1, ROW()-1, E$1-1))</f>
        <v>0</v>
      </c>
      <c r="F180">
        <f ca="1">IF(ISNA(F$1), 0, OFFSET(data!$A$1, ROW()-1, F$1-1))</f>
        <v>178.2</v>
      </c>
      <c r="G180">
        <f ca="1">IF(ISNA(G$1), 0, OFFSET(data!$A$1, ROW()-1, G$1-1))</f>
        <v>0</v>
      </c>
      <c r="H180">
        <f ca="1">IF(ISNA(H$1), 0, OFFSET(data!$A$1, ROW()-1, H$1-1))</f>
        <v>66.371607568768198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130.519013532532</v>
      </c>
      <c r="L180">
        <f ca="1">IF(ISNA(L$1), 0, OFFSET(data!$A$1, ROW()-1, L$1-1))</f>
        <v>57.599999999999902</v>
      </c>
      <c r="M180">
        <f ca="1">IF(ISNA(M$1), 0, OFFSET(data!$A$1, ROW()-1, M$1-1))</f>
        <v>73.064737783980405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625.506004531999</v>
      </c>
      <c r="R180">
        <f ca="1">IF(ISNA(R$1), 0, OFFSET(data!$A$1, ROW()-1, R$1-1))</f>
        <v>0</v>
      </c>
      <c r="S180">
        <f ca="1">IF(ISNA(S$1), 0, OFFSET(data!$A$1, ROW()-1, S$1-1))</f>
        <v>150</v>
      </c>
      <c r="T180">
        <f ca="1">IF(ISNA(T$1), 0, OFFSET(data!$A$1, ROW()-1, T$1-1))</f>
        <v>1107.8657207599999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-332.359716227999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863.62459662876802</v>
      </c>
      <c r="AA180" t="str">
        <f ca="1">IF(ISNA(AA$1), #N/A, OFFSET(data!$A$1, ROW()-1, AA$1-1))</f>
        <v>peak</v>
      </c>
      <c r="AB180">
        <f t="shared" ca="1" si="24"/>
        <v>2025</v>
      </c>
      <c r="AC180">
        <f t="shared" ca="1" si="25"/>
        <v>4</v>
      </c>
      <c r="AD180" t="str">
        <f t="shared" ca="1" si="26"/>
        <v>04/09/2025</v>
      </c>
      <c r="AE180" t="str">
        <f t="shared" ca="1" si="27"/>
        <v/>
      </c>
      <c r="AF180" s="6">
        <f t="shared" ca="1" si="28"/>
        <v>0.863624596628768</v>
      </c>
      <c r="AG180">
        <f t="shared" ca="1" si="29"/>
        <v>775.50600453200093</v>
      </c>
      <c r="AH180">
        <f t="shared" ca="1" si="30"/>
        <v>150</v>
      </c>
      <c r="AI180">
        <f t="shared" ca="1" si="31"/>
        <v>0</v>
      </c>
      <c r="AJ180">
        <f t="shared" ca="1" si="32"/>
        <v>130.519013532532</v>
      </c>
      <c r="AK180">
        <f t="shared" ca="1" si="33"/>
        <v>57.599999999999902</v>
      </c>
      <c r="AL180">
        <f t="shared" ca="1" si="34"/>
        <v>73.064737783980405</v>
      </c>
    </row>
    <row r="181" spans="1:38" hidden="1">
      <c r="A181" t="str">
        <f ca="1">IF(ISNA(A$1), 0, OFFSET(data!$A$1, ROW()-1, A$1-1))</f>
        <v>Oahu</v>
      </c>
      <c r="B181">
        <f ca="1">IF(ISNA(B$1), 0, OFFSET(data!$A$1, ROW()-1, B$1-1))</f>
        <v>2025</v>
      </c>
      <c r="C181" t="str">
        <f ca="1">IF(ISNA(C$1), 0, OFFSET(data!$A$1, ROW()-1, C$1-1))</f>
        <v>2025-04-09-20:00</v>
      </c>
      <c r="D181">
        <f ca="1">IF(ISNA(D$1), 0, OFFSET(data!$A$1, ROW()-1, D$1-1))</f>
        <v>119.750645646718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124.56995626673999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84.015956550540807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564.13655846399899</v>
      </c>
      <c r="R181">
        <f ca="1">IF(ISNA(R$1), 0, OFFSET(data!$A$1, ROW()-1, R$1-1))</f>
        <v>0</v>
      </c>
      <c r="S181">
        <f ca="1">IF(ISNA(S$1), 0, OFFSET(data!$A$1, ROW()-1, S$1-1))</f>
        <v>150</v>
      </c>
      <c r="T181">
        <f ca="1">IF(ISNA(T$1), 0, OFFSET(data!$A$1, ROW()-1, T$1-1))</f>
        <v>1020.19508352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-306.05852505600001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863.62459662876802</v>
      </c>
      <c r="AA181" t="str">
        <f ca="1">IF(ISNA(AA$1), #N/A, OFFSET(data!$A$1, ROW()-1, AA$1-1))</f>
        <v>peak</v>
      </c>
      <c r="AB181">
        <f t="shared" ca="1" si="24"/>
        <v>2025</v>
      </c>
      <c r="AC181">
        <f t="shared" ca="1" si="25"/>
        <v>4</v>
      </c>
      <c r="AD181" t="str">
        <f t="shared" ca="1" si="26"/>
        <v>04/09/2025</v>
      </c>
      <c r="AE181" t="str">
        <f t="shared" ca="1" si="27"/>
        <v/>
      </c>
      <c r="AF181" s="6">
        <f t="shared" ca="1" si="28"/>
        <v>0.863624596628768</v>
      </c>
      <c r="AG181">
        <f t="shared" ca="1" si="29"/>
        <v>714.13655846400002</v>
      </c>
      <c r="AH181">
        <f t="shared" ca="1" si="30"/>
        <v>150</v>
      </c>
      <c r="AI181">
        <f t="shared" ca="1" si="31"/>
        <v>0</v>
      </c>
      <c r="AJ181">
        <f t="shared" ca="1" si="32"/>
        <v>0</v>
      </c>
      <c r="AK181">
        <f t="shared" ca="1" si="33"/>
        <v>57.599999999999902</v>
      </c>
      <c r="AL181">
        <f t="shared" ca="1" si="34"/>
        <v>84.015956550540807</v>
      </c>
    </row>
    <row r="182" spans="1:38" hidden="1">
      <c r="A182" t="str">
        <f ca="1">IF(ISNA(A$1), 0, OFFSET(data!$A$1, ROW()-1, A$1-1))</f>
        <v>Oahu</v>
      </c>
      <c r="B182">
        <f ca="1">IF(ISNA(B$1), 0, OFFSET(data!$A$1, ROW()-1, B$1-1))</f>
        <v>2025</v>
      </c>
      <c r="C182" t="str">
        <f ca="1">IF(ISNA(C$1), 0, OFFSET(data!$A$1, ROW()-1, C$1-1))</f>
        <v>2025-04-09-22:00</v>
      </c>
      <c r="D182">
        <f ca="1">IF(ISNA(D$1), 0, OFFSET(data!$A$1, ROW()-1, D$1-1))</f>
        <v>119.750645646718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78.107141534842896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90.756916642438597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346.214703823999</v>
      </c>
      <c r="R182">
        <f ca="1">IF(ISNA(R$1), 0, OFFSET(data!$A$1, ROW()-1, R$1-1))</f>
        <v>0</v>
      </c>
      <c r="S182">
        <f ca="1">IF(ISNA(S$1), 0, OFFSET(data!$A$1, ROW()-1, S$1-1))</f>
        <v>150</v>
      </c>
      <c r="T182">
        <f ca="1">IF(ISNA(T$1), 0, OFFSET(data!$A$1, ROW()-1, T$1-1))</f>
        <v>708.87814832000004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-212.66344449600001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713.44324846632696</v>
      </c>
      <c r="AA182" t="str">
        <f ca="1">IF(ISNA(AA$1), #N/A, OFFSET(data!$A$1, ROW()-1, AA$1-1))</f>
        <v>peak</v>
      </c>
      <c r="AB182">
        <f t="shared" ca="1" si="24"/>
        <v>2025</v>
      </c>
      <c r="AC182">
        <f t="shared" ca="1" si="25"/>
        <v>4</v>
      </c>
      <c r="AD182" t="str">
        <f t="shared" ca="1" si="26"/>
        <v>04/09/2025</v>
      </c>
      <c r="AE182" t="str">
        <f t="shared" ca="1" si="27"/>
        <v/>
      </c>
      <c r="AF182" s="6">
        <f t="shared" ca="1" si="28"/>
        <v>0.71344324846632701</v>
      </c>
      <c r="AG182">
        <f t="shared" ca="1" si="29"/>
        <v>496.21470382400003</v>
      </c>
      <c r="AH182">
        <f t="shared" ca="1" si="30"/>
        <v>150</v>
      </c>
      <c r="AI182">
        <f t="shared" ca="1" si="31"/>
        <v>0</v>
      </c>
      <c r="AJ182">
        <f t="shared" ca="1" si="32"/>
        <v>0</v>
      </c>
      <c r="AK182">
        <f t="shared" ca="1" si="33"/>
        <v>57.599999999999902</v>
      </c>
      <c r="AL182">
        <f t="shared" ca="1" si="34"/>
        <v>90.756916642438597</v>
      </c>
    </row>
    <row r="183" spans="1:38" hidden="1">
      <c r="A183" t="str">
        <f ca="1">IF(ISNA(A$1), 0, OFFSET(data!$A$1, ROW()-1, A$1-1))</f>
        <v>Oahu</v>
      </c>
      <c r="B183">
        <f ca="1">IF(ISNA(B$1), 0, OFFSET(data!$A$1, ROW()-1, B$1-1))</f>
        <v>2025</v>
      </c>
      <c r="C183" t="str">
        <f ca="1">IF(ISNA(C$1), 0, OFFSET(data!$A$1, ROW()-1, C$1-1))</f>
        <v>2025-04-29-00:00</v>
      </c>
      <c r="D183">
        <f ca="1">IF(ISNA(D$1), 0, OFFSET(data!$A$1, ROW()-1, D$1-1))</f>
        <v>119.750645646718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70.420276456942901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121.414073792838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369.184995896499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527.40713699499997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-158.22214109849901</v>
      </c>
      <c r="X183">
        <f ca="1">IF(ISNA(X$1), 0, OFFSET(data!$A$1, ROW()-1, X$1-1))</f>
        <v>0</v>
      </c>
      <c r="Y183">
        <f ca="1">IF(ISNA(Y$1), 0, OFFSET(data!$A$1, ROW()-1, Y$1-1))</f>
        <v>0</v>
      </c>
      <c r="Z183">
        <f ca="1">IF(ISNA(Z$1), 0, OFFSET(data!$A$1, ROW()-1, Z$1-1))</f>
        <v>57.545131335863402</v>
      </c>
      <c r="AA183" t="str">
        <f ca="1">IF(ISNA(AA$1), #N/A, OFFSET(data!$A$1, ROW()-1, AA$1-1))</f>
        <v>typical</v>
      </c>
      <c r="AB183">
        <f t="shared" ca="1" si="24"/>
        <v>2025</v>
      </c>
      <c r="AC183">
        <f t="shared" ca="1" si="25"/>
        <v>4</v>
      </c>
      <c r="AD183" t="str">
        <f t="shared" ca="1" si="26"/>
        <v>04/29/2025</v>
      </c>
      <c r="AE183" t="str">
        <f t="shared" ca="1" si="27"/>
        <v/>
      </c>
      <c r="AF183" s="6">
        <f t="shared" ca="1" si="28"/>
        <v>5.7545131335863406E-2</v>
      </c>
      <c r="AG183">
        <f t="shared" ca="1" si="29"/>
        <v>369.18499589650094</v>
      </c>
      <c r="AH183">
        <f t="shared" ca="1" si="30"/>
        <v>0</v>
      </c>
      <c r="AI183">
        <f t="shared" ca="1" si="31"/>
        <v>0</v>
      </c>
      <c r="AJ183">
        <f t="shared" ca="1" si="32"/>
        <v>0</v>
      </c>
      <c r="AK183">
        <f t="shared" ca="1" si="33"/>
        <v>57.599999999999902</v>
      </c>
      <c r="AL183">
        <f t="shared" ca="1" si="34"/>
        <v>121.414073792838</v>
      </c>
    </row>
    <row r="184" spans="1:38" hidden="1">
      <c r="A184" t="str">
        <f ca="1">IF(ISNA(A$1), 0, OFFSET(data!$A$1, ROW()-1, A$1-1))</f>
        <v>Oahu</v>
      </c>
      <c r="B184">
        <f ca="1">IF(ISNA(B$1), 0, OFFSET(data!$A$1, ROW()-1, B$1-1))</f>
        <v>2025</v>
      </c>
      <c r="C184" t="str">
        <f ca="1">IF(ISNA(C$1), 0, OFFSET(data!$A$1, ROW()-1, C$1-1))</f>
        <v>2025-04-29-02:00</v>
      </c>
      <c r="D184">
        <f ca="1">IF(ISNA(D$1), 0, OFFSET(data!$A$1, ROW()-1, D$1-1))</f>
        <v>119.750645646718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20.022265358354598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131.153637485627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328.52654849070001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469.32364070099999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-140.79709221029901</v>
      </c>
      <c r="X184">
        <f ca="1">IF(ISNA(X$1), 0, OFFSET(data!$A$1, ROW()-1, X$1-1))</f>
        <v>0</v>
      </c>
      <c r="Y184">
        <f ca="1">IF(ISNA(Y$1), 0, OFFSET(data!$A$1, ROW()-1, Y$1-1))</f>
        <v>0</v>
      </c>
      <c r="Z184">
        <f ca="1">IF(ISNA(Z$1), 0, OFFSET(data!$A$1, ROW()-1, Z$1-1))</f>
        <v>57.545131335863402</v>
      </c>
      <c r="AA184" t="str">
        <f ca="1">IF(ISNA(AA$1), #N/A, OFFSET(data!$A$1, ROW()-1, AA$1-1))</f>
        <v>typical</v>
      </c>
      <c r="AB184">
        <f t="shared" ca="1" si="24"/>
        <v>2025</v>
      </c>
      <c r="AC184">
        <f t="shared" ca="1" si="25"/>
        <v>4</v>
      </c>
      <c r="AD184" t="str">
        <f t="shared" ca="1" si="26"/>
        <v>04/29/2025</v>
      </c>
      <c r="AE184" t="str">
        <f t="shared" ca="1" si="27"/>
        <v/>
      </c>
      <c r="AF184" s="6">
        <f t="shared" ca="1" si="28"/>
        <v>5.7545131335863406E-2</v>
      </c>
      <c r="AG184">
        <f t="shared" ca="1" si="29"/>
        <v>328.52654849070097</v>
      </c>
      <c r="AH184">
        <f t="shared" ca="1" si="30"/>
        <v>0</v>
      </c>
      <c r="AI184">
        <f t="shared" ca="1" si="31"/>
        <v>0</v>
      </c>
      <c r="AJ184">
        <f t="shared" ca="1" si="32"/>
        <v>0</v>
      </c>
      <c r="AK184">
        <f t="shared" ca="1" si="33"/>
        <v>57.599999999999902</v>
      </c>
      <c r="AL184">
        <f t="shared" ca="1" si="34"/>
        <v>131.153637485627</v>
      </c>
    </row>
    <row r="185" spans="1:38" hidden="1">
      <c r="A185" t="str">
        <f ca="1">IF(ISNA(A$1), 0, OFFSET(data!$A$1, ROW()-1, A$1-1))</f>
        <v>Oahu</v>
      </c>
      <c r="B185">
        <f ca="1">IF(ISNA(B$1), 0, OFFSET(data!$A$1, ROW()-1, B$1-1))</f>
        <v>2025</v>
      </c>
      <c r="C185" t="str">
        <f ca="1">IF(ISNA(C$1), 0, OFFSET(data!$A$1, ROW()-1, C$1-1))</f>
        <v>2025-04-29-04:00</v>
      </c>
      <c r="D185">
        <f ca="1">IF(ISNA(D$1), 0, OFFSET(data!$A$1, ROW()-1, D$1-1))</f>
        <v>119.750645646718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108.56049648036399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285.911142127083</v>
      </c>
      <c r="R185">
        <f ca="1">IF(ISNA(R$1), 0, OFFSET(data!$A$1, ROW()-1, R$1-1))</f>
        <v>0</v>
      </c>
      <c r="S185">
        <f ca="1">IF(ISNA(S$1), 0, OFFSET(data!$A$1, ROW()-1, S$1-1))</f>
        <v>109.38953731301601</v>
      </c>
      <c r="T185">
        <f ca="1">IF(ISNA(T$1), 0, OFFSET(data!$A$1, ROW()-1, T$1-1))</f>
        <v>564.71525634299996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-169.4145769029</v>
      </c>
      <c r="X185">
        <f ca="1">IF(ISNA(X$1), 0, OFFSET(data!$A$1, ROW()-1, X$1-1))</f>
        <v>0</v>
      </c>
      <c r="Y185">
        <f ca="1">IF(ISNA(Y$1), 0, OFFSET(data!$A$1, ROW()-1, Y$1-1))</f>
        <v>0</v>
      </c>
      <c r="Z185">
        <f ca="1">IF(ISNA(Z$1), 0, OFFSET(data!$A$1, ROW()-1, Z$1-1))</f>
        <v>57.545131335863402</v>
      </c>
      <c r="AA185" t="str">
        <f ca="1">IF(ISNA(AA$1), #N/A, OFFSET(data!$A$1, ROW()-1, AA$1-1))</f>
        <v>typical</v>
      </c>
      <c r="AB185">
        <f t="shared" ca="1" si="24"/>
        <v>2025</v>
      </c>
      <c r="AC185">
        <f t="shared" ca="1" si="25"/>
        <v>4</v>
      </c>
      <c r="AD185" t="str">
        <f t="shared" ca="1" si="26"/>
        <v>04/29/2025</v>
      </c>
      <c r="AE185" t="str">
        <f t="shared" ca="1" si="27"/>
        <v/>
      </c>
      <c r="AF185" s="6">
        <f t="shared" ca="1" si="28"/>
        <v>5.7545131335863406E-2</v>
      </c>
      <c r="AG185">
        <f t="shared" ca="1" si="29"/>
        <v>395.3006794401</v>
      </c>
      <c r="AH185">
        <f t="shared" ca="1" si="30"/>
        <v>109.38953731301601</v>
      </c>
      <c r="AI185">
        <f t="shared" ca="1" si="31"/>
        <v>0</v>
      </c>
      <c r="AJ185">
        <f t="shared" ca="1" si="32"/>
        <v>0</v>
      </c>
      <c r="AK185">
        <f t="shared" ca="1" si="33"/>
        <v>57.599999999999902</v>
      </c>
      <c r="AL185">
        <f t="shared" ca="1" si="34"/>
        <v>108.56049648036399</v>
      </c>
    </row>
    <row r="186" spans="1:38" hidden="1">
      <c r="A186" t="str">
        <f ca="1">IF(ISNA(A$1), 0, OFFSET(data!$A$1, ROW()-1, A$1-1))</f>
        <v>Oahu</v>
      </c>
      <c r="B186">
        <f ca="1">IF(ISNA(B$1), 0, OFFSET(data!$A$1, ROW()-1, B$1-1))</f>
        <v>2025</v>
      </c>
      <c r="C186" t="str">
        <f ca="1">IF(ISNA(C$1), 0, OFFSET(data!$A$1, ROW()-1, C$1-1))</f>
        <v>2025-04-29-06:00</v>
      </c>
      <c r="D186">
        <f ca="1">IF(ISNA(D$1), 0, OFFSET(data!$A$1, ROW()-1, D$1-1))</f>
        <v>119.750645646718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47.965206897207302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97.051250079584904</v>
      </c>
      <c r="L186">
        <f ca="1">IF(ISNA(L$1), 0, OFFSET(data!$A$1, ROW()-1, L$1-1))</f>
        <v>57.599999999999902</v>
      </c>
      <c r="M186">
        <f ca="1">IF(ISNA(M$1), 0, OFFSET(data!$A$1, ROW()-1, M$1-1))</f>
        <v>145.731123603089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468.09822622659902</v>
      </c>
      <c r="R186">
        <f ca="1">IF(ISNA(R$1), 0, OFFSET(data!$A$1, ROW()-1, R$1-1))</f>
        <v>0</v>
      </c>
      <c r="S186">
        <f ca="1">IF(ISNA(S$1), 0, OFFSET(data!$A$1, ROW()-1, S$1-1))</f>
        <v>150</v>
      </c>
      <c r="T186">
        <f ca="1">IF(ISNA(T$1), 0, OFFSET(data!$A$1, ROW()-1, T$1-1))</f>
        <v>882.99746603799997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-264.89923981139998</v>
      </c>
      <c r="X186">
        <f ca="1">IF(ISNA(X$1), 0, OFFSET(data!$A$1, ROW()-1, X$1-1))</f>
        <v>0</v>
      </c>
      <c r="Y186">
        <f ca="1">IF(ISNA(Y$1), 0, OFFSET(data!$A$1, ROW()-1, Y$1-1))</f>
        <v>0</v>
      </c>
      <c r="Z186">
        <f ca="1">IF(ISNA(Z$1), 0, OFFSET(data!$A$1, ROW()-1, Z$1-1))</f>
        <v>57.545131335863402</v>
      </c>
      <c r="AA186" t="str">
        <f ca="1">IF(ISNA(AA$1), #N/A, OFFSET(data!$A$1, ROW()-1, AA$1-1))</f>
        <v>typical</v>
      </c>
      <c r="AB186">
        <f t="shared" ca="1" si="24"/>
        <v>2025</v>
      </c>
      <c r="AC186">
        <f t="shared" ca="1" si="25"/>
        <v>4</v>
      </c>
      <c r="AD186" t="str">
        <f t="shared" ca="1" si="26"/>
        <v>04/29/2025</v>
      </c>
      <c r="AE186" t="str">
        <f t="shared" ca="1" si="27"/>
        <v/>
      </c>
      <c r="AF186" s="6">
        <f t="shared" ca="1" si="28"/>
        <v>5.7545131335863406E-2</v>
      </c>
      <c r="AG186">
        <f t="shared" ca="1" si="29"/>
        <v>618.09822622659999</v>
      </c>
      <c r="AH186">
        <f t="shared" ca="1" si="30"/>
        <v>150</v>
      </c>
      <c r="AI186">
        <f t="shared" ca="1" si="31"/>
        <v>0</v>
      </c>
      <c r="AJ186">
        <f t="shared" ca="1" si="32"/>
        <v>97.051250079584904</v>
      </c>
      <c r="AK186">
        <f t="shared" ca="1" si="33"/>
        <v>57.599999999999902</v>
      </c>
      <c r="AL186">
        <f t="shared" ca="1" si="34"/>
        <v>145.731123603089</v>
      </c>
    </row>
    <row r="187" spans="1:38" hidden="1">
      <c r="A187" t="str">
        <f ca="1">IF(ISNA(A$1), 0, OFFSET(data!$A$1, ROW()-1, A$1-1))</f>
        <v>Oahu</v>
      </c>
      <c r="B187">
        <f ca="1">IF(ISNA(B$1), 0, OFFSET(data!$A$1, ROW()-1, B$1-1))</f>
        <v>2025</v>
      </c>
      <c r="C187" t="str">
        <f ca="1">IF(ISNA(C$1), 0, OFFSET(data!$A$1, ROW()-1, C$1-1))</f>
        <v>2025-04-29-08:00</v>
      </c>
      <c r="D187">
        <f ca="1">IF(ISNA(D$1), 0, OFFSET(data!$A$1, ROW()-1, D$1-1))</f>
        <v>119.750645646718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824.50197622202199</v>
      </c>
      <c r="L187">
        <f ca="1">IF(ISNA(L$1), 0, OFFSET(data!$A$1, ROW()-1, L$1-1))</f>
        <v>57.599999999999902</v>
      </c>
      <c r="M187">
        <f ca="1">IF(ISNA(M$1), 0, OFFSET(data!$A$1, ROW()-1, M$1-1))</f>
        <v>149.99649778700601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1151.84911965574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1007.41708867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-5.5679690142526699</v>
      </c>
      <c r="X187">
        <f ca="1">IF(ISNA(X$1), 0, OFFSET(data!$A$1, ROW()-1, X$1-1))</f>
        <v>0</v>
      </c>
      <c r="Y187">
        <f ca="1">IF(ISNA(Y$1), 0, OFFSET(data!$A$1, ROW()-1, Y$1-1))</f>
        <v>150</v>
      </c>
      <c r="Z187">
        <f ca="1">IF(ISNA(Z$1), 0, OFFSET(data!$A$1, ROW()-1, Z$1-1))</f>
        <v>44.309751128614799</v>
      </c>
      <c r="AA187" t="str">
        <f ca="1">IF(ISNA(AA$1), #N/A, OFFSET(data!$A$1, ROW()-1, AA$1-1))</f>
        <v>typical</v>
      </c>
      <c r="AB187">
        <f t="shared" ca="1" si="24"/>
        <v>2025</v>
      </c>
      <c r="AC187">
        <f t="shared" ca="1" si="25"/>
        <v>4</v>
      </c>
      <c r="AD187" t="str">
        <f t="shared" ca="1" si="26"/>
        <v>04/29/2025</v>
      </c>
      <c r="AE187" t="str">
        <f t="shared" ca="1" si="27"/>
        <v/>
      </c>
      <c r="AF187" s="6">
        <f t="shared" ca="1" si="28"/>
        <v>4.4309751128614801E-2</v>
      </c>
      <c r="AG187">
        <f t="shared" ca="1" si="29"/>
        <v>1001.8491196557474</v>
      </c>
      <c r="AH187">
        <f t="shared" ca="1" si="30"/>
        <v>150</v>
      </c>
      <c r="AI187">
        <f t="shared" ca="1" si="31"/>
        <v>0</v>
      </c>
      <c r="AJ187">
        <f t="shared" ca="1" si="32"/>
        <v>824.50197622202199</v>
      </c>
      <c r="AK187">
        <f t="shared" ca="1" si="33"/>
        <v>57.599999999999902</v>
      </c>
      <c r="AL187">
        <f t="shared" ca="1" si="34"/>
        <v>149.99649778700601</v>
      </c>
    </row>
    <row r="188" spans="1:38" hidden="1">
      <c r="A188" t="str">
        <f ca="1">IF(ISNA(A$1), 0, OFFSET(data!$A$1, ROW()-1, A$1-1))</f>
        <v>Oahu</v>
      </c>
      <c r="B188">
        <f ca="1">IF(ISNA(B$1), 0, OFFSET(data!$A$1, ROW()-1, B$1-1))</f>
        <v>2025</v>
      </c>
      <c r="C188" t="str">
        <f ca="1">IF(ISNA(C$1), 0, OFFSET(data!$A$1, ROW()-1, C$1-1))</f>
        <v>2025-04-29-10:00</v>
      </c>
      <c r="D188">
        <f ca="1">IF(ISNA(D$1), 0, OFFSET(data!$A$1, ROW()-1, D$1-1))</f>
        <v>119.750645646718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1277.48839783125</v>
      </c>
      <c r="L188">
        <f ca="1">IF(ISNA(L$1), 0, OFFSET(data!$A$1, ROW()-1, L$1-1))</f>
        <v>57.599999999999902</v>
      </c>
      <c r="M188">
        <f ca="1">IF(ISNA(M$1), 0, OFFSET(data!$A$1, ROW()-1, M$1-1))</f>
        <v>150.75464820038101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1605.5936916783501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1074.08166626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381.51202541835403</v>
      </c>
      <c r="X188">
        <f ca="1">IF(ISNA(X$1), 0, OFFSET(data!$A$1, ROW()-1, X$1-1))</f>
        <v>0</v>
      </c>
      <c r="Y188">
        <f ca="1">IF(ISNA(Y$1), 0, OFFSET(data!$A$1, ROW()-1, Y$1-1))</f>
        <v>150</v>
      </c>
      <c r="Z188">
        <f ca="1">IF(ISNA(Z$1), 0, OFFSET(data!$A$1, ROW()-1, Z$1-1))</f>
        <v>44.309751128614799</v>
      </c>
      <c r="AA188" t="str">
        <f ca="1">IF(ISNA(AA$1), #N/A, OFFSET(data!$A$1, ROW()-1, AA$1-1))</f>
        <v>typical</v>
      </c>
      <c r="AB188">
        <f t="shared" ca="1" si="24"/>
        <v>2025</v>
      </c>
      <c r="AC188">
        <f t="shared" ca="1" si="25"/>
        <v>4</v>
      </c>
      <c r="AD188" t="str">
        <f t="shared" ca="1" si="26"/>
        <v>04/29/2025</v>
      </c>
      <c r="AE188" t="str">
        <f t="shared" ca="1" si="27"/>
        <v/>
      </c>
      <c r="AF188" s="6">
        <f t="shared" ca="1" si="28"/>
        <v>4.4309751128614801E-2</v>
      </c>
      <c r="AG188">
        <f t="shared" ca="1" si="29"/>
        <v>1455.5936916783539</v>
      </c>
      <c r="AH188">
        <f t="shared" ca="1" si="30"/>
        <v>150</v>
      </c>
      <c r="AI188">
        <f t="shared" ca="1" si="31"/>
        <v>0</v>
      </c>
      <c r="AJ188">
        <f t="shared" ca="1" si="32"/>
        <v>1277.48839783125</v>
      </c>
      <c r="AK188">
        <f t="shared" ca="1" si="33"/>
        <v>57.599999999999902</v>
      </c>
      <c r="AL188">
        <f t="shared" ca="1" si="34"/>
        <v>150.75464820038101</v>
      </c>
    </row>
    <row r="189" spans="1:38" hidden="1">
      <c r="A189" t="str">
        <f ca="1">IF(ISNA(A$1), 0, OFFSET(data!$A$1, ROW()-1, A$1-1))</f>
        <v>Oahu</v>
      </c>
      <c r="B189">
        <f ca="1">IF(ISNA(B$1), 0, OFFSET(data!$A$1, ROW()-1, B$1-1))</f>
        <v>2025</v>
      </c>
      <c r="C189" t="str">
        <f ca="1">IF(ISNA(C$1), 0, OFFSET(data!$A$1, ROW()-1, C$1-1))</f>
        <v>2025-04-29-12:00</v>
      </c>
      <c r="D189">
        <f ca="1">IF(ISNA(D$1), 0, OFFSET(data!$A$1, ROW()-1, D$1-1))</f>
        <v>119.750645646718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1400.3333865110101</v>
      </c>
      <c r="L189">
        <f ca="1">IF(ISNA(L$1), 0, OFFSET(data!$A$1, ROW()-1, L$1-1))</f>
        <v>57.599999999999902</v>
      </c>
      <c r="M189">
        <f ca="1">IF(ISNA(M$1), 0, OFFSET(data!$A$1, ROW()-1, M$1-1))</f>
        <v>148.26528361223399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1725.9493157699601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1102.37074147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490.55507965111099</v>
      </c>
      <c r="X189">
        <f ca="1">IF(ISNA(X$1), 0, OFFSET(data!$A$1, ROW()-1, X$1-1))</f>
        <v>0</v>
      </c>
      <c r="Y189">
        <f ca="1">IF(ISNA(Y$1), 0, OFFSET(data!$A$1, ROW()-1, Y$1-1))</f>
        <v>133.02349464885199</v>
      </c>
      <c r="Z189">
        <f ca="1">IF(ISNA(Z$1), 0, OFFSET(data!$A$1, ROW()-1, Z$1-1))</f>
        <v>44.309751128614799</v>
      </c>
      <c r="AA189" t="str">
        <f ca="1">IF(ISNA(AA$1), #N/A, OFFSET(data!$A$1, ROW()-1, AA$1-1))</f>
        <v>typical</v>
      </c>
      <c r="AB189">
        <f t="shared" ca="1" si="24"/>
        <v>2025</v>
      </c>
      <c r="AC189">
        <f t="shared" ca="1" si="25"/>
        <v>4</v>
      </c>
      <c r="AD189" t="str">
        <f t="shared" ca="1" si="26"/>
        <v>04/29/2025</v>
      </c>
      <c r="AE189" t="str">
        <f t="shared" ca="1" si="27"/>
        <v>04/29/2025</v>
      </c>
      <c r="AF189" s="6">
        <f t="shared" ca="1" si="28"/>
        <v>4.4309751128614801E-2</v>
      </c>
      <c r="AG189">
        <f t="shared" ca="1" si="29"/>
        <v>1592.9258211211109</v>
      </c>
      <c r="AH189">
        <f t="shared" ca="1" si="30"/>
        <v>133.02349464885199</v>
      </c>
      <c r="AI189">
        <f t="shared" ca="1" si="31"/>
        <v>0</v>
      </c>
      <c r="AJ189">
        <f t="shared" ca="1" si="32"/>
        <v>1400.3333865110101</v>
      </c>
      <c r="AK189">
        <f t="shared" ca="1" si="33"/>
        <v>57.599999999999902</v>
      </c>
      <c r="AL189">
        <f t="shared" ca="1" si="34"/>
        <v>148.26528361223399</v>
      </c>
    </row>
    <row r="190" spans="1:38" hidden="1">
      <c r="A190" t="str">
        <f ca="1">IF(ISNA(A$1), 0, OFFSET(data!$A$1, ROW()-1, A$1-1))</f>
        <v>Oahu</v>
      </c>
      <c r="B190">
        <f ca="1">IF(ISNA(B$1), 0, OFFSET(data!$A$1, ROW()-1, B$1-1))</f>
        <v>2025</v>
      </c>
      <c r="C190" t="str">
        <f ca="1">IF(ISNA(C$1), 0, OFFSET(data!$A$1, ROW()-1, C$1-1))</f>
        <v>2025-04-29-14:00</v>
      </c>
      <c r="D190">
        <f ca="1">IF(ISNA(D$1), 0, OFFSET(data!$A$1, ROW()-1, D$1-1))</f>
        <v>119.750645646718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1396.5775619011699</v>
      </c>
      <c r="L190">
        <f ca="1">IF(ISNA(L$1), 0, OFFSET(data!$A$1, ROW()-1, L$1-1))</f>
        <v>57.599999999999902</v>
      </c>
      <c r="M190">
        <f ca="1">IF(ISNA(M$1), 0, OFFSET(data!$A$1, ROW()-1, M$1-1))</f>
        <v>146.792941273873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1720.7211488217599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1104.16352396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466.55762486176599</v>
      </c>
      <c r="X190">
        <f ca="1">IF(ISNA(X$1), 0, OFFSET(data!$A$1, ROW()-1, X$1-1))</f>
        <v>0</v>
      </c>
      <c r="Y190">
        <f ca="1">IF(ISNA(Y$1), 0, OFFSET(data!$A$1, ROW()-1, Y$1-1))</f>
        <v>150</v>
      </c>
      <c r="Z190">
        <f ca="1">IF(ISNA(Z$1), 0, OFFSET(data!$A$1, ROW()-1, Z$1-1))</f>
        <v>44.309751128614799</v>
      </c>
      <c r="AA190" t="str">
        <f ca="1">IF(ISNA(AA$1), #N/A, OFFSET(data!$A$1, ROW()-1, AA$1-1))</f>
        <v>typical</v>
      </c>
      <c r="AB190">
        <f t="shared" ca="1" si="24"/>
        <v>2025</v>
      </c>
      <c r="AC190">
        <f t="shared" ca="1" si="25"/>
        <v>4</v>
      </c>
      <c r="AD190" t="str">
        <f t="shared" ca="1" si="26"/>
        <v>04/29/2025</v>
      </c>
      <c r="AE190" t="str">
        <f t="shared" ca="1" si="27"/>
        <v/>
      </c>
      <c r="AF190" s="6">
        <f t="shared" ca="1" si="28"/>
        <v>4.4309751128614801E-2</v>
      </c>
      <c r="AG190">
        <f t="shared" ca="1" si="29"/>
        <v>1570.7211488217661</v>
      </c>
      <c r="AH190">
        <f t="shared" ca="1" si="30"/>
        <v>150</v>
      </c>
      <c r="AI190">
        <f t="shared" ca="1" si="31"/>
        <v>0</v>
      </c>
      <c r="AJ190">
        <f t="shared" ca="1" si="32"/>
        <v>1396.5775619011699</v>
      </c>
      <c r="AK190">
        <f t="shared" ca="1" si="33"/>
        <v>57.599999999999902</v>
      </c>
      <c r="AL190">
        <f t="shared" ca="1" si="34"/>
        <v>146.792941273873</v>
      </c>
    </row>
    <row r="191" spans="1:38" hidden="1">
      <c r="A191" t="str">
        <f ca="1">IF(ISNA(A$1), 0, OFFSET(data!$A$1, ROW()-1, A$1-1))</f>
        <v>Oahu</v>
      </c>
      <c r="B191">
        <f ca="1">IF(ISNA(B$1), 0, OFFSET(data!$A$1, ROW()-1, B$1-1))</f>
        <v>2025</v>
      </c>
      <c r="C191" t="str">
        <f ca="1">IF(ISNA(C$1), 0, OFFSET(data!$A$1, ROW()-1, C$1-1))</f>
        <v>2025-04-29-16:00</v>
      </c>
      <c r="D191">
        <f ca="1">IF(ISNA(D$1), 0, OFFSET(data!$A$1, ROW()-1, D$1-1))</f>
        <v>119.750645646718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1196.7589314496199</v>
      </c>
      <c r="L191">
        <f ca="1">IF(ISNA(L$1), 0, OFFSET(data!$A$1, ROW()-1, L$1-1))</f>
        <v>57.599999999999902</v>
      </c>
      <c r="M191">
        <f ca="1">IF(ISNA(M$1), 0, OFFSET(data!$A$1, ROW()-1, M$1-1))</f>
        <v>112.921815599471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1487.0313926958099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1075.4365694400001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261.59482325581899</v>
      </c>
      <c r="X191">
        <f ca="1">IF(ISNA(X$1), 0, OFFSET(data!$A$1, ROW()-1, X$1-1))</f>
        <v>0</v>
      </c>
      <c r="Y191">
        <f ca="1">IF(ISNA(Y$1), 0, OFFSET(data!$A$1, ROW()-1, Y$1-1))</f>
        <v>150</v>
      </c>
      <c r="Z191">
        <f ca="1">IF(ISNA(Z$1), 0, OFFSET(data!$A$1, ROW()-1, Z$1-1))</f>
        <v>44.309751128614799</v>
      </c>
      <c r="AA191" t="str">
        <f ca="1">IF(ISNA(AA$1), #N/A, OFFSET(data!$A$1, ROW()-1, AA$1-1))</f>
        <v>typical</v>
      </c>
      <c r="AB191">
        <f t="shared" ca="1" si="24"/>
        <v>2025</v>
      </c>
      <c r="AC191">
        <f t="shared" ca="1" si="25"/>
        <v>4</v>
      </c>
      <c r="AD191" t="str">
        <f t="shared" ca="1" si="26"/>
        <v>04/29/2025</v>
      </c>
      <c r="AE191" t="str">
        <f t="shared" ca="1" si="27"/>
        <v/>
      </c>
      <c r="AF191" s="6">
        <f t="shared" ca="1" si="28"/>
        <v>4.4309751128614801E-2</v>
      </c>
      <c r="AG191">
        <f t="shared" ca="1" si="29"/>
        <v>1337.031392695819</v>
      </c>
      <c r="AH191">
        <f t="shared" ca="1" si="30"/>
        <v>150</v>
      </c>
      <c r="AI191">
        <f t="shared" ca="1" si="31"/>
        <v>0</v>
      </c>
      <c r="AJ191">
        <f t="shared" ca="1" si="32"/>
        <v>1196.7589314496199</v>
      </c>
      <c r="AK191">
        <f t="shared" ca="1" si="33"/>
        <v>57.599999999999902</v>
      </c>
      <c r="AL191">
        <f t="shared" ca="1" si="34"/>
        <v>112.921815599471</v>
      </c>
    </row>
    <row r="192" spans="1:38" hidden="1">
      <c r="A192" t="str">
        <f ca="1">IF(ISNA(A$1), 0, OFFSET(data!$A$1, ROW()-1, A$1-1))</f>
        <v>Oahu</v>
      </c>
      <c r="B192">
        <f ca="1">IF(ISNA(B$1), 0, OFFSET(data!$A$1, ROW()-1, B$1-1))</f>
        <v>2025</v>
      </c>
      <c r="C192" t="str">
        <f ca="1">IF(ISNA(C$1), 0, OFFSET(data!$A$1, ROW()-1, C$1-1))</f>
        <v>2025-04-29-18:00</v>
      </c>
      <c r="D192">
        <f ca="1">IF(ISNA(D$1), 0, OFFSET(data!$A$1, ROW()-1, D$1-1))</f>
        <v>119.750645646718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158.987986899379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189.80069657008499</v>
      </c>
      <c r="L192">
        <f ca="1">IF(ISNA(L$1), 0, OFFSET(data!$A$1, ROW()-1, L$1-1))</f>
        <v>57.599999999999902</v>
      </c>
      <c r="M192">
        <f ca="1">IF(ISNA(M$1), 0, OFFSET(data!$A$1, ROW()-1, M$1-1))</f>
        <v>134.526268633217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660.66559774940004</v>
      </c>
      <c r="R192">
        <f ca="1">IF(ISNA(R$1), 0, OFFSET(data!$A$1, ROW()-1, R$1-1))</f>
        <v>0</v>
      </c>
      <c r="S192">
        <f ca="1">IF(ISNA(S$1), 0, OFFSET(data!$A$1, ROW()-1, S$1-1))</f>
        <v>125.03855356659901</v>
      </c>
      <c r="T192">
        <f ca="1">IF(ISNA(T$1), 0, OFFSET(data!$A$1, ROW()-1, T$1-1))</f>
        <v>1122.43450188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-336.73035056399999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57.545131335863402</v>
      </c>
      <c r="AA192" t="str">
        <f ca="1">IF(ISNA(AA$1), #N/A, OFFSET(data!$A$1, ROW()-1, AA$1-1))</f>
        <v>typical</v>
      </c>
      <c r="AB192">
        <f t="shared" ca="1" si="24"/>
        <v>2025</v>
      </c>
      <c r="AC192">
        <f t="shared" ca="1" si="25"/>
        <v>4</v>
      </c>
      <c r="AD192" t="str">
        <f t="shared" ca="1" si="26"/>
        <v>04/29/2025</v>
      </c>
      <c r="AE192" t="str">
        <f t="shared" ca="1" si="27"/>
        <v/>
      </c>
      <c r="AF192" s="6">
        <f t="shared" ca="1" si="28"/>
        <v>5.7545131335863406E-2</v>
      </c>
      <c r="AG192">
        <f t="shared" ca="1" si="29"/>
        <v>785.70415131599998</v>
      </c>
      <c r="AH192">
        <f t="shared" ca="1" si="30"/>
        <v>125.03855356659901</v>
      </c>
      <c r="AI192">
        <f t="shared" ca="1" si="31"/>
        <v>0</v>
      </c>
      <c r="AJ192">
        <f t="shared" ca="1" si="32"/>
        <v>189.80069657008499</v>
      </c>
      <c r="AK192">
        <f t="shared" ca="1" si="33"/>
        <v>57.599999999999902</v>
      </c>
      <c r="AL192">
        <f t="shared" ca="1" si="34"/>
        <v>134.526268633217</v>
      </c>
    </row>
    <row r="193" spans="1:38" hidden="1">
      <c r="A193" t="str">
        <f ca="1">IF(ISNA(A$1), 0, OFFSET(data!$A$1, ROW()-1, A$1-1))</f>
        <v>Oahu</v>
      </c>
      <c r="B193">
        <f ca="1">IF(ISNA(B$1), 0, OFFSET(data!$A$1, ROW()-1, B$1-1))</f>
        <v>2025</v>
      </c>
      <c r="C193" t="str">
        <f ca="1">IF(ISNA(C$1), 0, OFFSET(data!$A$1, ROW()-1, C$1-1))</f>
        <v>2025-04-29-20:00</v>
      </c>
      <c r="D193">
        <f ca="1">IF(ISNA(D$1), 0, OFFSET(data!$A$1, ROW()-1, D$1-1))</f>
        <v>119.750645646718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73.7006920693252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132.89587195295601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562.14720966899995</v>
      </c>
      <c r="R193">
        <f ca="1">IF(ISNA(R$1), 0, OFFSET(data!$A$1, ROW()-1, R$1-1))</f>
        <v>0</v>
      </c>
      <c r="S193">
        <f ca="1">IF(ISNA(S$1), 0, OFFSET(data!$A$1, ROW()-1, S$1-1))</f>
        <v>150</v>
      </c>
      <c r="T193">
        <f ca="1">IF(ISNA(T$1), 0, OFFSET(data!$A$1, ROW()-1, T$1-1))</f>
        <v>1017.35315667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-305.205947000999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207.726479498304</v>
      </c>
      <c r="AA193" t="str">
        <f ca="1">IF(ISNA(AA$1), #N/A, OFFSET(data!$A$1, ROW()-1, AA$1-1))</f>
        <v>typical</v>
      </c>
      <c r="AB193">
        <f t="shared" ca="1" si="24"/>
        <v>2025</v>
      </c>
      <c r="AC193">
        <f t="shared" ca="1" si="25"/>
        <v>4</v>
      </c>
      <c r="AD193" t="str">
        <f t="shared" ca="1" si="26"/>
        <v>04/29/2025</v>
      </c>
      <c r="AE193" t="str">
        <f t="shared" ca="1" si="27"/>
        <v/>
      </c>
      <c r="AF193" s="6">
        <f t="shared" ca="1" si="28"/>
        <v>0.207726479498304</v>
      </c>
      <c r="AG193">
        <f t="shared" ca="1" si="29"/>
        <v>712.14720966900097</v>
      </c>
      <c r="AH193">
        <f t="shared" ca="1" si="30"/>
        <v>150</v>
      </c>
      <c r="AI193">
        <f t="shared" ca="1" si="31"/>
        <v>0</v>
      </c>
      <c r="AJ193">
        <f t="shared" ca="1" si="32"/>
        <v>0</v>
      </c>
      <c r="AK193">
        <f t="shared" ca="1" si="33"/>
        <v>57.599999999999902</v>
      </c>
      <c r="AL193">
        <f t="shared" ca="1" si="34"/>
        <v>132.89587195295601</v>
      </c>
    </row>
    <row r="194" spans="1:38" hidden="1">
      <c r="A194" t="str">
        <f ca="1">IF(ISNA(A$1), 0, OFFSET(data!$A$1, ROW()-1, A$1-1))</f>
        <v>Oahu</v>
      </c>
      <c r="B194">
        <f ca="1">IF(ISNA(B$1), 0, OFFSET(data!$A$1, ROW()-1, B$1-1))</f>
        <v>2025</v>
      </c>
      <c r="C194" t="str">
        <f ca="1">IF(ISNA(C$1), 0, OFFSET(data!$A$1, ROW()-1, C$1-1))</f>
        <v>2025-04-29-22:00</v>
      </c>
      <c r="D194">
        <f ca="1">IF(ISNA(D$1), 0, OFFSET(data!$A$1, ROW()-1, D$1-1))</f>
        <v>119.750645646718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86.808259180728996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97.732980536852594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361.89188536429998</v>
      </c>
      <c r="R194">
        <f ca="1">IF(ISNA(R$1), 0, OFFSET(data!$A$1, ROW()-1, R$1-1))</f>
        <v>0</v>
      </c>
      <c r="S194">
        <f ca="1">IF(ISNA(S$1), 0, OFFSET(data!$A$1, ROW()-1, S$1-1))</f>
        <v>150</v>
      </c>
      <c r="T194">
        <f ca="1">IF(ISNA(T$1), 0, OFFSET(data!$A$1, ROW()-1, T$1-1))</f>
        <v>731.274121949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-219.3822365847</v>
      </c>
      <c r="X194">
        <f ca="1">IF(ISNA(X$1), 0, OFFSET(data!$A$1, ROW()-1, X$1-1))</f>
        <v>0</v>
      </c>
      <c r="Y194">
        <f ca="1">IF(ISNA(Y$1), 0, OFFSET(data!$A$1, ROW()-1, Y$1-1))</f>
        <v>0</v>
      </c>
      <c r="Z194">
        <f ca="1">IF(ISNA(Z$1), 0, OFFSET(data!$A$1, ROW()-1, Z$1-1))</f>
        <v>57.545131335863402</v>
      </c>
      <c r="AA194" t="str">
        <f ca="1">IF(ISNA(AA$1), #N/A, OFFSET(data!$A$1, ROW()-1, AA$1-1))</f>
        <v>typical</v>
      </c>
      <c r="AB194">
        <f t="shared" ca="1" si="24"/>
        <v>2025</v>
      </c>
      <c r="AC194">
        <f t="shared" ca="1" si="25"/>
        <v>4</v>
      </c>
      <c r="AD194" t="str">
        <f t="shared" ca="1" si="26"/>
        <v>04/29/2025</v>
      </c>
      <c r="AE194" t="str">
        <f t="shared" ca="1" si="27"/>
        <v/>
      </c>
      <c r="AF194" s="6">
        <f t="shared" ca="1" si="28"/>
        <v>5.7545131335863406E-2</v>
      </c>
      <c r="AG194">
        <f t="shared" ca="1" si="29"/>
        <v>511.89188536430004</v>
      </c>
      <c r="AH194">
        <f t="shared" ca="1" si="30"/>
        <v>150</v>
      </c>
      <c r="AI194">
        <f t="shared" ca="1" si="31"/>
        <v>0</v>
      </c>
      <c r="AJ194">
        <f t="shared" ca="1" si="32"/>
        <v>0</v>
      </c>
      <c r="AK194">
        <f t="shared" ca="1" si="33"/>
        <v>57.599999999999902</v>
      </c>
      <c r="AL194">
        <f t="shared" ca="1" si="34"/>
        <v>97.732980536852594</v>
      </c>
    </row>
    <row r="195" spans="1:38" hidden="1">
      <c r="A195" t="str">
        <f ca="1">IF(ISNA(A$1), 0, OFFSET(data!$A$1, ROW()-1, A$1-1))</f>
        <v>Oahu</v>
      </c>
      <c r="B195">
        <f ca="1">IF(ISNA(B$1), 0, OFFSET(data!$A$1, ROW()-1, B$1-1))</f>
        <v>2025</v>
      </c>
      <c r="C195" t="str">
        <f ca="1">IF(ISNA(C$1), 0, OFFSET(data!$A$1, ROW()-1, C$1-1))</f>
        <v>2025-06-05-00:00</v>
      </c>
      <c r="D195">
        <f ca="1">IF(ISNA(D$1), 0, OFFSET(data!$A$1, ROW()-1, D$1-1))</f>
        <v>119.750645646718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173.21117519999899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34.552734129482403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385.11455497619897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550.16364996599998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-165.04909498979899</v>
      </c>
      <c r="X195">
        <f ca="1">IF(ISNA(X$1), 0, OFFSET(data!$A$1, ROW()-1, X$1-1))</f>
        <v>0</v>
      </c>
      <c r="Y195">
        <f ca="1">IF(ISNA(Y$1), 0, OFFSET(data!$A$1, ROW()-1, Y$1-1))</f>
        <v>0</v>
      </c>
      <c r="Z195">
        <f ca="1">IF(ISNA(Z$1), 0, OFFSET(data!$A$1, ROW()-1, Z$1-1))</f>
        <v>713.44324846632696</v>
      </c>
      <c r="AA195" t="str">
        <f ca="1">IF(ISNA(AA$1), #N/A, OFFSET(data!$A$1, ROW()-1, AA$1-1))</f>
        <v>peak</v>
      </c>
      <c r="AB195">
        <f t="shared" ref="AB195:AB258" ca="1" si="35">VALUE(LEFT(C195, 4))</f>
        <v>2025</v>
      </c>
      <c r="AC195">
        <f t="shared" ref="AC195:AC258" ca="1" si="36">VALUE(MID(C195, 6, 2))</f>
        <v>6</v>
      </c>
      <c r="AD195" t="str">
        <f t="shared" ref="AD195:AD258" ca="1" si="37">SUBSTITUTE(MID(C195,6,6)&amp;LEFT(C195,4), "-", "/")</f>
        <v>06/05/2025</v>
      </c>
      <c r="AE195" t="str">
        <f t="shared" ref="AE195:AE258" ca="1" si="38">IF(RIGHT(C195, 5)="12:00", AD195, "")</f>
        <v/>
      </c>
      <c r="AF195" s="6">
        <f t="shared" ref="AF195:AF258" ca="1" si="39">Z195/1000</f>
        <v>0.71344324846632701</v>
      </c>
      <c r="AG195">
        <f t="shared" ref="AG195:AG258" ca="1" si="40">T195+W195</f>
        <v>385.11455497620102</v>
      </c>
      <c r="AH195">
        <f t="shared" ca="1" si="30"/>
        <v>0</v>
      </c>
      <c r="AI195">
        <f t="shared" ca="1" si="31"/>
        <v>0</v>
      </c>
      <c r="AJ195">
        <f t="shared" ca="1" si="32"/>
        <v>0</v>
      </c>
      <c r="AK195">
        <f t="shared" ca="1" si="33"/>
        <v>57.599999999999902</v>
      </c>
      <c r="AL195">
        <f t="shared" ca="1" si="34"/>
        <v>34.552734129482403</v>
      </c>
    </row>
    <row r="196" spans="1:38" hidden="1">
      <c r="A196" t="str">
        <f ca="1">IF(ISNA(A$1), 0, OFFSET(data!$A$1, ROW()-1, A$1-1))</f>
        <v>Oahu</v>
      </c>
      <c r="B196">
        <f ca="1">IF(ISNA(B$1), 0, OFFSET(data!$A$1, ROW()-1, B$1-1))</f>
        <v>2025</v>
      </c>
      <c r="C196" t="str">
        <f ca="1">IF(ISNA(C$1), 0, OFFSET(data!$A$1, ROW()-1, C$1-1))</f>
        <v>2025-06-05-02:00</v>
      </c>
      <c r="D196">
        <f ca="1">IF(ISNA(D$1), 0, OFFSET(data!$A$1, ROW()-1, D$1-1))</f>
        <v>119.750645646718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44.750405113493002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222.101050760211</v>
      </c>
      <c r="R196">
        <f ca="1">IF(ISNA(R$1), 0, OFFSET(data!$A$1, ROW()-1, R$1-1))</f>
        <v>0</v>
      </c>
      <c r="S196">
        <f ca="1">IF(ISNA(S$1), 0, OFFSET(data!$A$1, ROW()-1, S$1-1))</f>
        <v>134.48686922738801</v>
      </c>
      <c r="T196">
        <f ca="1">IF(ISNA(T$1), 0, OFFSET(data!$A$1, ROW()-1, T$1-1))</f>
        <v>509.41131426800001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-152.82339428040001</v>
      </c>
      <c r="X196">
        <f ca="1">IF(ISNA(X$1), 0, OFFSET(data!$A$1, ROW()-1, X$1-1))</f>
        <v>0</v>
      </c>
      <c r="Y196">
        <f ca="1">IF(ISNA(Y$1), 0, OFFSET(data!$A$1, ROW()-1, Y$1-1))</f>
        <v>0</v>
      </c>
      <c r="Z196">
        <f ca="1">IF(ISNA(Z$1), 0, OFFSET(data!$A$1, ROW()-1, Z$1-1))</f>
        <v>713.44324846633197</v>
      </c>
      <c r="AA196" t="str">
        <f ca="1">IF(ISNA(AA$1), #N/A, OFFSET(data!$A$1, ROW()-1, AA$1-1))</f>
        <v>peak</v>
      </c>
      <c r="AB196">
        <f t="shared" ca="1" si="35"/>
        <v>2025</v>
      </c>
      <c r="AC196">
        <f t="shared" ca="1" si="36"/>
        <v>6</v>
      </c>
      <c r="AD196" t="str">
        <f t="shared" ca="1" si="37"/>
        <v>06/05/2025</v>
      </c>
      <c r="AE196" t="str">
        <f t="shared" ca="1" si="38"/>
        <v/>
      </c>
      <c r="AF196" s="6">
        <f t="shared" ca="1" si="39"/>
        <v>0.713443248466332</v>
      </c>
      <c r="AG196">
        <f t="shared" ca="1" si="40"/>
        <v>356.5879199876</v>
      </c>
      <c r="AH196">
        <f t="shared" ref="AH196:AH259" ca="1" si="41">MAX(S196,Y196)</f>
        <v>134.48686922738801</v>
      </c>
      <c r="AI196">
        <f t="shared" ref="AI196:AI259" ca="1" si="42">MAX(R196,V196)</f>
        <v>0</v>
      </c>
      <c r="AJ196">
        <f t="shared" ref="AJ196:AJ259" ca="1" si="43">K196+N196</f>
        <v>0</v>
      </c>
      <c r="AK196">
        <f t="shared" ref="AK196:AK259" ca="1" si="44">L196+O196</f>
        <v>57.599999999999902</v>
      </c>
      <c r="AL196">
        <f t="shared" ref="AL196:AL259" ca="1" si="45">M196+P196</f>
        <v>44.750405113493002</v>
      </c>
    </row>
    <row r="197" spans="1:38" hidden="1">
      <c r="A197" t="str">
        <f ca="1">IF(ISNA(A$1), 0, OFFSET(data!$A$1, ROW()-1, A$1-1))</f>
        <v>Oahu</v>
      </c>
      <c r="B197">
        <f ca="1">IF(ISNA(B$1), 0, OFFSET(data!$A$1, ROW()-1, B$1-1))</f>
        <v>2025</v>
      </c>
      <c r="C197" t="str">
        <f ca="1">IF(ISNA(C$1), 0, OFFSET(data!$A$1, ROW()-1, C$1-1))</f>
        <v>2025-06-05-04:00</v>
      </c>
      <c r="D197">
        <f ca="1">IF(ISNA(D$1), 0, OFFSET(data!$A$1, ROW()-1, D$1-1))</f>
        <v>119.750645646718</v>
      </c>
      <c r="E197">
        <f ca="1">IF(ISNA(E$1), 0, OFFSET(data!$A$1, ROW()-1, E$1-1))</f>
        <v>0</v>
      </c>
      <c r="F197">
        <f ca="1">IF(ISNA(F$1), 0, OFFSET(data!$A$1, ROW()-1, F$1-1))</f>
        <v>112.054818865328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84.261409517575999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373.66687402962299</v>
      </c>
      <c r="R197">
        <f ca="1">IF(ISNA(R$1), 0, OFFSET(data!$A$1, ROW()-1, R$1-1))</f>
        <v>0</v>
      </c>
      <c r="S197">
        <f ca="1">IF(ISNA(S$1), 0, OFFSET(data!$A$1, ROW()-1, S$1-1))</f>
        <v>46.212978682276798</v>
      </c>
      <c r="T197">
        <f ca="1">IF(ISNA(T$1), 0, OFFSET(data!$A$1, ROW()-1, T$1-1))</f>
        <v>599.82836101700002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-179.94850830510001</v>
      </c>
      <c r="X197">
        <f ca="1">IF(ISNA(X$1), 0, OFFSET(data!$A$1, ROW()-1, X$1-1))</f>
        <v>0</v>
      </c>
      <c r="Y197">
        <f ca="1">IF(ISNA(Y$1), 0, OFFSET(data!$A$1, ROW()-1, Y$1-1))</f>
        <v>0</v>
      </c>
      <c r="Z197">
        <f ca="1">IF(ISNA(Z$1), 0, OFFSET(data!$A$1, ROW()-1, Z$1-1))</f>
        <v>713.44324846633197</v>
      </c>
      <c r="AA197" t="str">
        <f ca="1">IF(ISNA(AA$1), #N/A, OFFSET(data!$A$1, ROW()-1, AA$1-1))</f>
        <v>peak</v>
      </c>
      <c r="AB197">
        <f t="shared" ca="1" si="35"/>
        <v>2025</v>
      </c>
      <c r="AC197">
        <f t="shared" ca="1" si="36"/>
        <v>6</v>
      </c>
      <c r="AD197" t="str">
        <f t="shared" ca="1" si="37"/>
        <v>06/05/2025</v>
      </c>
      <c r="AE197" t="str">
        <f t="shared" ca="1" si="38"/>
        <v/>
      </c>
      <c r="AF197" s="6">
        <f t="shared" ca="1" si="39"/>
        <v>0.713443248466332</v>
      </c>
      <c r="AG197">
        <f t="shared" ca="1" si="40"/>
        <v>419.87985271190001</v>
      </c>
      <c r="AH197">
        <f t="shared" ca="1" si="41"/>
        <v>46.212978682276798</v>
      </c>
      <c r="AI197">
        <f t="shared" ca="1" si="42"/>
        <v>0</v>
      </c>
      <c r="AJ197">
        <f t="shared" ca="1" si="43"/>
        <v>0</v>
      </c>
      <c r="AK197">
        <f t="shared" ca="1" si="44"/>
        <v>57.599999999999902</v>
      </c>
      <c r="AL197">
        <f t="shared" ca="1" si="45"/>
        <v>84.261409517575999</v>
      </c>
    </row>
    <row r="198" spans="1:38" hidden="1">
      <c r="A198" t="str">
        <f ca="1">IF(ISNA(A$1), 0, OFFSET(data!$A$1, ROW()-1, A$1-1))</f>
        <v>Oahu</v>
      </c>
      <c r="B198">
        <f ca="1">IF(ISNA(B$1), 0, OFFSET(data!$A$1, ROW()-1, B$1-1))</f>
        <v>2025</v>
      </c>
      <c r="C198" t="str">
        <f ca="1">IF(ISNA(C$1), 0, OFFSET(data!$A$1, ROW()-1, C$1-1))</f>
        <v>2025-06-05-06:00</v>
      </c>
      <c r="D198">
        <f ca="1">IF(ISNA(D$1), 0, OFFSET(data!$A$1, ROW()-1, D$1-1))</f>
        <v>119.750645646718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295.46971389694397</v>
      </c>
      <c r="L198">
        <f ca="1">IF(ISNA(L$1), 0, OFFSET(data!$A$1, ROW()-1, L$1-1))</f>
        <v>57.599999999999902</v>
      </c>
      <c r="M198">
        <f ca="1">IF(ISNA(M$1), 0, OFFSET(data!$A$1, ROW()-1, M$1-1))</f>
        <v>84.992363156429207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557.81272270009197</v>
      </c>
      <c r="R198">
        <f ca="1">IF(ISNA(R$1), 0, OFFSET(data!$A$1, ROW()-1, R$1-1))</f>
        <v>0</v>
      </c>
      <c r="S198">
        <f ca="1">IF(ISNA(S$1), 0, OFFSET(data!$A$1, ROW()-1, S$1-1))</f>
        <v>84.587928430607704</v>
      </c>
      <c r="T198">
        <f ca="1">IF(ISNA(T$1), 0, OFFSET(data!$A$1, ROW()-1, T$1-1))</f>
        <v>917.71521590099997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-275.314564770299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713.44324846633197</v>
      </c>
      <c r="AA198" t="str">
        <f ca="1">IF(ISNA(AA$1), #N/A, OFFSET(data!$A$1, ROW()-1, AA$1-1))</f>
        <v>peak</v>
      </c>
      <c r="AB198">
        <f t="shared" ca="1" si="35"/>
        <v>2025</v>
      </c>
      <c r="AC198">
        <f t="shared" ca="1" si="36"/>
        <v>6</v>
      </c>
      <c r="AD198" t="str">
        <f t="shared" ca="1" si="37"/>
        <v>06/05/2025</v>
      </c>
      <c r="AE198" t="str">
        <f t="shared" ca="1" si="38"/>
        <v/>
      </c>
      <c r="AF198" s="6">
        <f t="shared" ca="1" si="39"/>
        <v>0.713443248466332</v>
      </c>
      <c r="AG198">
        <f t="shared" ca="1" si="40"/>
        <v>642.40065113070091</v>
      </c>
      <c r="AH198">
        <f t="shared" ca="1" si="41"/>
        <v>84.587928430607704</v>
      </c>
      <c r="AI198">
        <f t="shared" ca="1" si="42"/>
        <v>0</v>
      </c>
      <c r="AJ198">
        <f t="shared" ca="1" si="43"/>
        <v>295.46971389694397</v>
      </c>
      <c r="AK198">
        <f t="shared" ca="1" si="44"/>
        <v>57.599999999999902</v>
      </c>
      <c r="AL198">
        <f t="shared" ca="1" si="45"/>
        <v>84.992363156429207</v>
      </c>
    </row>
    <row r="199" spans="1:38" hidden="1">
      <c r="A199" t="str">
        <f ca="1">IF(ISNA(A$1), 0, OFFSET(data!$A$1, ROW()-1, A$1-1))</f>
        <v>Oahu</v>
      </c>
      <c r="B199">
        <f ca="1">IF(ISNA(B$1), 0, OFFSET(data!$A$1, ROW()-1, B$1-1))</f>
        <v>2025</v>
      </c>
      <c r="C199" t="str">
        <f ca="1">IF(ISNA(C$1), 0, OFFSET(data!$A$1, ROW()-1, C$1-1))</f>
        <v>2025-06-05-08:00</v>
      </c>
      <c r="D199">
        <f ca="1">IF(ISNA(D$1), 0, OFFSET(data!$A$1, ROW()-1, D$1-1))</f>
        <v>119.750645646718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1148.18638089827</v>
      </c>
      <c r="L199">
        <f ca="1">IF(ISNA(L$1), 0, OFFSET(data!$A$1, ROW()-1, L$1-1))</f>
        <v>57.599999999999902</v>
      </c>
      <c r="M199">
        <f ca="1">IF(ISNA(M$1), 0, OFFSET(data!$A$1, ROW()-1, M$1-1))</f>
        <v>61.874131312356397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1387.41115785735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1110.4237115999999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126.987446257351</v>
      </c>
      <c r="X199">
        <f ca="1">IF(ISNA(X$1), 0, OFFSET(data!$A$1, ROW()-1, X$1-1))</f>
        <v>0</v>
      </c>
      <c r="Y199">
        <f ca="1">IF(ISNA(Y$1), 0, OFFSET(data!$A$1, ROW()-1, Y$1-1))</f>
        <v>150</v>
      </c>
      <c r="Z199">
        <f ca="1">IF(ISNA(Z$1), 0, OFFSET(data!$A$1, ROW()-1, Z$1-1))</f>
        <v>549.35130131907499</v>
      </c>
      <c r="AA199" t="str">
        <f ca="1">IF(ISNA(AA$1), #N/A, OFFSET(data!$A$1, ROW()-1, AA$1-1))</f>
        <v>peak</v>
      </c>
      <c r="AB199">
        <f t="shared" ca="1" si="35"/>
        <v>2025</v>
      </c>
      <c r="AC199">
        <f t="shared" ca="1" si="36"/>
        <v>6</v>
      </c>
      <c r="AD199" t="str">
        <f t="shared" ca="1" si="37"/>
        <v>06/05/2025</v>
      </c>
      <c r="AE199" t="str">
        <f t="shared" ca="1" si="38"/>
        <v/>
      </c>
      <c r="AF199" s="6">
        <f t="shared" ca="1" si="39"/>
        <v>0.54935130131907495</v>
      </c>
      <c r="AG199">
        <f t="shared" ca="1" si="40"/>
        <v>1237.4111578573509</v>
      </c>
      <c r="AH199">
        <f t="shared" ca="1" si="41"/>
        <v>150</v>
      </c>
      <c r="AI199">
        <f t="shared" ca="1" si="42"/>
        <v>0</v>
      </c>
      <c r="AJ199">
        <f t="shared" ca="1" si="43"/>
        <v>1148.18638089827</v>
      </c>
      <c r="AK199">
        <f t="shared" ca="1" si="44"/>
        <v>57.599999999999902</v>
      </c>
      <c r="AL199">
        <f t="shared" ca="1" si="45"/>
        <v>61.874131312356397</v>
      </c>
    </row>
    <row r="200" spans="1:38" hidden="1">
      <c r="A200" t="str">
        <f ca="1">IF(ISNA(A$1), 0, OFFSET(data!$A$1, ROW()-1, A$1-1))</f>
        <v>Oahu</v>
      </c>
      <c r="B200">
        <f ca="1">IF(ISNA(B$1), 0, OFFSET(data!$A$1, ROW()-1, B$1-1))</f>
        <v>2025</v>
      </c>
      <c r="C200" t="str">
        <f ca="1">IF(ISNA(C$1), 0, OFFSET(data!$A$1, ROW()-1, C$1-1))</f>
        <v>2025-06-05-10:00</v>
      </c>
      <c r="D200">
        <f ca="1">IF(ISNA(D$1), 0, OFFSET(data!$A$1, ROW()-1, D$1-1))</f>
        <v>119.750645646718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1398.15127318281</v>
      </c>
      <c r="L200">
        <f ca="1">IF(ISNA(L$1), 0, OFFSET(data!$A$1, ROW()-1, L$1-1))</f>
        <v>57.599999999999902</v>
      </c>
      <c r="M200">
        <f ca="1">IF(ISNA(M$1), 0, OFFSET(data!$A$1, ROW()-1, M$1-1))</f>
        <v>43.318959699460201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1618.8208785289801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1187.3644277400001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281.45645078898798</v>
      </c>
      <c r="X200">
        <f ca="1">IF(ISNA(X$1), 0, OFFSET(data!$A$1, ROW()-1, X$1-1))</f>
        <v>0</v>
      </c>
      <c r="Y200">
        <f ca="1">IF(ISNA(Y$1), 0, OFFSET(data!$A$1, ROW()-1, Y$1-1))</f>
        <v>150</v>
      </c>
      <c r="Z200">
        <f ca="1">IF(ISNA(Z$1), 0, OFFSET(data!$A$1, ROW()-1, Z$1-1))</f>
        <v>549.35130131907499</v>
      </c>
      <c r="AA200" t="str">
        <f ca="1">IF(ISNA(AA$1), #N/A, OFFSET(data!$A$1, ROW()-1, AA$1-1))</f>
        <v>peak</v>
      </c>
      <c r="AB200">
        <f t="shared" ca="1" si="35"/>
        <v>2025</v>
      </c>
      <c r="AC200">
        <f t="shared" ca="1" si="36"/>
        <v>6</v>
      </c>
      <c r="AD200" t="str">
        <f t="shared" ca="1" si="37"/>
        <v>06/05/2025</v>
      </c>
      <c r="AE200" t="str">
        <f t="shared" ca="1" si="38"/>
        <v/>
      </c>
      <c r="AF200" s="6">
        <f t="shared" ca="1" si="39"/>
        <v>0.54935130131907495</v>
      </c>
      <c r="AG200">
        <f t="shared" ca="1" si="40"/>
        <v>1468.820878528988</v>
      </c>
      <c r="AH200">
        <f t="shared" ca="1" si="41"/>
        <v>150</v>
      </c>
      <c r="AI200">
        <f t="shared" ca="1" si="42"/>
        <v>0</v>
      </c>
      <c r="AJ200">
        <f t="shared" ca="1" si="43"/>
        <v>1398.15127318281</v>
      </c>
      <c r="AK200">
        <f t="shared" ca="1" si="44"/>
        <v>57.599999999999902</v>
      </c>
      <c r="AL200">
        <f t="shared" ca="1" si="45"/>
        <v>43.318959699460201</v>
      </c>
    </row>
    <row r="201" spans="1:38" hidden="1">
      <c r="A201" t="str">
        <f ca="1">IF(ISNA(A$1), 0, OFFSET(data!$A$1, ROW()-1, A$1-1))</f>
        <v>Oahu</v>
      </c>
      <c r="B201">
        <f ca="1">IF(ISNA(B$1), 0, OFFSET(data!$A$1, ROW()-1, B$1-1))</f>
        <v>2025</v>
      </c>
      <c r="C201" t="str">
        <f ca="1">IF(ISNA(C$1), 0, OFFSET(data!$A$1, ROW()-1, C$1-1))</f>
        <v>2025-06-05-12:00</v>
      </c>
      <c r="D201">
        <f ca="1">IF(ISNA(D$1), 0, OFFSET(data!$A$1, ROW()-1, D$1-1))</f>
        <v>119.750645646718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1421.5391985577201</v>
      </c>
      <c r="L201">
        <f ca="1">IF(ISNA(L$1), 0, OFFSET(data!$A$1, ROW()-1, L$1-1))</f>
        <v>57.599999999999902</v>
      </c>
      <c r="M201">
        <f ca="1">IF(ISNA(M$1), 0, OFFSET(data!$A$1, ROW()-1, M$1-1))</f>
        <v>68.742612916113103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1667.63245712055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1216.56545856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451.06699856055599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549.35130131907499</v>
      </c>
      <c r="AA201" t="str">
        <f ca="1">IF(ISNA(AA$1), #N/A, OFFSET(data!$A$1, ROW()-1, AA$1-1))</f>
        <v>peak</v>
      </c>
      <c r="AB201">
        <f t="shared" ca="1" si="35"/>
        <v>2025</v>
      </c>
      <c r="AC201">
        <f t="shared" ca="1" si="36"/>
        <v>6</v>
      </c>
      <c r="AD201" t="str">
        <f t="shared" ca="1" si="37"/>
        <v>06/05/2025</v>
      </c>
      <c r="AE201" t="str">
        <f t="shared" ca="1" si="38"/>
        <v>06/05/2025</v>
      </c>
      <c r="AF201" s="6">
        <f t="shared" ca="1" si="39"/>
        <v>0.54935130131907495</v>
      </c>
      <c r="AG201">
        <f t="shared" ca="1" si="40"/>
        <v>1667.632457120556</v>
      </c>
      <c r="AH201">
        <f t="shared" ca="1" si="41"/>
        <v>0</v>
      </c>
      <c r="AI201">
        <f t="shared" ca="1" si="42"/>
        <v>0</v>
      </c>
      <c r="AJ201">
        <f t="shared" ca="1" si="43"/>
        <v>1421.5391985577201</v>
      </c>
      <c r="AK201">
        <f t="shared" ca="1" si="44"/>
        <v>57.599999999999902</v>
      </c>
      <c r="AL201">
        <f t="shared" ca="1" si="45"/>
        <v>68.742612916113103</v>
      </c>
    </row>
    <row r="202" spans="1:38" hidden="1">
      <c r="A202" t="str">
        <f ca="1">IF(ISNA(A$1), 0, OFFSET(data!$A$1, ROW()-1, A$1-1))</f>
        <v>Oahu</v>
      </c>
      <c r="B202">
        <f ca="1">IF(ISNA(B$1), 0, OFFSET(data!$A$1, ROW()-1, B$1-1))</f>
        <v>2025</v>
      </c>
      <c r="C202" t="str">
        <f ca="1">IF(ISNA(C$1), 0, OFFSET(data!$A$1, ROW()-1, C$1-1))</f>
        <v>2025-06-05-14:00</v>
      </c>
      <c r="D202">
        <f ca="1">IF(ISNA(D$1), 0, OFFSET(data!$A$1, ROW()-1, D$1-1))</f>
        <v>119.750645646718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1419.858550483</v>
      </c>
      <c r="L202">
        <f ca="1">IF(ISNA(L$1), 0, OFFSET(data!$A$1, ROW()-1, L$1-1))</f>
        <v>57.599999999999902</v>
      </c>
      <c r="M202">
        <f ca="1">IF(ISNA(M$1), 0, OFFSET(data!$A$1, ROW()-1, M$1-1))</f>
        <v>63.186849549910001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1660.3960456796301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1226.7165654299999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283.67948024963198</v>
      </c>
      <c r="X202">
        <f ca="1">IF(ISNA(X$1), 0, OFFSET(data!$A$1, ROW()-1, X$1-1))</f>
        <v>0</v>
      </c>
      <c r="Y202">
        <f ca="1">IF(ISNA(Y$1), 0, OFFSET(data!$A$1, ROW()-1, Y$1-1))</f>
        <v>150</v>
      </c>
      <c r="Z202">
        <f ca="1">IF(ISNA(Z$1), 0, OFFSET(data!$A$1, ROW()-1, Z$1-1))</f>
        <v>549.35130131907499</v>
      </c>
      <c r="AA202" t="str">
        <f ca="1">IF(ISNA(AA$1), #N/A, OFFSET(data!$A$1, ROW()-1, AA$1-1))</f>
        <v>peak</v>
      </c>
      <c r="AB202">
        <f t="shared" ca="1" si="35"/>
        <v>2025</v>
      </c>
      <c r="AC202">
        <f t="shared" ca="1" si="36"/>
        <v>6</v>
      </c>
      <c r="AD202" t="str">
        <f t="shared" ca="1" si="37"/>
        <v>06/05/2025</v>
      </c>
      <c r="AE202" t="str">
        <f t="shared" ca="1" si="38"/>
        <v/>
      </c>
      <c r="AF202" s="6">
        <f t="shared" ca="1" si="39"/>
        <v>0.54935130131907495</v>
      </c>
      <c r="AG202">
        <f t="shared" ca="1" si="40"/>
        <v>1510.3960456796319</v>
      </c>
      <c r="AH202">
        <f t="shared" ca="1" si="41"/>
        <v>150</v>
      </c>
      <c r="AI202">
        <f t="shared" ca="1" si="42"/>
        <v>0</v>
      </c>
      <c r="AJ202">
        <f t="shared" ca="1" si="43"/>
        <v>1419.858550483</v>
      </c>
      <c r="AK202">
        <f t="shared" ca="1" si="44"/>
        <v>57.599999999999902</v>
      </c>
      <c r="AL202">
        <f t="shared" ca="1" si="45"/>
        <v>63.186849549910001</v>
      </c>
    </row>
    <row r="203" spans="1:38" hidden="1">
      <c r="A203" t="str">
        <f ca="1">IF(ISNA(A$1), 0, OFFSET(data!$A$1, ROW()-1, A$1-1))</f>
        <v>Oahu</v>
      </c>
      <c r="B203">
        <f ca="1">IF(ISNA(B$1), 0, OFFSET(data!$A$1, ROW()-1, B$1-1))</f>
        <v>2025</v>
      </c>
      <c r="C203" t="str">
        <f ca="1">IF(ISNA(C$1), 0, OFFSET(data!$A$1, ROW()-1, C$1-1))</f>
        <v>2025-06-05-16:00</v>
      </c>
      <c r="D203">
        <f ca="1">IF(ISNA(D$1), 0, OFFSET(data!$A$1, ROW()-1, D$1-1))</f>
        <v>119.750645646718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1276.2863141989501</v>
      </c>
      <c r="L203">
        <f ca="1">IF(ISNA(L$1), 0, OFFSET(data!$A$1, ROW()-1, L$1-1))</f>
        <v>57.599999999999902</v>
      </c>
      <c r="M203">
        <f ca="1">IF(ISNA(M$1), 0, OFFSET(data!$A$1, ROW()-1, M$1-1))</f>
        <v>48.947489741375399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1502.5844495870399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1194.1765882499999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180.11204790812201</v>
      </c>
      <c r="X203">
        <f ca="1">IF(ISNA(X$1), 0, OFFSET(data!$A$1, ROW()-1, X$1-1))</f>
        <v>0</v>
      </c>
      <c r="Y203">
        <f ca="1">IF(ISNA(Y$1), 0, OFFSET(data!$A$1, ROW()-1, Y$1-1))</f>
        <v>128.29581342892601</v>
      </c>
      <c r="Z203">
        <f ca="1">IF(ISNA(Z$1), 0, OFFSET(data!$A$1, ROW()-1, Z$1-1))</f>
        <v>549.35130131907499</v>
      </c>
      <c r="AA203" t="str">
        <f ca="1">IF(ISNA(AA$1), #N/A, OFFSET(data!$A$1, ROW()-1, AA$1-1))</f>
        <v>peak</v>
      </c>
      <c r="AB203">
        <f t="shared" ca="1" si="35"/>
        <v>2025</v>
      </c>
      <c r="AC203">
        <f t="shared" ca="1" si="36"/>
        <v>6</v>
      </c>
      <c r="AD203" t="str">
        <f t="shared" ca="1" si="37"/>
        <v>06/05/2025</v>
      </c>
      <c r="AE203" t="str">
        <f t="shared" ca="1" si="38"/>
        <v/>
      </c>
      <c r="AF203" s="6">
        <f t="shared" ca="1" si="39"/>
        <v>0.54935130131907495</v>
      </c>
      <c r="AG203">
        <f t="shared" ca="1" si="40"/>
        <v>1374.2886361581218</v>
      </c>
      <c r="AH203">
        <f t="shared" ca="1" si="41"/>
        <v>128.29581342892601</v>
      </c>
      <c r="AI203">
        <f t="shared" ca="1" si="42"/>
        <v>0</v>
      </c>
      <c r="AJ203">
        <f t="shared" ca="1" si="43"/>
        <v>1276.2863141989501</v>
      </c>
      <c r="AK203">
        <f t="shared" ca="1" si="44"/>
        <v>57.599999999999902</v>
      </c>
      <c r="AL203">
        <f t="shared" ca="1" si="45"/>
        <v>48.947489741375399</v>
      </c>
    </row>
    <row r="204" spans="1:38" hidden="1">
      <c r="A204" t="str">
        <f ca="1">IF(ISNA(A$1), 0, OFFSET(data!$A$1, ROW()-1, A$1-1))</f>
        <v>Oahu</v>
      </c>
      <c r="B204">
        <f ca="1">IF(ISNA(B$1), 0, OFFSET(data!$A$1, ROW()-1, B$1-1))</f>
        <v>2025</v>
      </c>
      <c r="C204" t="str">
        <f ca="1">IF(ISNA(C$1), 0, OFFSET(data!$A$1, ROW()-1, C$1-1))</f>
        <v>2025-06-05-18:00</v>
      </c>
      <c r="D204">
        <f ca="1">IF(ISNA(D$1), 0, OFFSET(data!$A$1, ROW()-1, D$1-1))</f>
        <v>119.750645646718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906.71158588100104</v>
      </c>
      <c r="L204">
        <f ca="1">IF(ISNA(L$1), 0, OFFSET(data!$A$1, ROW()-1, L$1-1))</f>
        <v>57.599999999999902</v>
      </c>
      <c r="M204">
        <f ca="1">IF(ISNA(M$1), 0, OFFSET(data!$A$1, ROW()-1, M$1-1))</f>
        <v>67.4306407963293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1151.49287232404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1132.4355802499999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19.057292074049901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549.35130131907499</v>
      </c>
      <c r="AA204" t="str">
        <f ca="1">IF(ISNA(AA$1), #N/A, OFFSET(data!$A$1, ROW()-1, AA$1-1))</f>
        <v>peak</v>
      </c>
      <c r="AB204">
        <f t="shared" ca="1" si="35"/>
        <v>2025</v>
      </c>
      <c r="AC204">
        <f t="shared" ca="1" si="36"/>
        <v>6</v>
      </c>
      <c r="AD204" t="str">
        <f t="shared" ca="1" si="37"/>
        <v>06/05/2025</v>
      </c>
      <c r="AE204" t="str">
        <f t="shared" ca="1" si="38"/>
        <v/>
      </c>
      <c r="AF204" s="6">
        <f t="shared" ca="1" si="39"/>
        <v>0.54935130131907495</v>
      </c>
      <c r="AG204">
        <f t="shared" ca="1" si="40"/>
        <v>1151.4928723240498</v>
      </c>
      <c r="AH204">
        <f t="shared" ca="1" si="41"/>
        <v>0</v>
      </c>
      <c r="AI204">
        <f t="shared" ca="1" si="42"/>
        <v>0</v>
      </c>
      <c r="AJ204">
        <f t="shared" ca="1" si="43"/>
        <v>906.71158588100104</v>
      </c>
      <c r="AK204">
        <f t="shared" ca="1" si="44"/>
        <v>57.599999999999902</v>
      </c>
      <c r="AL204">
        <f t="shared" ca="1" si="45"/>
        <v>67.4306407963293</v>
      </c>
    </row>
    <row r="205" spans="1:38" hidden="1">
      <c r="A205" t="str">
        <f ca="1">IF(ISNA(A$1), 0, OFFSET(data!$A$1, ROW()-1, A$1-1))</f>
        <v>Oahu</v>
      </c>
      <c r="B205">
        <f ca="1">IF(ISNA(B$1), 0, OFFSET(data!$A$1, ROW()-1, B$1-1))</f>
        <v>2025</v>
      </c>
      <c r="C205" t="str">
        <f ca="1">IF(ISNA(C$1), 0, OFFSET(data!$A$1, ROW()-1, C$1-1))</f>
        <v>2025-06-05-20:00</v>
      </c>
      <c r="D205">
        <f ca="1">IF(ISNA(D$1), 0, OFFSET(data!$A$1, ROW()-1, D$1-1))</f>
        <v>119.750645646718</v>
      </c>
      <c r="E205">
        <f ca="1">IF(ISNA(E$1), 0, OFFSET(data!$A$1, ROW()-1, E$1-1))</f>
        <v>0</v>
      </c>
      <c r="F205">
        <f ca="1">IF(ISNA(F$1), 0, OFFSET(data!$A$1, ROW()-1, F$1-1))</f>
        <v>51.532973411489998</v>
      </c>
      <c r="G205">
        <f ca="1">IF(ISNA(G$1), 0, OFFSET(data!$A$1, ROW()-1, G$1-1))</f>
        <v>126.66702658851</v>
      </c>
      <c r="H205">
        <f ca="1">IF(ISNA(H$1), 0, OFFSET(data!$A$1, ROW()-1, H$1-1))</f>
        <v>217.17712924792099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40.338522140360404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613.06629703499902</v>
      </c>
      <c r="R205">
        <f ca="1">IF(ISNA(R$1), 0, OFFSET(data!$A$1, ROW()-1, R$1-1))</f>
        <v>0</v>
      </c>
      <c r="S205">
        <f ca="1">IF(ISNA(S$1), 0, OFFSET(data!$A$1, ROW()-1, S$1-1))</f>
        <v>150</v>
      </c>
      <c r="T205">
        <f ca="1">IF(ISNA(T$1), 0, OFFSET(data!$A$1, ROW()-1, T$1-1))</f>
        <v>1090.09471005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-327.02841301500001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863.62459662876802</v>
      </c>
      <c r="AA205" t="str">
        <f ca="1">IF(ISNA(AA$1), #N/A, OFFSET(data!$A$1, ROW()-1, AA$1-1))</f>
        <v>peak</v>
      </c>
      <c r="AB205">
        <f t="shared" ca="1" si="35"/>
        <v>2025</v>
      </c>
      <c r="AC205">
        <f t="shared" ca="1" si="36"/>
        <v>6</v>
      </c>
      <c r="AD205" t="str">
        <f t="shared" ca="1" si="37"/>
        <v>06/05/2025</v>
      </c>
      <c r="AE205" t="str">
        <f t="shared" ca="1" si="38"/>
        <v/>
      </c>
      <c r="AF205" s="6">
        <f t="shared" ca="1" si="39"/>
        <v>0.863624596628768</v>
      </c>
      <c r="AG205">
        <f t="shared" ca="1" si="40"/>
        <v>763.06629703499993</v>
      </c>
      <c r="AH205">
        <f t="shared" ca="1" si="41"/>
        <v>150</v>
      </c>
      <c r="AI205">
        <f t="shared" ca="1" si="42"/>
        <v>0</v>
      </c>
      <c r="AJ205">
        <f t="shared" ca="1" si="43"/>
        <v>0</v>
      </c>
      <c r="AK205">
        <f t="shared" ca="1" si="44"/>
        <v>57.599999999999902</v>
      </c>
      <c r="AL205">
        <f t="shared" ca="1" si="45"/>
        <v>40.338522140360404</v>
      </c>
    </row>
    <row r="206" spans="1:38" hidden="1">
      <c r="A206" t="str">
        <f ca="1">IF(ISNA(A$1), 0, OFFSET(data!$A$1, ROW()-1, A$1-1))</f>
        <v>Oahu</v>
      </c>
      <c r="B206">
        <f ca="1">IF(ISNA(B$1), 0, OFFSET(data!$A$1, ROW()-1, B$1-1))</f>
        <v>2025</v>
      </c>
      <c r="C206" t="str">
        <f ca="1">IF(ISNA(C$1), 0, OFFSET(data!$A$1, ROW()-1, C$1-1))</f>
        <v>2025-06-05-22:00</v>
      </c>
      <c r="D206">
        <f ca="1">IF(ISNA(D$1), 0, OFFSET(data!$A$1, ROW()-1, D$1-1))</f>
        <v>119.750645646718</v>
      </c>
      <c r="E206">
        <f ca="1">IF(ISNA(E$1), 0, OFFSET(data!$A$1, ROW()-1, E$1-1))</f>
        <v>0</v>
      </c>
      <c r="F206">
        <f ca="1">IF(ISNA(F$1), 0, OFFSET(data!$A$1, ROW()-1, F$1-1))</f>
        <v>178.2</v>
      </c>
      <c r="G206">
        <f ca="1">IF(ISNA(G$1), 0, OFFSET(data!$A$1, ROW()-1, G$1-1))</f>
        <v>0</v>
      </c>
      <c r="H206">
        <f ca="1">IF(ISNA(H$1), 0, OFFSET(data!$A$1, ROW()-1, H$1-1))</f>
        <v>14.5868487431389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44.985900059042798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415.12339444889898</v>
      </c>
      <c r="R206">
        <f ca="1">IF(ISNA(R$1), 0, OFFSET(data!$A$1, ROW()-1, R$1-1))</f>
        <v>0</v>
      </c>
      <c r="S206">
        <f ca="1">IF(ISNA(S$1), 0, OFFSET(data!$A$1, ROW()-1, S$1-1))</f>
        <v>150</v>
      </c>
      <c r="T206">
        <f ca="1">IF(ISNA(T$1), 0, OFFSET(data!$A$1, ROW()-1, T$1-1))</f>
        <v>807.31913492700005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-242.19574047809999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863.62459662876802</v>
      </c>
      <c r="AA206" t="str">
        <f ca="1">IF(ISNA(AA$1), #N/A, OFFSET(data!$A$1, ROW()-1, AA$1-1))</f>
        <v>peak</v>
      </c>
      <c r="AB206">
        <f t="shared" ca="1" si="35"/>
        <v>2025</v>
      </c>
      <c r="AC206">
        <f t="shared" ca="1" si="36"/>
        <v>6</v>
      </c>
      <c r="AD206" t="str">
        <f t="shared" ca="1" si="37"/>
        <v>06/05/2025</v>
      </c>
      <c r="AE206" t="str">
        <f t="shared" ca="1" si="38"/>
        <v/>
      </c>
      <c r="AF206" s="6">
        <f t="shared" ca="1" si="39"/>
        <v>0.863624596628768</v>
      </c>
      <c r="AG206">
        <f t="shared" ca="1" si="40"/>
        <v>565.12339444890006</v>
      </c>
      <c r="AH206">
        <f t="shared" ca="1" si="41"/>
        <v>150</v>
      </c>
      <c r="AI206">
        <f t="shared" ca="1" si="42"/>
        <v>0</v>
      </c>
      <c r="AJ206">
        <f t="shared" ca="1" si="43"/>
        <v>0</v>
      </c>
      <c r="AK206">
        <f t="shared" ca="1" si="44"/>
        <v>57.599999999999902</v>
      </c>
      <c r="AL206">
        <f t="shared" ca="1" si="45"/>
        <v>44.985900059042798</v>
      </c>
    </row>
    <row r="207" spans="1:38" hidden="1">
      <c r="A207" t="str">
        <f ca="1">IF(ISNA(A$1), 0, OFFSET(data!$A$1, ROW()-1, A$1-1))</f>
        <v>Oahu</v>
      </c>
      <c r="B207">
        <f ca="1">IF(ISNA(B$1), 0, OFFSET(data!$A$1, ROW()-1, B$1-1))</f>
        <v>2025</v>
      </c>
      <c r="C207" t="str">
        <f ca="1">IF(ISNA(C$1), 0, OFFSET(data!$A$1, ROW()-1, C$1-1))</f>
        <v>2025-06-21-00:00</v>
      </c>
      <c r="D207">
        <f ca="1">IF(ISNA(D$1), 0, OFFSET(data!$A$1, ROW()-1, D$1-1))</f>
        <v>119.750645646718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33.0413833649325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44.172704833649199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254.5647338453</v>
      </c>
      <c r="R207">
        <f ca="1">IF(ISNA(R$1), 0, OFFSET(data!$A$1, ROW()-1, R$1-1))</f>
        <v>0</v>
      </c>
      <c r="S207">
        <f ca="1">IF(ISNA(S$1), 0, OFFSET(data!$A$1, ROW()-1, S$1-1))</f>
        <v>150</v>
      </c>
      <c r="T207">
        <f ca="1">IF(ISNA(T$1), 0, OFFSET(data!$A$1, ROW()-1, T$1-1))</f>
        <v>577.94961977900005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-173.38488593369999</v>
      </c>
      <c r="X207">
        <f ca="1">IF(ISNA(X$1), 0, OFFSET(data!$A$1, ROW()-1, X$1-1))</f>
        <v>0</v>
      </c>
      <c r="Y207">
        <f ca="1">IF(ISNA(Y$1), 0, OFFSET(data!$A$1, ROW()-1, Y$1-1))</f>
        <v>0</v>
      </c>
      <c r="Z207">
        <f ca="1">IF(ISNA(Z$1), 0, OFFSET(data!$A$1, ROW()-1, Z$1-1))</f>
        <v>57.545131335863402</v>
      </c>
      <c r="AA207" t="str">
        <f ca="1">IF(ISNA(AA$1), #N/A, OFFSET(data!$A$1, ROW()-1, AA$1-1))</f>
        <v>typical</v>
      </c>
      <c r="AB207">
        <f t="shared" ca="1" si="35"/>
        <v>2025</v>
      </c>
      <c r="AC207">
        <f t="shared" ca="1" si="36"/>
        <v>6</v>
      </c>
      <c r="AD207" t="str">
        <f t="shared" ca="1" si="37"/>
        <v>06/21/2025</v>
      </c>
      <c r="AE207" t="str">
        <f t="shared" ca="1" si="38"/>
        <v/>
      </c>
      <c r="AF207" s="6">
        <f t="shared" ca="1" si="39"/>
        <v>5.7545131335863406E-2</v>
      </c>
      <c r="AG207">
        <f t="shared" ca="1" si="40"/>
        <v>404.56473384530005</v>
      </c>
      <c r="AH207">
        <f t="shared" ca="1" si="41"/>
        <v>150</v>
      </c>
      <c r="AI207">
        <f t="shared" ca="1" si="42"/>
        <v>0</v>
      </c>
      <c r="AJ207">
        <f t="shared" ca="1" si="43"/>
        <v>0</v>
      </c>
      <c r="AK207">
        <f t="shared" ca="1" si="44"/>
        <v>57.599999999999902</v>
      </c>
      <c r="AL207">
        <f t="shared" ca="1" si="45"/>
        <v>44.172704833649199</v>
      </c>
    </row>
    <row r="208" spans="1:38" hidden="1">
      <c r="A208" t="str">
        <f ca="1">IF(ISNA(A$1), 0, OFFSET(data!$A$1, ROW()-1, A$1-1))</f>
        <v>Oahu</v>
      </c>
      <c r="B208">
        <f ca="1">IF(ISNA(B$1), 0, OFFSET(data!$A$1, ROW()-1, B$1-1))</f>
        <v>2025</v>
      </c>
      <c r="C208" t="str">
        <f ca="1">IF(ISNA(C$1), 0, OFFSET(data!$A$1, ROW()-1, C$1-1))</f>
        <v>2025-06-21-02:00</v>
      </c>
      <c r="D208">
        <f ca="1">IF(ISNA(D$1), 0, OFFSET(data!$A$1, ROW()-1, D$1-1))</f>
        <v>119.750645646718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46.846814721701399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224.197460368419</v>
      </c>
      <c r="R208">
        <f ca="1">IF(ISNA(R$1), 0, OFFSET(data!$A$1, ROW()-1, R$1-1))</f>
        <v>0</v>
      </c>
      <c r="S208">
        <f ca="1">IF(ISNA(S$1), 0, OFFSET(data!$A$1, ROW()-1, S$1-1))</f>
        <v>150</v>
      </c>
      <c r="T208">
        <f ca="1">IF(ISNA(T$1), 0, OFFSET(data!$A$1, ROW()-1, T$1-1))</f>
        <v>490.03060422499999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-147.0091812675</v>
      </c>
      <c r="X208">
        <f ca="1">IF(ISNA(X$1), 0, OFFSET(data!$A$1, ROW()-1, X$1-1))</f>
        <v>0</v>
      </c>
      <c r="Y208">
        <f ca="1">IF(ISNA(Y$1), 0, OFFSET(data!$A$1, ROW()-1, Y$1-1))</f>
        <v>31.176037410919701</v>
      </c>
      <c r="Z208">
        <f ca="1">IF(ISNA(Z$1), 0, OFFSET(data!$A$1, ROW()-1, Z$1-1))</f>
        <v>0</v>
      </c>
      <c r="AA208" t="str">
        <f ca="1">IF(ISNA(AA$1), #N/A, OFFSET(data!$A$1, ROW()-1, AA$1-1))</f>
        <v>typical</v>
      </c>
      <c r="AB208">
        <f t="shared" ca="1" si="35"/>
        <v>2025</v>
      </c>
      <c r="AC208">
        <f t="shared" ca="1" si="36"/>
        <v>6</v>
      </c>
      <c r="AD208" t="str">
        <f t="shared" ca="1" si="37"/>
        <v>06/21/2025</v>
      </c>
      <c r="AE208" t="str">
        <f t="shared" ca="1" si="38"/>
        <v/>
      </c>
      <c r="AF208" s="6">
        <f t="shared" ca="1" si="39"/>
        <v>0</v>
      </c>
      <c r="AG208">
        <f t="shared" ca="1" si="40"/>
        <v>343.02142295750002</v>
      </c>
      <c r="AH208">
        <f t="shared" ca="1" si="41"/>
        <v>150</v>
      </c>
      <c r="AI208">
        <f t="shared" ca="1" si="42"/>
        <v>0</v>
      </c>
      <c r="AJ208">
        <f t="shared" ca="1" si="43"/>
        <v>0</v>
      </c>
      <c r="AK208">
        <f t="shared" ca="1" si="44"/>
        <v>57.599999999999902</v>
      </c>
      <c r="AL208">
        <f t="shared" ca="1" si="45"/>
        <v>46.846814721701399</v>
      </c>
    </row>
    <row r="209" spans="1:38" hidden="1">
      <c r="A209" t="str">
        <f ca="1">IF(ISNA(A$1), 0, OFFSET(data!$A$1, ROW()-1, A$1-1))</f>
        <v>Oahu</v>
      </c>
      <c r="B209">
        <f ca="1">IF(ISNA(B$1), 0, OFFSET(data!$A$1, ROW()-1, B$1-1))</f>
        <v>2025</v>
      </c>
      <c r="C209" t="str">
        <f ca="1">IF(ISNA(C$1), 0, OFFSET(data!$A$1, ROW()-1, C$1-1))</f>
        <v>2025-06-21-04:00</v>
      </c>
      <c r="D209">
        <f ca="1">IF(ISNA(D$1), 0, OFFSET(data!$A$1, ROW()-1, D$1-1))</f>
        <v>119.750645646718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50.691141716505498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228.04178736322299</v>
      </c>
      <c r="R209">
        <f ca="1">IF(ISNA(R$1), 0, OFFSET(data!$A$1, ROW()-1, R$1-1))</f>
        <v>0</v>
      </c>
      <c r="S209">
        <f ca="1">IF(ISNA(S$1), 0, OFFSET(data!$A$1, ROW()-1, S$1-1))</f>
        <v>133.36407621917601</v>
      </c>
      <c r="T209">
        <f ca="1">IF(ISNA(T$1), 0, OFFSET(data!$A$1, ROW()-1, T$1-1))</f>
        <v>516.29409083200005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-154.88822724959999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0</v>
      </c>
      <c r="AA209" t="str">
        <f ca="1">IF(ISNA(AA$1), #N/A, OFFSET(data!$A$1, ROW()-1, AA$1-1))</f>
        <v>typical</v>
      </c>
      <c r="AB209">
        <f t="shared" ca="1" si="35"/>
        <v>2025</v>
      </c>
      <c r="AC209">
        <f t="shared" ca="1" si="36"/>
        <v>6</v>
      </c>
      <c r="AD209" t="str">
        <f t="shared" ca="1" si="37"/>
        <v>06/21/2025</v>
      </c>
      <c r="AE209" t="str">
        <f t="shared" ca="1" si="38"/>
        <v/>
      </c>
      <c r="AF209" s="6">
        <f t="shared" ca="1" si="39"/>
        <v>0</v>
      </c>
      <c r="AG209">
        <f t="shared" ca="1" si="40"/>
        <v>361.40586358240006</v>
      </c>
      <c r="AH209">
        <f t="shared" ca="1" si="41"/>
        <v>133.36407621917601</v>
      </c>
      <c r="AI209">
        <f t="shared" ca="1" si="42"/>
        <v>0</v>
      </c>
      <c r="AJ209">
        <f t="shared" ca="1" si="43"/>
        <v>0</v>
      </c>
      <c r="AK209">
        <f t="shared" ca="1" si="44"/>
        <v>57.599999999999902</v>
      </c>
      <c r="AL209">
        <f t="shared" ca="1" si="45"/>
        <v>50.691141716505498</v>
      </c>
    </row>
    <row r="210" spans="1:38" hidden="1">
      <c r="A210" t="str">
        <f ca="1">IF(ISNA(A$1), 0, OFFSET(data!$A$1, ROW()-1, A$1-1))</f>
        <v>Oahu</v>
      </c>
      <c r="B210">
        <f ca="1">IF(ISNA(B$1), 0, OFFSET(data!$A$1, ROW()-1, B$1-1))</f>
        <v>2025</v>
      </c>
      <c r="C210" t="str">
        <f ca="1">IF(ISNA(C$1), 0, OFFSET(data!$A$1, ROW()-1, C$1-1))</f>
        <v>2025-06-21-06:00</v>
      </c>
      <c r="D210">
        <f ca="1">IF(ISNA(D$1), 0, OFFSET(data!$A$1, ROW()-1, D$1-1))</f>
        <v>119.750645646718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342.61836924651601</v>
      </c>
      <c r="L210">
        <f ca="1">IF(ISNA(L$1), 0, OFFSET(data!$A$1, ROW()-1, L$1-1))</f>
        <v>57.599999999999902</v>
      </c>
      <c r="M210">
        <f ca="1">IF(ISNA(M$1), 0, OFFSET(data!$A$1, ROW()-1, M$1-1))</f>
        <v>44.791945205535001</v>
      </c>
      <c r="N210">
        <f ca="1">IF(ISNA(N$1), 0, OFFSET(data!$A$1, ROW()-1, N$1-1))</f>
        <v>-3.5527136788005001E-15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564.76096009877006</v>
      </c>
      <c r="R210">
        <f ca="1">IF(ISNA(R$1), 0, OFFSET(data!$A$1, ROW()-1, R$1-1))</f>
        <v>0</v>
      </c>
      <c r="S210">
        <f ca="1">IF(ISNA(S$1), 0, OFFSET(data!$A$1, ROW()-1, S$1-1))</f>
        <v>52.458364191129697</v>
      </c>
      <c r="T210">
        <f ca="1">IF(ISNA(T$1), 0, OFFSET(data!$A$1, ROW()-1, T$1-1))</f>
        <v>667.45617755700005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-200.2368532671</v>
      </c>
      <c r="X210">
        <f ca="1">IF(ISNA(X$1), 0, OFFSET(data!$A$1, ROW()-1, X$1-1))</f>
        <v>0</v>
      </c>
      <c r="Y210">
        <f ca="1">IF(ISNA(Y$1), 0, OFFSET(data!$A$1, ROW()-1, Y$1-1))</f>
        <v>150</v>
      </c>
      <c r="Z210">
        <f ca="1">IF(ISNA(Z$1), 0, OFFSET(data!$A$1, ROW()-1, Z$1-1))</f>
        <v>0</v>
      </c>
      <c r="AA210" t="str">
        <f ca="1">IF(ISNA(AA$1), #N/A, OFFSET(data!$A$1, ROW()-1, AA$1-1))</f>
        <v>typical</v>
      </c>
      <c r="AB210">
        <f t="shared" ca="1" si="35"/>
        <v>2025</v>
      </c>
      <c r="AC210">
        <f t="shared" ca="1" si="36"/>
        <v>6</v>
      </c>
      <c r="AD210" t="str">
        <f t="shared" ca="1" si="37"/>
        <v>06/21/2025</v>
      </c>
      <c r="AE210" t="str">
        <f t="shared" ca="1" si="38"/>
        <v/>
      </c>
      <c r="AF210" s="6">
        <f t="shared" ca="1" si="39"/>
        <v>0</v>
      </c>
      <c r="AG210">
        <f t="shared" ca="1" si="40"/>
        <v>467.21932428990004</v>
      </c>
      <c r="AH210">
        <f t="shared" ca="1" si="41"/>
        <v>150</v>
      </c>
      <c r="AI210">
        <f t="shared" ca="1" si="42"/>
        <v>0</v>
      </c>
      <c r="AJ210">
        <f t="shared" ca="1" si="43"/>
        <v>342.61836924651601</v>
      </c>
      <c r="AK210">
        <f t="shared" ca="1" si="44"/>
        <v>57.599999999999902</v>
      </c>
      <c r="AL210">
        <f t="shared" ca="1" si="45"/>
        <v>44.791945205535001</v>
      </c>
    </row>
    <row r="211" spans="1:38" hidden="1">
      <c r="A211" t="str">
        <f ca="1">IF(ISNA(A$1), 0, OFFSET(data!$A$1, ROW()-1, A$1-1))</f>
        <v>Oahu</v>
      </c>
      <c r="B211">
        <f ca="1">IF(ISNA(B$1), 0, OFFSET(data!$A$1, ROW()-1, B$1-1))</f>
        <v>2025</v>
      </c>
      <c r="C211" t="str">
        <f ca="1">IF(ISNA(C$1), 0, OFFSET(data!$A$1, ROW()-1, C$1-1))</f>
        <v>2025-06-21-08:00</v>
      </c>
      <c r="D211">
        <f ca="1">IF(ISNA(D$1), 0, OFFSET(data!$A$1, ROW()-1, D$1-1))</f>
        <v>119.750645646718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1154.75720450428</v>
      </c>
      <c r="L211">
        <f ca="1">IF(ISNA(L$1), 0, OFFSET(data!$A$1, ROW()-1, L$1-1))</f>
        <v>0</v>
      </c>
      <c r="M211">
        <f ca="1">IF(ISNA(M$1), 0, OFFSET(data!$A$1, ROW()-1, M$1-1))</f>
        <v>53.480452415979599</v>
      </c>
      <c r="N211">
        <f ca="1">IF(ISNA(N$1), 0, OFFSET(data!$A$1, ROW()-1, N$1-1))</f>
        <v>1.11458866973974</v>
      </c>
      <c r="O211">
        <f ca="1">IF(ISNA(O$1), 0, OFFSET(data!$A$1, ROW()-1, O$1-1))</f>
        <v>57.599999999999902</v>
      </c>
      <c r="P211">
        <f ca="1">IF(ISNA(P$1), 0, OFFSET(data!$A$1, ROW()-1, P$1-1))</f>
        <v>0</v>
      </c>
      <c r="Q211">
        <f ca="1">IF(ISNA(Q$1), 0, OFFSET(data!$A$1, ROW()-1, Q$1-1))</f>
        <v>1327.9883025669701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901.44620191399997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276.54210065297798</v>
      </c>
      <c r="X211">
        <f ca="1">IF(ISNA(X$1), 0, OFFSET(data!$A$1, ROW()-1, X$1-1))</f>
        <v>0</v>
      </c>
      <c r="Y211">
        <f ca="1">IF(ISNA(Y$1), 0, OFFSET(data!$A$1, ROW()-1, Y$1-1))</f>
        <v>150</v>
      </c>
      <c r="Z211">
        <f ca="1">IF(ISNA(Z$1), 0, OFFSET(data!$A$1, ROW()-1, Z$1-1))</f>
        <v>-10.459389839689701</v>
      </c>
      <c r="AA211" t="str">
        <f ca="1">IF(ISNA(AA$1), #N/A, OFFSET(data!$A$1, ROW()-1, AA$1-1))</f>
        <v>typical</v>
      </c>
      <c r="AB211">
        <f t="shared" ca="1" si="35"/>
        <v>2025</v>
      </c>
      <c r="AC211">
        <f t="shared" ca="1" si="36"/>
        <v>6</v>
      </c>
      <c r="AD211" t="str">
        <f t="shared" ca="1" si="37"/>
        <v>06/21/2025</v>
      </c>
      <c r="AE211" t="str">
        <f t="shared" ca="1" si="38"/>
        <v/>
      </c>
      <c r="AF211" s="6">
        <f t="shared" ca="1" si="39"/>
        <v>-1.0459389839689701E-2</v>
      </c>
      <c r="AG211">
        <f t="shared" ca="1" si="40"/>
        <v>1177.9883025669778</v>
      </c>
      <c r="AH211">
        <f t="shared" ca="1" si="41"/>
        <v>150</v>
      </c>
      <c r="AI211">
        <f t="shared" ca="1" si="42"/>
        <v>0</v>
      </c>
      <c r="AJ211">
        <f t="shared" ca="1" si="43"/>
        <v>1155.8717931740198</v>
      </c>
      <c r="AK211">
        <f t="shared" ca="1" si="44"/>
        <v>57.599999999999902</v>
      </c>
      <c r="AL211">
        <f t="shared" ca="1" si="45"/>
        <v>53.480452415979599</v>
      </c>
    </row>
    <row r="212" spans="1:38" hidden="1">
      <c r="A212" t="str">
        <f ca="1">IF(ISNA(A$1), 0, OFFSET(data!$A$1, ROW()-1, A$1-1))</f>
        <v>Oahu</v>
      </c>
      <c r="B212">
        <f ca="1">IF(ISNA(B$1), 0, OFFSET(data!$A$1, ROW()-1, B$1-1))</f>
        <v>2025</v>
      </c>
      <c r="C212" t="str">
        <f ca="1">IF(ISNA(C$1), 0, OFFSET(data!$A$1, ROW()-1, C$1-1))</f>
        <v>2025-06-21-10:00</v>
      </c>
      <c r="D212">
        <f ca="1">IF(ISNA(D$1), 0, OFFSET(data!$A$1, ROW()-1, D$1-1))</f>
        <v>119.750645646718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1363.28245971514</v>
      </c>
      <c r="L212">
        <f ca="1">IF(ISNA(L$1), 0, OFFSET(data!$A$1, ROW()-1, L$1-1))</f>
        <v>0</v>
      </c>
      <c r="M212">
        <f ca="1">IF(ISNA(M$1), 0, OFFSET(data!$A$1, ROW()-1, M$1-1))</f>
        <v>42.828651170574297</v>
      </c>
      <c r="N212">
        <f ca="1">IF(ISNA(N$1), 0, OFFSET(data!$A$1, ROW()-1, N$1-1))</f>
        <v>9.6251565385578406</v>
      </c>
      <c r="O212">
        <f ca="1">IF(ISNA(O$1), 0, OFFSET(data!$A$1, ROW()-1, O$1-1))</f>
        <v>57.599999999999902</v>
      </c>
      <c r="P212">
        <f ca="1">IF(ISNA(P$1), 0, OFFSET(data!$A$1, ROW()-1, P$1-1))</f>
        <v>0</v>
      </c>
      <c r="Q212">
        <f ca="1">IF(ISNA(Q$1), 0, OFFSET(data!$A$1, ROW()-1, Q$1-1))</f>
        <v>1525.86175653243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992.92363426199995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382.93812227043298</v>
      </c>
      <c r="X212">
        <f ca="1">IF(ISNA(X$1), 0, OFFSET(data!$A$1, ROW()-1, X$1-1))</f>
        <v>0</v>
      </c>
      <c r="Y212">
        <f ca="1">IF(ISNA(Y$1), 0, OFFSET(data!$A$1, ROW()-1, Y$1-1))</f>
        <v>150</v>
      </c>
      <c r="Z212">
        <f ca="1">IF(ISNA(Z$1), 0, OFFSET(data!$A$1, ROW()-1, Z$1-1))</f>
        <v>-10.459389839689701</v>
      </c>
      <c r="AA212" t="str">
        <f ca="1">IF(ISNA(AA$1), #N/A, OFFSET(data!$A$1, ROW()-1, AA$1-1))</f>
        <v>typical</v>
      </c>
      <c r="AB212">
        <f t="shared" ca="1" si="35"/>
        <v>2025</v>
      </c>
      <c r="AC212">
        <f t="shared" ca="1" si="36"/>
        <v>6</v>
      </c>
      <c r="AD212" t="str">
        <f t="shared" ca="1" si="37"/>
        <v>06/21/2025</v>
      </c>
      <c r="AE212" t="str">
        <f t="shared" ca="1" si="38"/>
        <v/>
      </c>
      <c r="AF212" s="6">
        <f t="shared" ca="1" si="39"/>
        <v>-1.0459389839689701E-2</v>
      </c>
      <c r="AG212">
        <f t="shared" ca="1" si="40"/>
        <v>1375.861756532433</v>
      </c>
      <c r="AH212">
        <f t="shared" ca="1" si="41"/>
        <v>150</v>
      </c>
      <c r="AI212">
        <f t="shared" ca="1" si="42"/>
        <v>0</v>
      </c>
      <c r="AJ212">
        <f t="shared" ca="1" si="43"/>
        <v>1372.9076162536978</v>
      </c>
      <c r="AK212">
        <f t="shared" ca="1" si="44"/>
        <v>57.599999999999902</v>
      </c>
      <c r="AL212">
        <f t="shared" ca="1" si="45"/>
        <v>42.828651170574297</v>
      </c>
    </row>
    <row r="213" spans="1:38" hidden="1">
      <c r="A213" t="str">
        <f ca="1">IF(ISNA(A$1), 0, OFFSET(data!$A$1, ROW()-1, A$1-1))</f>
        <v>Oahu</v>
      </c>
      <c r="B213">
        <f ca="1">IF(ISNA(B$1), 0, OFFSET(data!$A$1, ROW()-1, B$1-1))</f>
        <v>2025</v>
      </c>
      <c r="C213" t="str">
        <f ca="1">IF(ISNA(C$1), 0, OFFSET(data!$A$1, ROW()-1, C$1-1))</f>
        <v>2025-06-21-12:00</v>
      </c>
      <c r="D213">
        <f ca="1">IF(ISNA(D$1), 0, OFFSET(data!$A$1, ROW()-1, D$1-1))</f>
        <v>119.750645646718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1198.1514353448899</v>
      </c>
      <c r="L213">
        <f ca="1">IF(ISNA(L$1), 0, OFFSET(data!$A$1, ROW()-1, L$1-1))</f>
        <v>0</v>
      </c>
      <c r="M213">
        <f ca="1">IF(ISNA(M$1), 0, OFFSET(data!$A$1, ROW()-1, M$1-1))</f>
        <v>46.021437599092003</v>
      </c>
      <c r="N213">
        <f ca="1">IF(ISNA(N$1), 0, OFFSET(data!$A$1, ROW()-1, N$1-1))</f>
        <v>151.347115693326</v>
      </c>
      <c r="O213">
        <f ca="1">IF(ISNA(O$1), 0, OFFSET(data!$A$1, ROW()-1, O$1-1))</f>
        <v>57.599999999999902</v>
      </c>
      <c r="P213">
        <f ca="1">IF(ISNA(P$1), 0, OFFSET(data!$A$1, ROW()-1, P$1-1))</f>
        <v>0</v>
      </c>
      <c r="Q213">
        <f ca="1">IF(ISNA(Q$1), 0, OFFSET(data!$A$1, ROW()-1, Q$1-1))</f>
        <v>1363.9235185907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997.94629876199997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215.97721982869999</v>
      </c>
      <c r="X213">
        <f ca="1">IF(ISNA(X$1), 0, OFFSET(data!$A$1, ROW()-1, X$1-1))</f>
        <v>0</v>
      </c>
      <c r="Y213">
        <f ca="1">IF(ISNA(Y$1), 0, OFFSET(data!$A$1, ROW()-1, Y$1-1))</f>
        <v>150</v>
      </c>
      <c r="Z213">
        <f ca="1">IF(ISNA(Z$1), 0, OFFSET(data!$A$1, ROW()-1, Z$1-1))</f>
        <v>-10.459389839689701</v>
      </c>
      <c r="AA213" t="str">
        <f ca="1">IF(ISNA(AA$1), #N/A, OFFSET(data!$A$1, ROW()-1, AA$1-1))</f>
        <v>typical</v>
      </c>
      <c r="AB213">
        <f t="shared" ca="1" si="35"/>
        <v>2025</v>
      </c>
      <c r="AC213">
        <f t="shared" ca="1" si="36"/>
        <v>6</v>
      </c>
      <c r="AD213" t="str">
        <f t="shared" ca="1" si="37"/>
        <v>06/21/2025</v>
      </c>
      <c r="AE213" t="str">
        <f t="shared" ca="1" si="38"/>
        <v>06/21/2025</v>
      </c>
      <c r="AF213" s="6">
        <f t="shared" ca="1" si="39"/>
        <v>-1.0459389839689701E-2</v>
      </c>
      <c r="AG213">
        <f t="shared" ca="1" si="40"/>
        <v>1213.9235185907</v>
      </c>
      <c r="AH213">
        <f t="shared" ca="1" si="41"/>
        <v>150</v>
      </c>
      <c r="AI213">
        <f t="shared" ca="1" si="42"/>
        <v>0</v>
      </c>
      <c r="AJ213">
        <f t="shared" ca="1" si="43"/>
        <v>1349.498551038216</v>
      </c>
      <c r="AK213">
        <f t="shared" ca="1" si="44"/>
        <v>57.599999999999902</v>
      </c>
      <c r="AL213">
        <f t="shared" ca="1" si="45"/>
        <v>46.021437599092003</v>
      </c>
    </row>
    <row r="214" spans="1:38" hidden="1">
      <c r="A214" t="str">
        <f ca="1">IF(ISNA(A$1), 0, OFFSET(data!$A$1, ROW()-1, A$1-1))</f>
        <v>Oahu</v>
      </c>
      <c r="B214">
        <f ca="1">IF(ISNA(B$1), 0, OFFSET(data!$A$1, ROW()-1, B$1-1))</f>
        <v>2025</v>
      </c>
      <c r="C214" t="str">
        <f ca="1">IF(ISNA(C$1), 0, OFFSET(data!$A$1, ROW()-1, C$1-1))</f>
        <v>2025-06-21-14:00</v>
      </c>
      <c r="D214">
        <f ca="1">IF(ISNA(D$1), 0, OFFSET(data!$A$1, ROW()-1, D$1-1))</f>
        <v>119.750645646718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1392.47542711303</v>
      </c>
      <c r="L214">
        <f ca="1">IF(ISNA(L$1), 0, OFFSET(data!$A$1, ROW()-1, L$1-1))</f>
        <v>0</v>
      </c>
      <c r="M214">
        <f ca="1">IF(ISNA(M$1), 0, OFFSET(data!$A$1, ROW()-1, M$1-1))</f>
        <v>50.1024578370874</v>
      </c>
      <c r="N214">
        <f ca="1">IF(ISNA(N$1), 0, OFFSET(data!$A$1, ROW()-1, N$1-1))</f>
        <v>0</v>
      </c>
      <c r="O214">
        <f ca="1">IF(ISNA(O$1), 0, OFFSET(data!$A$1, ROW()-1, O$1-1))</f>
        <v>57.599999999999902</v>
      </c>
      <c r="P214">
        <f ca="1">IF(ISNA(P$1), 0, OFFSET(data!$A$1, ROW()-1, P$1-1))</f>
        <v>0</v>
      </c>
      <c r="Q214">
        <f ca="1">IF(ISNA(Q$1), 0, OFFSET(data!$A$1, ROW()-1, Q$1-1))</f>
        <v>1562.32853059683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981.48213684799998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430.84639374883801</v>
      </c>
      <c r="X214">
        <f ca="1">IF(ISNA(X$1), 0, OFFSET(data!$A$1, ROW()-1, X$1-1))</f>
        <v>0</v>
      </c>
      <c r="Y214">
        <f ca="1">IF(ISNA(Y$1), 0, OFFSET(data!$A$1, ROW()-1, Y$1-1))</f>
        <v>150</v>
      </c>
      <c r="Z214">
        <f ca="1">IF(ISNA(Z$1), 0, OFFSET(data!$A$1, ROW()-1, Z$1-1))</f>
        <v>-10.459389839689701</v>
      </c>
      <c r="AA214" t="str">
        <f ca="1">IF(ISNA(AA$1), #N/A, OFFSET(data!$A$1, ROW()-1, AA$1-1))</f>
        <v>typical</v>
      </c>
      <c r="AB214">
        <f t="shared" ca="1" si="35"/>
        <v>2025</v>
      </c>
      <c r="AC214">
        <f t="shared" ca="1" si="36"/>
        <v>6</v>
      </c>
      <c r="AD214" t="str">
        <f t="shared" ca="1" si="37"/>
        <v>06/21/2025</v>
      </c>
      <c r="AE214" t="str">
        <f t="shared" ca="1" si="38"/>
        <v/>
      </c>
      <c r="AF214" s="6">
        <f t="shared" ca="1" si="39"/>
        <v>-1.0459389839689701E-2</v>
      </c>
      <c r="AG214">
        <f t="shared" ca="1" si="40"/>
        <v>1412.3285305968379</v>
      </c>
      <c r="AH214">
        <f t="shared" ca="1" si="41"/>
        <v>150</v>
      </c>
      <c r="AI214">
        <f t="shared" ca="1" si="42"/>
        <v>0</v>
      </c>
      <c r="AJ214">
        <f t="shared" ca="1" si="43"/>
        <v>1392.47542711303</v>
      </c>
      <c r="AK214">
        <f t="shared" ca="1" si="44"/>
        <v>57.599999999999902</v>
      </c>
      <c r="AL214">
        <f t="shared" ca="1" si="45"/>
        <v>50.1024578370874</v>
      </c>
    </row>
    <row r="215" spans="1:38" hidden="1">
      <c r="A215" t="str">
        <f ca="1">IF(ISNA(A$1), 0, OFFSET(data!$A$1, ROW()-1, A$1-1))</f>
        <v>Oahu</v>
      </c>
      <c r="B215">
        <f ca="1">IF(ISNA(B$1), 0, OFFSET(data!$A$1, ROW()-1, B$1-1))</f>
        <v>2025</v>
      </c>
      <c r="C215" t="str">
        <f ca="1">IF(ISNA(C$1), 0, OFFSET(data!$A$1, ROW()-1, C$1-1))</f>
        <v>2025-06-21-16:00</v>
      </c>
      <c r="D215">
        <f ca="1">IF(ISNA(D$1), 0, OFFSET(data!$A$1, ROW()-1, D$1-1))</f>
        <v>119.750645646718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1142.59265614081</v>
      </c>
      <c r="L215">
        <f ca="1">IF(ISNA(L$1), 0, OFFSET(data!$A$1, ROW()-1, L$1-1))</f>
        <v>0</v>
      </c>
      <c r="M215">
        <f ca="1">IF(ISNA(M$1), 0, OFFSET(data!$A$1, ROW()-1, M$1-1))</f>
        <v>53.630088374718298</v>
      </c>
      <c r="N215">
        <f ca="1">IF(ISNA(N$1), 0, OFFSET(data!$A$1, ROW()-1, N$1-1))</f>
        <v>78.118864614018904</v>
      </c>
      <c r="O215">
        <f ca="1">IF(ISNA(O$1), 0, OFFSET(data!$A$1, ROW()-1, O$1-1))</f>
        <v>57.599999999999902</v>
      </c>
      <c r="P215">
        <f ca="1">IF(ISNA(P$1), 0, OFFSET(data!$A$1, ROW()-1, P$1-1))</f>
        <v>0</v>
      </c>
      <c r="Q215">
        <f ca="1">IF(ISNA(Q$1), 0, OFFSET(data!$A$1, ROW()-1, Q$1-1))</f>
        <v>1315.9733901622401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991.00755725500005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174.965832907248</v>
      </c>
      <c r="X215">
        <f ca="1">IF(ISNA(X$1), 0, OFFSET(data!$A$1, ROW()-1, X$1-1))</f>
        <v>0</v>
      </c>
      <c r="Y215">
        <f ca="1">IF(ISNA(Y$1), 0, OFFSET(data!$A$1, ROW()-1, Y$1-1))</f>
        <v>150</v>
      </c>
      <c r="Z215">
        <f ca="1">IF(ISNA(Z$1), 0, OFFSET(data!$A$1, ROW()-1, Z$1-1))</f>
        <v>-10.459389839689701</v>
      </c>
      <c r="AA215" t="str">
        <f ca="1">IF(ISNA(AA$1), #N/A, OFFSET(data!$A$1, ROW()-1, AA$1-1))</f>
        <v>typical</v>
      </c>
      <c r="AB215">
        <f t="shared" ca="1" si="35"/>
        <v>2025</v>
      </c>
      <c r="AC215">
        <f t="shared" ca="1" si="36"/>
        <v>6</v>
      </c>
      <c r="AD215" t="str">
        <f t="shared" ca="1" si="37"/>
        <v>06/21/2025</v>
      </c>
      <c r="AE215" t="str">
        <f t="shared" ca="1" si="38"/>
        <v/>
      </c>
      <c r="AF215" s="6">
        <f t="shared" ca="1" si="39"/>
        <v>-1.0459389839689701E-2</v>
      </c>
      <c r="AG215">
        <f t="shared" ca="1" si="40"/>
        <v>1165.9733901622481</v>
      </c>
      <c r="AH215">
        <f t="shared" ca="1" si="41"/>
        <v>150</v>
      </c>
      <c r="AI215">
        <f t="shared" ca="1" si="42"/>
        <v>0</v>
      </c>
      <c r="AJ215">
        <f t="shared" ca="1" si="43"/>
        <v>1220.7115207548291</v>
      </c>
      <c r="AK215">
        <f t="shared" ca="1" si="44"/>
        <v>57.599999999999902</v>
      </c>
      <c r="AL215">
        <f t="shared" ca="1" si="45"/>
        <v>53.630088374718298</v>
      </c>
    </row>
    <row r="216" spans="1:38" hidden="1">
      <c r="A216" t="str">
        <f ca="1">IF(ISNA(A$1), 0, OFFSET(data!$A$1, ROW()-1, A$1-1))</f>
        <v>Oahu</v>
      </c>
      <c r="B216">
        <f ca="1">IF(ISNA(B$1), 0, OFFSET(data!$A$1, ROW()-1, B$1-1))</f>
        <v>2025</v>
      </c>
      <c r="C216" t="str">
        <f ca="1">IF(ISNA(C$1), 0, OFFSET(data!$A$1, ROW()-1, C$1-1))</f>
        <v>2025-06-21-18:00</v>
      </c>
      <c r="D216">
        <f ca="1">IF(ISNA(D$1), 0, OFFSET(data!$A$1, ROW()-1, D$1-1))</f>
        <v>119.750645646718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655.62252152105998</v>
      </c>
      <c r="L216">
        <f ca="1">IF(ISNA(L$1), 0, OFFSET(data!$A$1, ROW()-1, L$1-1))</f>
        <v>0</v>
      </c>
      <c r="M216">
        <f ca="1">IF(ISNA(M$1), 0, OFFSET(data!$A$1, ROW()-1, M$1-1))</f>
        <v>54.000095776120901</v>
      </c>
      <c r="N216">
        <f ca="1">IF(ISNA(N$1), 0, OFFSET(data!$A$1, ROW()-1, N$1-1))</f>
        <v>237.29891030739299</v>
      </c>
      <c r="O216">
        <f ca="1">IF(ISNA(O$1), 0, OFFSET(data!$A$1, ROW()-1, O$1-1))</f>
        <v>57.599999999999902</v>
      </c>
      <c r="P216">
        <f ca="1">IF(ISNA(P$1), 0, OFFSET(data!$A$1, ROW()-1, P$1-1))</f>
        <v>22.236305598385101</v>
      </c>
      <c r="Q216">
        <f ca="1">IF(ISNA(Q$1), 0, OFFSET(data!$A$1, ROW()-1, Q$1-1))</f>
        <v>829.37326294390004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970.53323277699997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-291.15996983309998</v>
      </c>
      <c r="X216">
        <f ca="1">IF(ISNA(X$1), 0, OFFSET(data!$A$1, ROW()-1, X$1-1))</f>
        <v>0</v>
      </c>
      <c r="Y216">
        <f ca="1">IF(ISNA(Y$1), 0, OFFSET(data!$A$1, ROW()-1, Y$1-1))</f>
        <v>150</v>
      </c>
      <c r="Z216">
        <f ca="1">IF(ISNA(Z$1), 0, OFFSET(data!$A$1, ROW()-1, Z$1-1))</f>
        <v>-10.459389839689701</v>
      </c>
      <c r="AA216" t="str">
        <f ca="1">IF(ISNA(AA$1), #N/A, OFFSET(data!$A$1, ROW()-1, AA$1-1))</f>
        <v>typical</v>
      </c>
      <c r="AB216">
        <f t="shared" ca="1" si="35"/>
        <v>2025</v>
      </c>
      <c r="AC216">
        <f t="shared" ca="1" si="36"/>
        <v>6</v>
      </c>
      <c r="AD216" t="str">
        <f t="shared" ca="1" si="37"/>
        <v>06/21/2025</v>
      </c>
      <c r="AE216" t="str">
        <f t="shared" ca="1" si="38"/>
        <v/>
      </c>
      <c r="AF216" s="6">
        <f t="shared" ca="1" si="39"/>
        <v>-1.0459389839689701E-2</v>
      </c>
      <c r="AG216">
        <f t="shared" ca="1" si="40"/>
        <v>679.37326294390004</v>
      </c>
      <c r="AH216">
        <f t="shared" ca="1" si="41"/>
        <v>150</v>
      </c>
      <c r="AI216">
        <f t="shared" ca="1" si="42"/>
        <v>0</v>
      </c>
      <c r="AJ216">
        <f t="shared" ca="1" si="43"/>
        <v>892.92143182845302</v>
      </c>
      <c r="AK216">
        <f t="shared" ca="1" si="44"/>
        <v>57.599999999999902</v>
      </c>
      <c r="AL216">
        <f t="shared" ca="1" si="45"/>
        <v>76.236401374506002</v>
      </c>
    </row>
    <row r="217" spans="1:38" hidden="1">
      <c r="A217" t="str">
        <f ca="1">IF(ISNA(A$1), 0, OFFSET(data!$A$1, ROW()-1, A$1-1))</f>
        <v>Oahu</v>
      </c>
      <c r="B217">
        <f ca="1">IF(ISNA(B$1), 0, OFFSET(data!$A$1, ROW()-1, B$1-1))</f>
        <v>2025</v>
      </c>
      <c r="C217" t="str">
        <f ca="1">IF(ISNA(C$1), 0, OFFSET(data!$A$1, ROW()-1, C$1-1))</f>
        <v>2025-06-21-20:00</v>
      </c>
      <c r="D217">
        <f ca="1">IF(ISNA(D$1), 0, OFFSET(data!$A$1, ROW()-1, D$1-1))</f>
        <v>119.750645646718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54.7126583248576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106.272501975624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516.53580594719995</v>
      </c>
      <c r="R217">
        <f ca="1">IF(ISNA(R$1), 0, OFFSET(data!$A$1, ROW()-1, R$1-1))</f>
        <v>0</v>
      </c>
      <c r="S217">
        <f ca="1">IF(ISNA(S$1), 0, OFFSET(data!$A$1, ROW()-1, S$1-1))</f>
        <v>150</v>
      </c>
      <c r="T217">
        <f ca="1">IF(ISNA(T$1), 0, OFFSET(data!$A$1, ROW()-1, T$1-1))</f>
        <v>952.19400849600004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-285.65820254879998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207.726479498304</v>
      </c>
      <c r="AA217" t="str">
        <f ca="1">IF(ISNA(AA$1), #N/A, OFFSET(data!$A$1, ROW()-1, AA$1-1))</f>
        <v>typical</v>
      </c>
      <c r="AB217">
        <f t="shared" ca="1" si="35"/>
        <v>2025</v>
      </c>
      <c r="AC217">
        <f t="shared" ca="1" si="36"/>
        <v>6</v>
      </c>
      <c r="AD217" t="str">
        <f t="shared" ca="1" si="37"/>
        <v>06/21/2025</v>
      </c>
      <c r="AE217" t="str">
        <f t="shared" ca="1" si="38"/>
        <v/>
      </c>
      <c r="AF217" s="6">
        <f t="shared" ca="1" si="39"/>
        <v>0.207726479498304</v>
      </c>
      <c r="AG217">
        <f t="shared" ca="1" si="40"/>
        <v>666.53580594720006</v>
      </c>
      <c r="AH217">
        <f t="shared" ca="1" si="41"/>
        <v>150</v>
      </c>
      <c r="AI217">
        <f t="shared" ca="1" si="42"/>
        <v>0</v>
      </c>
      <c r="AJ217">
        <f t="shared" ca="1" si="43"/>
        <v>0</v>
      </c>
      <c r="AK217">
        <f t="shared" ca="1" si="44"/>
        <v>57.599999999999902</v>
      </c>
      <c r="AL217">
        <f t="shared" ca="1" si="45"/>
        <v>106.272501975624</v>
      </c>
    </row>
    <row r="218" spans="1:38" hidden="1">
      <c r="A218" t="str">
        <f ca="1">IF(ISNA(A$1), 0, OFFSET(data!$A$1, ROW()-1, A$1-1))</f>
        <v>Oahu</v>
      </c>
      <c r="B218">
        <f ca="1">IF(ISNA(B$1), 0, OFFSET(data!$A$1, ROW()-1, B$1-1))</f>
        <v>2025</v>
      </c>
      <c r="C218" t="str">
        <f ca="1">IF(ISNA(C$1), 0, OFFSET(data!$A$1, ROW()-1, C$1-1))</f>
        <v>2025-06-21-22:00</v>
      </c>
      <c r="D218">
        <f ca="1">IF(ISNA(D$1), 0, OFFSET(data!$A$1, ROW()-1, D$1-1))</f>
        <v>119.750645646718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135.304708633579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71.520127439302101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384.17548171959902</v>
      </c>
      <c r="R218">
        <f ca="1">IF(ISNA(R$1), 0, OFFSET(data!$A$1, ROW()-1, R$1-1))</f>
        <v>0</v>
      </c>
      <c r="S218">
        <f ca="1">IF(ISNA(S$1), 0, OFFSET(data!$A$1, ROW()-1, S$1-1))</f>
        <v>150</v>
      </c>
      <c r="T218">
        <f ca="1">IF(ISNA(T$1), 0, OFFSET(data!$A$1, ROW()-1, T$1-1))</f>
        <v>763.10783102799996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-228.93234930839901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57.545131335863402</v>
      </c>
      <c r="AA218" t="str">
        <f ca="1">IF(ISNA(AA$1), #N/A, OFFSET(data!$A$1, ROW()-1, AA$1-1))</f>
        <v>typical</v>
      </c>
      <c r="AB218">
        <f t="shared" ca="1" si="35"/>
        <v>2025</v>
      </c>
      <c r="AC218">
        <f t="shared" ca="1" si="36"/>
        <v>6</v>
      </c>
      <c r="AD218" t="str">
        <f t="shared" ca="1" si="37"/>
        <v>06/21/2025</v>
      </c>
      <c r="AE218" t="str">
        <f t="shared" ca="1" si="38"/>
        <v/>
      </c>
      <c r="AF218" s="6">
        <f t="shared" ca="1" si="39"/>
        <v>5.7545131335863406E-2</v>
      </c>
      <c r="AG218">
        <f t="shared" ca="1" si="40"/>
        <v>534.17548171960095</v>
      </c>
      <c r="AH218">
        <f t="shared" ca="1" si="41"/>
        <v>150</v>
      </c>
      <c r="AI218">
        <f t="shared" ca="1" si="42"/>
        <v>0</v>
      </c>
      <c r="AJ218">
        <f t="shared" ca="1" si="43"/>
        <v>0</v>
      </c>
      <c r="AK218">
        <f t="shared" ca="1" si="44"/>
        <v>57.599999999999902</v>
      </c>
      <c r="AL218">
        <f t="shared" ca="1" si="45"/>
        <v>71.520127439302101</v>
      </c>
    </row>
    <row r="219" spans="1:38" hidden="1">
      <c r="A219" t="str">
        <f ca="1">IF(ISNA(A$1), 0, OFFSET(data!$A$1, ROW()-1, A$1-1))</f>
        <v>Oahu</v>
      </c>
      <c r="B219">
        <f ca="1">IF(ISNA(B$1), 0, OFFSET(data!$A$1, ROW()-1, B$1-1))</f>
        <v>2025</v>
      </c>
      <c r="C219" t="str">
        <f ca="1">IF(ISNA(C$1), 0, OFFSET(data!$A$1, ROW()-1, C$1-1))</f>
        <v>2025-08-20-00:00</v>
      </c>
      <c r="D219">
        <f ca="1">IF(ISNA(D$1), 0, OFFSET(data!$A$1, ROW()-1, D$1-1))</f>
        <v>119.750645646718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29.859702205835099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385.410347852553</v>
      </c>
      <c r="R219">
        <f ca="1">IF(ISNA(R$1), 0, OFFSET(data!$A$1, ROW()-1, R$1-1))</f>
        <v>0</v>
      </c>
      <c r="S219">
        <f ca="1">IF(ISNA(S$1), 0, OFFSET(data!$A$1, ROW()-1, S$1-1))</f>
        <v>23.570852443646501</v>
      </c>
      <c r="T219">
        <f ca="1">IF(ISNA(T$1), 0, OFFSET(data!$A$1, ROW()-1, T$1-1))</f>
        <v>584.25885756599996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-175.27765726979999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143.21126745392601</v>
      </c>
      <c r="AA219" t="str">
        <f ca="1">IF(ISNA(AA$1), #N/A, OFFSET(data!$A$1, ROW()-1, AA$1-1))</f>
        <v>typical</v>
      </c>
      <c r="AB219">
        <f t="shared" ca="1" si="35"/>
        <v>2025</v>
      </c>
      <c r="AC219">
        <f t="shared" ca="1" si="36"/>
        <v>8</v>
      </c>
      <c r="AD219" t="str">
        <f t="shared" ca="1" si="37"/>
        <v>08/20/2025</v>
      </c>
      <c r="AE219" t="str">
        <f t="shared" ca="1" si="38"/>
        <v/>
      </c>
      <c r="AF219" s="6">
        <f t="shared" ca="1" si="39"/>
        <v>0.14321126745392601</v>
      </c>
      <c r="AG219">
        <f t="shared" ca="1" si="40"/>
        <v>408.98120029619997</v>
      </c>
      <c r="AH219">
        <f t="shared" ca="1" si="41"/>
        <v>23.570852443646501</v>
      </c>
      <c r="AI219">
        <f t="shared" ca="1" si="42"/>
        <v>0</v>
      </c>
      <c r="AJ219">
        <f t="shared" ca="1" si="43"/>
        <v>0</v>
      </c>
      <c r="AK219">
        <f t="shared" ca="1" si="44"/>
        <v>57.599999999999902</v>
      </c>
      <c r="AL219">
        <f t="shared" ca="1" si="45"/>
        <v>29.859702205835099</v>
      </c>
    </row>
    <row r="220" spans="1:38" hidden="1">
      <c r="A220" t="str">
        <f ca="1">IF(ISNA(A$1), 0, OFFSET(data!$A$1, ROW()-1, A$1-1))</f>
        <v>Oahu</v>
      </c>
      <c r="B220">
        <f ca="1">IF(ISNA(B$1), 0, OFFSET(data!$A$1, ROW()-1, B$1-1))</f>
        <v>2025</v>
      </c>
      <c r="C220" t="str">
        <f ca="1">IF(ISNA(C$1), 0, OFFSET(data!$A$1, ROW()-1, C$1-1))</f>
        <v>2025-08-20-02:00</v>
      </c>
      <c r="D220">
        <f ca="1">IF(ISNA(D$1), 0, OFFSET(data!$A$1, ROW()-1, D$1-1))</f>
        <v>119.750645646718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21.596338209010099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377.14698385572802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521.49476388100004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-144.34778002527099</v>
      </c>
      <c r="X220">
        <f ca="1">IF(ISNA(X$1), 0, OFFSET(data!$A$1, ROW()-1, X$1-1))</f>
        <v>0</v>
      </c>
      <c r="Y220">
        <f ca="1">IF(ISNA(Y$1), 0, OFFSET(data!$A$1, ROW()-1, Y$1-1))</f>
        <v>0</v>
      </c>
      <c r="Z220">
        <f ca="1">IF(ISNA(Z$1), 0, OFFSET(data!$A$1, ROW()-1, Z$1-1))</f>
        <v>110.272675939523</v>
      </c>
      <c r="AA220" t="str">
        <f ca="1">IF(ISNA(AA$1), #N/A, OFFSET(data!$A$1, ROW()-1, AA$1-1))</f>
        <v>typical</v>
      </c>
      <c r="AB220">
        <f t="shared" ca="1" si="35"/>
        <v>2025</v>
      </c>
      <c r="AC220">
        <f t="shared" ca="1" si="36"/>
        <v>8</v>
      </c>
      <c r="AD220" t="str">
        <f t="shared" ca="1" si="37"/>
        <v>08/20/2025</v>
      </c>
      <c r="AE220" t="str">
        <f t="shared" ca="1" si="38"/>
        <v/>
      </c>
      <c r="AF220" s="6">
        <f t="shared" ca="1" si="39"/>
        <v>0.110272675939523</v>
      </c>
      <c r="AG220">
        <f t="shared" ca="1" si="40"/>
        <v>377.14698385572905</v>
      </c>
      <c r="AH220">
        <f t="shared" ca="1" si="41"/>
        <v>0</v>
      </c>
      <c r="AI220">
        <f t="shared" ca="1" si="42"/>
        <v>0</v>
      </c>
      <c r="AJ220">
        <f t="shared" ca="1" si="43"/>
        <v>0</v>
      </c>
      <c r="AK220">
        <f t="shared" ca="1" si="44"/>
        <v>57.599999999999902</v>
      </c>
      <c r="AL220">
        <f t="shared" ca="1" si="45"/>
        <v>21.596338209010099</v>
      </c>
    </row>
    <row r="221" spans="1:38" hidden="1">
      <c r="A221" t="str">
        <f ca="1">IF(ISNA(A$1), 0, OFFSET(data!$A$1, ROW()-1, A$1-1))</f>
        <v>Oahu</v>
      </c>
      <c r="B221">
        <f ca="1">IF(ISNA(B$1), 0, OFFSET(data!$A$1, ROW()-1, B$1-1))</f>
        <v>2025</v>
      </c>
      <c r="C221" t="str">
        <f ca="1">IF(ISNA(C$1), 0, OFFSET(data!$A$1, ROW()-1, C$1-1))</f>
        <v>2025-08-20-04:00</v>
      </c>
      <c r="D221">
        <f ca="1">IF(ISNA(D$1), 0, OFFSET(data!$A$1, ROW()-1, D$1-1))</f>
        <v>119.750645646718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15.7249531104185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371.27559875713598</v>
      </c>
      <c r="R221">
        <f ca="1">IF(ISNA(R$1), 0, OFFSET(data!$A$1, ROW()-1, R$1-1))</f>
        <v>0</v>
      </c>
      <c r="S221">
        <f ca="1">IF(ISNA(S$1), 0, OFFSET(data!$A$1, ROW()-1, S$1-1))</f>
        <v>47.898967493863097</v>
      </c>
      <c r="T221">
        <f ca="1">IF(ISNA(T$1), 0, OFFSET(data!$A$1, ROW()-1, T$1-1))</f>
        <v>598.82080893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-179.64624267899899</v>
      </c>
      <c r="X221">
        <f ca="1">IF(ISNA(X$1), 0, OFFSET(data!$A$1, ROW()-1, X$1-1))</f>
        <v>0</v>
      </c>
      <c r="Y221">
        <f ca="1">IF(ISNA(Y$1), 0, OFFSET(data!$A$1, ROW()-1, Y$1-1))</f>
        <v>0</v>
      </c>
      <c r="Z221">
        <f ca="1">IF(ISNA(Z$1), 0, OFFSET(data!$A$1, ROW()-1, Z$1-1))</f>
        <v>143.21126745392601</v>
      </c>
      <c r="AA221" t="str">
        <f ca="1">IF(ISNA(AA$1), #N/A, OFFSET(data!$A$1, ROW()-1, AA$1-1))</f>
        <v>typical</v>
      </c>
      <c r="AB221">
        <f t="shared" ca="1" si="35"/>
        <v>2025</v>
      </c>
      <c r="AC221">
        <f t="shared" ca="1" si="36"/>
        <v>8</v>
      </c>
      <c r="AD221" t="str">
        <f t="shared" ca="1" si="37"/>
        <v>08/20/2025</v>
      </c>
      <c r="AE221" t="str">
        <f t="shared" ca="1" si="38"/>
        <v/>
      </c>
      <c r="AF221" s="6">
        <f t="shared" ca="1" si="39"/>
        <v>0.14321126745392601</v>
      </c>
      <c r="AG221">
        <f t="shared" ca="1" si="40"/>
        <v>419.17456625100101</v>
      </c>
      <c r="AH221">
        <f t="shared" ca="1" si="41"/>
        <v>47.898967493863097</v>
      </c>
      <c r="AI221">
        <f t="shared" ca="1" si="42"/>
        <v>0</v>
      </c>
      <c r="AJ221">
        <f t="shared" ca="1" si="43"/>
        <v>0</v>
      </c>
      <c r="AK221">
        <f t="shared" ca="1" si="44"/>
        <v>57.599999999999902</v>
      </c>
      <c r="AL221">
        <f t="shared" ca="1" si="45"/>
        <v>15.7249531104185</v>
      </c>
    </row>
    <row r="222" spans="1:38" hidden="1">
      <c r="A222" t="str">
        <f ca="1">IF(ISNA(A$1), 0, OFFSET(data!$A$1, ROW()-1, A$1-1))</f>
        <v>Oahu</v>
      </c>
      <c r="B222">
        <f ca="1">IF(ISNA(B$1), 0, OFFSET(data!$A$1, ROW()-1, B$1-1))</f>
        <v>2025</v>
      </c>
      <c r="C222" t="str">
        <f ca="1">IF(ISNA(C$1), 0, OFFSET(data!$A$1, ROW()-1, C$1-1))</f>
        <v>2025-08-20-06:00</v>
      </c>
      <c r="D222">
        <f ca="1">IF(ISNA(D$1), 0, OFFSET(data!$A$1, ROW()-1, D$1-1))</f>
        <v>119.750645646718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8.7333935660970905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91.834747967977805</v>
      </c>
      <c r="L222">
        <f ca="1">IF(ISNA(L$1), 0, OFFSET(data!$A$1, ROW()-1, L$1-1))</f>
        <v>57.599999999999902</v>
      </c>
      <c r="M222">
        <f ca="1">IF(ISNA(M$1), 0, OFFSET(data!$A$1, ROW()-1, M$1-1))</f>
        <v>30.430889739706402</v>
      </c>
      <c r="N222">
        <f ca="1">IF(ISNA(N$1), 0, OFFSET(data!$A$1, ROW()-1, N$1-1))</f>
        <v>-8.8817841970012504E-16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486.549676920499</v>
      </c>
      <c r="R222">
        <f ca="1">IF(ISNA(R$1), 0, OFFSET(data!$A$1, ROW()-1, R$1-1))</f>
        <v>0</v>
      </c>
      <c r="S222">
        <f ca="1">IF(ISNA(S$1), 0, OFFSET(data!$A$1, ROW()-1, S$1-1))</f>
        <v>150</v>
      </c>
      <c r="T222">
        <f ca="1">IF(ISNA(T$1), 0, OFFSET(data!$A$1, ROW()-1, T$1-1))</f>
        <v>909.35668131499995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-272.80700439449998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207.342913347935</v>
      </c>
      <c r="AA222" t="str">
        <f ca="1">IF(ISNA(AA$1), #N/A, OFFSET(data!$A$1, ROW()-1, AA$1-1))</f>
        <v>typical</v>
      </c>
      <c r="AB222">
        <f t="shared" ca="1" si="35"/>
        <v>2025</v>
      </c>
      <c r="AC222">
        <f t="shared" ca="1" si="36"/>
        <v>8</v>
      </c>
      <c r="AD222" t="str">
        <f t="shared" ca="1" si="37"/>
        <v>08/20/2025</v>
      </c>
      <c r="AE222" t="str">
        <f t="shared" ca="1" si="38"/>
        <v/>
      </c>
      <c r="AF222" s="6">
        <f t="shared" ca="1" si="39"/>
        <v>0.207342913347935</v>
      </c>
      <c r="AG222">
        <f t="shared" ca="1" si="40"/>
        <v>636.54967692049991</v>
      </c>
      <c r="AH222">
        <f t="shared" ca="1" si="41"/>
        <v>150</v>
      </c>
      <c r="AI222">
        <f t="shared" ca="1" si="42"/>
        <v>0</v>
      </c>
      <c r="AJ222">
        <f t="shared" ca="1" si="43"/>
        <v>91.834747967977805</v>
      </c>
      <c r="AK222">
        <f t="shared" ca="1" si="44"/>
        <v>57.599999999999902</v>
      </c>
      <c r="AL222">
        <f t="shared" ca="1" si="45"/>
        <v>30.430889739706402</v>
      </c>
    </row>
    <row r="223" spans="1:38" hidden="1">
      <c r="A223" t="str">
        <f ca="1">IF(ISNA(A$1), 0, OFFSET(data!$A$1, ROW()-1, A$1-1))</f>
        <v>Oahu</v>
      </c>
      <c r="B223">
        <f ca="1">IF(ISNA(B$1), 0, OFFSET(data!$A$1, ROW()-1, B$1-1))</f>
        <v>2025</v>
      </c>
      <c r="C223" t="str">
        <f ca="1">IF(ISNA(C$1), 0, OFFSET(data!$A$1, ROW()-1, C$1-1))</f>
        <v>2025-08-20-08:00</v>
      </c>
      <c r="D223">
        <f ca="1">IF(ISNA(D$1), 0, OFFSET(data!$A$1, ROW()-1, D$1-1))</f>
        <v>119.750645646718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1129.4075576913399</v>
      </c>
      <c r="L223">
        <f ca="1">IF(ISNA(L$1), 0, OFFSET(data!$A$1, ROW()-1, L$1-1))</f>
        <v>57.599999999999902</v>
      </c>
      <c r="M223">
        <f ca="1">IF(ISNA(M$1), 0, OFFSET(data!$A$1, ROW()-1, M$1-1))</f>
        <v>22.3373152320614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1507.2955185701201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1082.5397036300001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274.75581494011902</v>
      </c>
      <c r="X223">
        <f ca="1">IF(ISNA(X$1), 0, OFFSET(data!$A$1, ROW()-1, X$1-1))</f>
        <v>0</v>
      </c>
      <c r="Y223">
        <f ca="1">IF(ISNA(Y$1), 0, OFFSET(data!$A$1, ROW()-1, Y$1-1))</f>
        <v>150</v>
      </c>
      <c r="Z223">
        <f ca="1">IF(ISNA(Z$1), 0, OFFSET(data!$A$1, ROW()-1, Z$1-1))</f>
        <v>110.272675939523</v>
      </c>
      <c r="AA223" t="str">
        <f ca="1">IF(ISNA(AA$1), #N/A, OFFSET(data!$A$1, ROW()-1, AA$1-1))</f>
        <v>typical</v>
      </c>
      <c r="AB223">
        <f t="shared" ca="1" si="35"/>
        <v>2025</v>
      </c>
      <c r="AC223">
        <f t="shared" ca="1" si="36"/>
        <v>8</v>
      </c>
      <c r="AD223" t="str">
        <f t="shared" ca="1" si="37"/>
        <v>08/20/2025</v>
      </c>
      <c r="AE223" t="str">
        <f t="shared" ca="1" si="38"/>
        <v/>
      </c>
      <c r="AF223" s="6">
        <f t="shared" ca="1" si="39"/>
        <v>0.110272675939523</v>
      </c>
      <c r="AG223">
        <f t="shared" ca="1" si="40"/>
        <v>1357.2955185701192</v>
      </c>
      <c r="AH223">
        <f t="shared" ca="1" si="41"/>
        <v>150</v>
      </c>
      <c r="AI223">
        <f t="shared" ca="1" si="42"/>
        <v>0</v>
      </c>
      <c r="AJ223">
        <f t="shared" ca="1" si="43"/>
        <v>1129.4075576913399</v>
      </c>
      <c r="AK223">
        <f t="shared" ca="1" si="44"/>
        <v>57.599999999999902</v>
      </c>
      <c r="AL223">
        <f t="shared" ca="1" si="45"/>
        <v>22.3373152320614</v>
      </c>
    </row>
    <row r="224" spans="1:38" hidden="1">
      <c r="A224" t="str">
        <f ca="1">IF(ISNA(A$1), 0, OFFSET(data!$A$1, ROW()-1, A$1-1))</f>
        <v>Oahu</v>
      </c>
      <c r="B224">
        <f ca="1">IF(ISNA(B$1), 0, OFFSET(data!$A$1, ROW()-1, B$1-1))</f>
        <v>2025</v>
      </c>
      <c r="C224" t="str">
        <f ca="1">IF(ISNA(C$1), 0, OFFSET(data!$A$1, ROW()-1, C$1-1))</f>
        <v>2025-08-20-10:00</v>
      </c>
      <c r="D224">
        <f ca="1">IF(ISNA(D$1), 0, OFFSET(data!$A$1, ROW()-1, D$1-1))</f>
        <v>119.750645646718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1313.4912550848101</v>
      </c>
      <c r="L224">
        <f ca="1">IF(ISNA(L$1), 0, OFFSET(data!$A$1, ROW()-1, L$1-1))</f>
        <v>57.599999999999902</v>
      </c>
      <c r="M224">
        <f ca="1">IF(ISNA(M$1), 0, OFFSET(data!$A$1, ROW()-1, M$1-1))</f>
        <v>36.842723662571501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1705.8846243941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1183.227721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372.65690339410298</v>
      </c>
      <c r="X224">
        <f ca="1">IF(ISNA(X$1), 0, OFFSET(data!$A$1, ROW()-1, X$1-1))</f>
        <v>0</v>
      </c>
      <c r="Y224">
        <f ca="1">IF(ISNA(Y$1), 0, OFFSET(data!$A$1, ROW()-1, Y$1-1))</f>
        <v>150</v>
      </c>
      <c r="Z224">
        <f ca="1">IF(ISNA(Z$1), 0, OFFSET(data!$A$1, ROW()-1, Z$1-1))</f>
        <v>110.272675939523</v>
      </c>
      <c r="AA224" t="str">
        <f ca="1">IF(ISNA(AA$1), #N/A, OFFSET(data!$A$1, ROW()-1, AA$1-1))</f>
        <v>typical</v>
      </c>
      <c r="AB224">
        <f t="shared" ca="1" si="35"/>
        <v>2025</v>
      </c>
      <c r="AC224">
        <f t="shared" ca="1" si="36"/>
        <v>8</v>
      </c>
      <c r="AD224" t="str">
        <f t="shared" ca="1" si="37"/>
        <v>08/20/2025</v>
      </c>
      <c r="AE224" t="str">
        <f t="shared" ca="1" si="38"/>
        <v/>
      </c>
      <c r="AF224" s="6">
        <f t="shared" ca="1" si="39"/>
        <v>0.110272675939523</v>
      </c>
      <c r="AG224">
        <f t="shared" ca="1" si="40"/>
        <v>1555.884624394103</v>
      </c>
      <c r="AH224">
        <f t="shared" ca="1" si="41"/>
        <v>150</v>
      </c>
      <c r="AI224">
        <f t="shared" ca="1" si="42"/>
        <v>0</v>
      </c>
      <c r="AJ224">
        <f t="shared" ca="1" si="43"/>
        <v>1313.4912550848101</v>
      </c>
      <c r="AK224">
        <f t="shared" ca="1" si="44"/>
        <v>57.599999999999902</v>
      </c>
      <c r="AL224">
        <f t="shared" ca="1" si="45"/>
        <v>36.842723662571501</v>
      </c>
    </row>
    <row r="225" spans="1:38" hidden="1">
      <c r="A225" t="str">
        <f ca="1">IF(ISNA(A$1), 0, OFFSET(data!$A$1, ROW()-1, A$1-1))</f>
        <v>Oahu</v>
      </c>
      <c r="B225">
        <f ca="1">IF(ISNA(B$1), 0, OFFSET(data!$A$1, ROW()-1, B$1-1))</f>
        <v>2025</v>
      </c>
      <c r="C225" t="str">
        <f ca="1">IF(ISNA(C$1), 0, OFFSET(data!$A$1, ROW()-1, C$1-1))</f>
        <v>2025-08-20-12:00</v>
      </c>
      <c r="D225">
        <f ca="1">IF(ISNA(D$1), 0, OFFSET(data!$A$1, ROW()-1, D$1-1))</f>
        <v>119.750645646718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1293.2382669129699</v>
      </c>
      <c r="L225">
        <f ca="1">IF(ISNA(L$1), 0, OFFSET(data!$A$1, ROW()-1, L$1-1))</f>
        <v>57.599999999999902</v>
      </c>
      <c r="M225">
        <f ca="1">IF(ISNA(M$1), 0, OFFSET(data!$A$1, ROW()-1, M$1-1))</f>
        <v>44.107164696437302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1692.89607725612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1206.2066115600001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336.689465696127</v>
      </c>
      <c r="X225">
        <f ca="1">IF(ISNA(X$1), 0, OFFSET(data!$A$1, ROW()-1, X$1-1))</f>
        <v>0</v>
      </c>
      <c r="Y225">
        <f ca="1">IF(ISNA(Y$1), 0, OFFSET(data!$A$1, ROW()-1, Y$1-1))</f>
        <v>150</v>
      </c>
      <c r="Z225">
        <f ca="1">IF(ISNA(Z$1), 0, OFFSET(data!$A$1, ROW()-1, Z$1-1))</f>
        <v>110.272675939523</v>
      </c>
      <c r="AA225" t="str">
        <f ca="1">IF(ISNA(AA$1), #N/A, OFFSET(data!$A$1, ROW()-1, AA$1-1))</f>
        <v>typical</v>
      </c>
      <c r="AB225">
        <f t="shared" ca="1" si="35"/>
        <v>2025</v>
      </c>
      <c r="AC225">
        <f t="shared" ca="1" si="36"/>
        <v>8</v>
      </c>
      <c r="AD225" t="str">
        <f t="shared" ca="1" si="37"/>
        <v>08/20/2025</v>
      </c>
      <c r="AE225" t="str">
        <f t="shared" ca="1" si="38"/>
        <v>08/20/2025</v>
      </c>
      <c r="AF225" s="6">
        <f t="shared" ca="1" si="39"/>
        <v>0.110272675939523</v>
      </c>
      <c r="AG225">
        <f t="shared" ca="1" si="40"/>
        <v>1542.896077256127</v>
      </c>
      <c r="AH225">
        <f t="shared" ca="1" si="41"/>
        <v>150</v>
      </c>
      <c r="AI225">
        <f t="shared" ca="1" si="42"/>
        <v>0</v>
      </c>
      <c r="AJ225">
        <f t="shared" ca="1" si="43"/>
        <v>1293.2382669129699</v>
      </c>
      <c r="AK225">
        <f t="shared" ca="1" si="44"/>
        <v>57.599999999999902</v>
      </c>
      <c r="AL225">
        <f t="shared" ca="1" si="45"/>
        <v>44.107164696437302</v>
      </c>
    </row>
    <row r="226" spans="1:38" hidden="1">
      <c r="A226" t="str">
        <f ca="1">IF(ISNA(A$1), 0, OFFSET(data!$A$1, ROW()-1, A$1-1))</f>
        <v>Oahu</v>
      </c>
      <c r="B226">
        <f ca="1">IF(ISNA(B$1), 0, OFFSET(data!$A$1, ROW()-1, B$1-1))</f>
        <v>2025</v>
      </c>
      <c r="C226" t="str">
        <f ca="1">IF(ISNA(C$1), 0, OFFSET(data!$A$1, ROW()-1, C$1-1))</f>
        <v>2025-08-20-14:00</v>
      </c>
      <c r="D226">
        <f ca="1">IF(ISNA(D$1), 0, OFFSET(data!$A$1, ROW()-1, D$1-1))</f>
        <v>119.750645646718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1383.0008319634201</v>
      </c>
      <c r="L226">
        <f ca="1">IF(ISNA(L$1), 0, OFFSET(data!$A$1, ROW()-1, L$1-1))</f>
        <v>57.599999999999902</v>
      </c>
      <c r="M226">
        <f ca="1">IF(ISNA(M$1), 0, OFFSET(data!$A$1, ROW()-1, M$1-1))</f>
        <v>53.673887327693102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1792.2253649378399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1216.66275522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425.56260971784002</v>
      </c>
      <c r="X226">
        <f ca="1">IF(ISNA(X$1), 0, OFFSET(data!$A$1, ROW()-1, X$1-1))</f>
        <v>0</v>
      </c>
      <c r="Y226">
        <f ca="1">IF(ISNA(Y$1), 0, OFFSET(data!$A$1, ROW()-1, Y$1-1))</f>
        <v>150</v>
      </c>
      <c r="Z226">
        <f ca="1">IF(ISNA(Z$1), 0, OFFSET(data!$A$1, ROW()-1, Z$1-1))</f>
        <v>110.272675939523</v>
      </c>
      <c r="AA226" t="str">
        <f ca="1">IF(ISNA(AA$1), #N/A, OFFSET(data!$A$1, ROW()-1, AA$1-1))</f>
        <v>typical</v>
      </c>
      <c r="AB226">
        <f t="shared" ca="1" si="35"/>
        <v>2025</v>
      </c>
      <c r="AC226">
        <f t="shared" ca="1" si="36"/>
        <v>8</v>
      </c>
      <c r="AD226" t="str">
        <f t="shared" ca="1" si="37"/>
        <v>08/20/2025</v>
      </c>
      <c r="AE226" t="str">
        <f t="shared" ca="1" si="38"/>
        <v/>
      </c>
      <c r="AF226" s="6">
        <f t="shared" ca="1" si="39"/>
        <v>0.110272675939523</v>
      </c>
      <c r="AG226">
        <f t="shared" ca="1" si="40"/>
        <v>1642.2253649378399</v>
      </c>
      <c r="AH226">
        <f t="shared" ca="1" si="41"/>
        <v>150</v>
      </c>
      <c r="AI226">
        <f t="shared" ca="1" si="42"/>
        <v>0</v>
      </c>
      <c r="AJ226">
        <f t="shared" ca="1" si="43"/>
        <v>1383.0008319634201</v>
      </c>
      <c r="AK226">
        <f t="shared" ca="1" si="44"/>
        <v>57.599999999999902</v>
      </c>
      <c r="AL226">
        <f t="shared" ca="1" si="45"/>
        <v>53.673887327693102</v>
      </c>
    </row>
    <row r="227" spans="1:38" hidden="1">
      <c r="A227" t="str">
        <f ca="1">IF(ISNA(A$1), 0, OFFSET(data!$A$1, ROW()-1, A$1-1))</f>
        <v>Oahu</v>
      </c>
      <c r="B227">
        <f ca="1">IF(ISNA(B$1), 0, OFFSET(data!$A$1, ROW()-1, B$1-1))</f>
        <v>2025</v>
      </c>
      <c r="C227" t="str">
        <f ca="1">IF(ISNA(C$1), 0, OFFSET(data!$A$1, ROW()-1, C$1-1))</f>
        <v>2025-08-20-16:00</v>
      </c>
      <c r="D227">
        <f ca="1">IF(ISNA(D$1), 0, OFFSET(data!$A$1, ROW()-1, D$1-1))</f>
        <v>119.750645646718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1122.8423606589299</v>
      </c>
      <c r="L227">
        <f ca="1">IF(ISNA(L$1), 0, OFFSET(data!$A$1, ROW()-1, L$1-1))</f>
        <v>57.599999999999902</v>
      </c>
      <c r="M227">
        <f ca="1">IF(ISNA(M$1), 0, OFFSET(data!$A$1, ROW()-1, M$1-1))</f>
        <v>58.841860973016701</v>
      </c>
      <c r="N227">
        <f ca="1">IF(ISNA(N$1), 0, OFFSET(data!$A$1, ROW()-1, N$1-1))</f>
        <v>-1.4210854715202001E-14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1537.23486727867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1180.16206461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263.11940998967998</v>
      </c>
      <c r="X227">
        <f ca="1">IF(ISNA(X$1), 0, OFFSET(data!$A$1, ROW()-1, X$1-1))</f>
        <v>0</v>
      </c>
      <c r="Y227">
        <f ca="1">IF(ISNA(Y$1), 0, OFFSET(data!$A$1, ROW()-1, Y$1-1))</f>
        <v>93.953392678990895</v>
      </c>
      <c r="Z227">
        <f ca="1">IF(ISNA(Z$1), 0, OFFSET(data!$A$1, ROW()-1, Z$1-1))</f>
        <v>110.272675939523</v>
      </c>
      <c r="AA227" t="str">
        <f ca="1">IF(ISNA(AA$1), #N/A, OFFSET(data!$A$1, ROW()-1, AA$1-1))</f>
        <v>typical</v>
      </c>
      <c r="AB227">
        <f t="shared" ca="1" si="35"/>
        <v>2025</v>
      </c>
      <c r="AC227">
        <f t="shared" ca="1" si="36"/>
        <v>8</v>
      </c>
      <c r="AD227" t="str">
        <f t="shared" ca="1" si="37"/>
        <v>08/20/2025</v>
      </c>
      <c r="AE227" t="str">
        <f t="shared" ca="1" si="38"/>
        <v/>
      </c>
      <c r="AF227" s="6">
        <f t="shared" ca="1" si="39"/>
        <v>0.110272675939523</v>
      </c>
      <c r="AG227">
        <f t="shared" ca="1" si="40"/>
        <v>1443.28147459968</v>
      </c>
      <c r="AH227">
        <f t="shared" ca="1" si="41"/>
        <v>93.953392678990895</v>
      </c>
      <c r="AI227">
        <f t="shared" ca="1" si="42"/>
        <v>0</v>
      </c>
      <c r="AJ227">
        <f t="shared" ca="1" si="43"/>
        <v>1122.8423606589299</v>
      </c>
      <c r="AK227">
        <f t="shared" ca="1" si="44"/>
        <v>57.599999999999902</v>
      </c>
      <c r="AL227">
        <f t="shared" ca="1" si="45"/>
        <v>58.841860973016701</v>
      </c>
    </row>
    <row r="228" spans="1:38" hidden="1">
      <c r="A228" t="str">
        <f ca="1">IF(ISNA(A$1), 0, OFFSET(data!$A$1, ROW()-1, A$1-1))</f>
        <v>Oahu</v>
      </c>
      <c r="B228">
        <f ca="1">IF(ISNA(B$1), 0, OFFSET(data!$A$1, ROW()-1, B$1-1))</f>
        <v>2025</v>
      </c>
      <c r="C228" t="str">
        <f ca="1">IF(ISNA(C$1), 0, OFFSET(data!$A$1, ROW()-1, C$1-1))</f>
        <v>2025-08-20-18:00</v>
      </c>
      <c r="D228">
        <f ca="1">IF(ISNA(D$1), 0, OFFSET(data!$A$1, ROW()-1, D$1-1))</f>
        <v>119.750645646718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44.4796901106794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152.74550208557099</v>
      </c>
      <c r="L228">
        <f ca="1">IF(ISNA(L$1), 0, OFFSET(data!$A$1, ROW()-1, L$1-1))</f>
        <v>57.599999999999902</v>
      </c>
      <c r="M228">
        <f ca="1">IF(ISNA(M$1), 0, OFFSET(data!$A$1, ROW()-1, M$1-1))</f>
        <v>101.695927737031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654.47176558000001</v>
      </c>
      <c r="R228">
        <f ca="1">IF(ISNA(R$1), 0, OFFSET(data!$A$1, ROW()-1, R$1-1))</f>
        <v>0</v>
      </c>
      <c r="S228">
        <f ca="1">IF(ISNA(S$1), 0, OFFSET(data!$A$1, ROW()-1, S$1-1))</f>
        <v>150</v>
      </c>
      <c r="T228">
        <f ca="1">IF(ISNA(T$1), 0, OFFSET(data!$A$1, ROW()-1, T$1-1))</f>
        <v>1149.2453794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-344.77361381999998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207.342913347935</v>
      </c>
      <c r="AA228" t="str">
        <f ca="1">IF(ISNA(AA$1), #N/A, OFFSET(data!$A$1, ROW()-1, AA$1-1))</f>
        <v>typical</v>
      </c>
      <c r="AB228">
        <f t="shared" ca="1" si="35"/>
        <v>2025</v>
      </c>
      <c r="AC228">
        <f t="shared" ca="1" si="36"/>
        <v>8</v>
      </c>
      <c r="AD228" t="str">
        <f t="shared" ca="1" si="37"/>
        <v>08/20/2025</v>
      </c>
      <c r="AE228" t="str">
        <f t="shared" ca="1" si="38"/>
        <v/>
      </c>
      <c r="AF228" s="6">
        <f t="shared" ca="1" si="39"/>
        <v>0.207342913347935</v>
      </c>
      <c r="AG228">
        <f t="shared" ca="1" si="40"/>
        <v>804.47176558000001</v>
      </c>
      <c r="AH228">
        <f t="shared" ca="1" si="41"/>
        <v>150</v>
      </c>
      <c r="AI228">
        <f t="shared" ca="1" si="42"/>
        <v>0</v>
      </c>
      <c r="AJ228">
        <f t="shared" ca="1" si="43"/>
        <v>152.74550208557099</v>
      </c>
      <c r="AK228">
        <f t="shared" ca="1" si="44"/>
        <v>57.599999999999902</v>
      </c>
      <c r="AL228">
        <f t="shared" ca="1" si="45"/>
        <v>101.695927737031</v>
      </c>
    </row>
    <row r="229" spans="1:38" hidden="1">
      <c r="A229" t="str">
        <f ca="1">IF(ISNA(A$1), 0, OFFSET(data!$A$1, ROW()-1, A$1-1))</f>
        <v>Oahu</v>
      </c>
      <c r="B229">
        <f ca="1">IF(ISNA(B$1), 0, OFFSET(data!$A$1, ROW()-1, B$1-1))</f>
        <v>2025</v>
      </c>
      <c r="C229" t="str">
        <f ca="1">IF(ISNA(C$1), 0, OFFSET(data!$A$1, ROW()-1, C$1-1))</f>
        <v>2025-08-20-20:00</v>
      </c>
      <c r="D229">
        <f ca="1">IF(ISNA(D$1), 0, OFFSET(data!$A$1, ROW()-1, D$1-1))</f>
        <v>119.750645646718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165.39058550420501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78.032280268075695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598.97351141899901</v>
      </c>
      <c r="R229">
        <f ca="1">IF(ISNA(R$1), 0, OFFSET(data!$A$1, ROW()-1, R$1-1))</f>
        <v>0</v>
      </c>
      <c r="S229">
        <f ca="1">IF(ISNA(S$1), 0, OFFSET(data!$A$1, ROW()-1, S$1-1))</f>
        <v>150</v>
      </c>
      <c r="T229">
        <f ca="1">IF(ISNA(T$1), 0, OFFSET(data!$A$1, ROW()-1, T$1-1))</f>
        <v>1069.9621591699999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-320.98864775099997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207.342913347935</v>
      </c>
      <c r="AA229" t="str">
        <f ca="1">IF(ISNA(AA$1), #N/A, OFFSET(data!$A$1, ROW()-1, AA$1-1))</f>
        <v>typical</v>
      </c>
      <c r="AB229">
        <f t="shared" ca="1" si="35"/>
        <v>2025</v>
      </c>
      <c r="AC229">
        <f t="shared" ca="1" si="36"/>
        <v>8</v>
      </c>
      <c r="AD229" t="str">
        <f t="shared" ca="1" si="37"/>
        <v>08/20/2025</v>
      </c>
      <c r="AE229" t="str">
        <f t="shared" ca="1" si="38"/>
        <v/>
      </c>
      <c r="AF229" s="6">
        <f t="shared" ca="1" si="39"/>
        <v>0.207342913347935</v>
      </c>
      <c r="AG229">
        <f t="shared" ca="1" si="40"/>
        <v>748.97351141900003</v>
      </c>
      <c r="AH229">
        <f t="shared" ca="1" si="41"/>
        <v>150</v>
      </c>
      <c r="AI229">
        <f t="shared" ca="1" si="42"/>
        <v>0</v>
      </c>
      <c r="AJ229">
        <f t="shared" ca="1" si="43"/>
        <v>0</v>
      </c>
      <c r="AK229">
        <f t="shared" ca="1" si="44"/>
        <v>57.599999999999902</v>
      </c>
      <c r="AL229">
        <f t="shared" ca="1" si="45"/>
        <v>78.032280268075695</v>
      </c>
    </row>
    <row r="230" spans="1:38" hidden="1">
      <c r="A230" t="str">
        <f ca="1">IF(ISNA(A$1), 0, OFFSET(data!$A$1, ROW()-1, A$1-1))</f>
        <v>Oahu</v>
      </c>
      <c r="B230">
        <f ca="1">IF(ISNA(B$1), 0, OFFSET(data!$A$1, ROW()-1, B$1-1))</f>
        <v>2025</v>
      </c>
      <c r="C230" t="str">
        <f ca="1">IF(ISNA(C$1), 0, OFFSET(data!$A$1, ROW()-1, C$1-1))</f>
        <v>2025-08-20-22:00</v>
      </c>
      <c r="D230">
        <f ca="1">IF(ISNA(D$1), 0, OFFSET(data!$A$1, ROW()-1, D$1-1))</f>
        <v>119.750645646718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59.775996790668302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415.326642437386</v>
      </c>
      <c r="R230">
        <f ca="1">IF(ISNA(R$1), 0, OFFSET(data!$A$1, ROW()-1, R$1-1))</f>
        <v>0</v>
      </c>
      <c r="S230">
        <f ca="1">IF(ISNA(S$1), 0, OFFSET(data!$A$1, ROW()-1, S$1-1))</f>
        <v>132.874292425313</v>
      </c>
      <c r="T230">
        <f ca="1">IF(ISNA(T$1), 0, OFFSET(data!$A$1, ROW()-1, T$1-1))</f>
        <v>783.14419266100003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-234.94325779830001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143.21126745392601</v>
      </c>
      <c r="AA230" t="str">
        <f ca="1">IF(ISNA(AA$1), #N/A, OFFSET(data!$A$1, ROW()-1, AA$1-1))</f>
        <v>typical</v>
      </c>
      <c r="AB230">
        <f t="shared" ca="1" si="35"/>
        <v>2025</v>
      </c>
      <c r="AC230">
        <f t="shared" ca="1" si="36"/>
        <v>8</v>
      </c>
      <c r="AD230" t="str">
        <f t="shared" ca="1" si="37"/>
        <v>08/20/2025</v>
      </c>
      <c r="AE230" t="str">
        <f t="shared" ca="1" si="38"/>
        <v/>
      </c>
      <c r="AF230" s="6">
        <f t="shared" ca="1" si="39"/>
        <v>0.14321126745392601</v>
      </c>
      <c r="AG230">
        <f t="shared" ca="1" si="40"/>
        <v>548.20093486270002</v>
      </c>
      <c r="AH230">
        <f t="shared" ca="1" si="41"/>
        <v>132.874292425313</v>
      </c>
      <c r="AI230">
        <f t="shared" ca="1" si="42"/>
        <v>0</v>
      </c>
      <c r="AJ230">
        <f t="shared" ca="1" si="43"/>
        <v>0</v>
      </c>
      <c r="AK230">
        <f t="shared" ca="1" si="44"/>
        <v>57.599999999999902</v>
      </c>
      <c r="AL230">
        <f t="shared" ca="1" si="45"/>
        <v>59.775996790668302</v>
      </c>
    </row>
    <row r="231" spans="1:38" hidden="1">
      <c r="A231" t="str">
        <f ca="1">IF(ISNA(A$1), 0, OFFSET(data!$A$1, ROW()-1, A$1-1))</f>
        <v>Oahu</v>
      </c>
      <c r="B231">
        <f ca="1">IF(ISNA(B$1), 0, OFFSET(data!$A$1, ROW()-1, B$1-1))</f>
        <v>2025</v>
      </c>
      <c r="C231" t="str">
        <f ca="1">IF(ISNA(C$1), 0, OFFSET(data!$A$1, ROW()-1, C$1-1))</f>
        <v>2025-08-30-00:00</v>
      </c>
      <c r="D231">
        <f ca="1">IF(ISNA(D$1), 0, OFFSET(data!$A$1, ROW()-1, D$1-1))</f>
        <v>119.750645646718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48.973054081903598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25.713180986978099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430.23688071560002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614.624115308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-184.38723459240001</v>
      </c>
      <c r="X231">
        <f ca="1">IF(ISNA(X$1), 0, OFFSET(data!$A$1, ROW()-1, X$1-1))</f>
        <v>0</v>
      </c>
      <c r="Y231">
        <f ca="1">IF(ISNA(Y$1), 0, OFFSET(data!$A$1, ROW()-1, Y$1-1))</f>
        <v>0</v>
      </c>
      <c r="Z231">
        <f ca="1">IF(ISNA(Z$1), 0, OFFSET(data!$A$1, ROW()-1, Z$1-1))</f>
        <v>863.62459662876802</v>
      </c>
      <c r="AA231" t="str">
        <f ca="1">IF(ISNA(AA$1), #N/A, OFFSET(data!$A$1, ROW()-1, AA$1-1))</f>
        <v>peak</v>
      </c>
      <c r="AB231">
        <f t="shared" ca="1" si="35"/>
        <v>2025</v>
      </c>
      <c r="AC231">
        <f t="shared" ca="1" si="36"/>
        <v>8</v>
      </c>
      <c r="AD231" t="str">
        <f t="shared" ca="1" si="37"/>
        <v>08/30/2025</v>
      </c>
      <c r="AE231" t="str">
        <f t="shared" ca="1" si="38"/>
        <v/>
      </c>
      <c r="AF231" s="6">
        <f t="shared" ca="1" si="39"/>
        <v>0.863624596628768</v>
      </c>
      <c r="AG231">
        <f t="shared" ca="1" si="40"/>
        <v>430.23688071560002</v>
      </c>
      <c r="AH231">
        <f t="shared" ca="1" si="41"/>
        <v>0</v>
      </c>
      <c r="AI231">
        <f t="shared" ca="1" si="42"/>
        <v>0</v>
      </c>
      <c r="AJ231">
        <f t="shared" ca="1" si="43"/>
        <v>0</v>
      </c>
      <c r="AK231">
        <f t="shared" ca="1" si="44"/>
        <v>57.599999999999902</v>
      </c>
      <c r="AL231">
        <f t="shared" ca="1" si="45"/>
        <v>25.713180986978099</v>
      </c>
    </row>
    <row r="232" spans="1:38" hidden="1">
      <c r="A232" t="str">
        <f ca="1">IF(ISNA(A$1), 0, OFFSET(data!$A$1, ROW()-1, A$1-1))</f>
        <v>Oahu</v>
      </c>
      <c r="B232">
        <f ca="1">IF(ISNA(B$1), 0, OFFSET(data!$A$1, ROW()-1, B$1-1))</f>
        <v>2025</v>
      </c>
      <c r="C232" t="str">
        <f ca="1">IF(ISNA(C$1), 0, OFFSET(data!$A$1, ROW()-1, C$1-1))</f>
        <v>2025-08-30-02:00</v>
      </c>
      <c r="D232">
        <f ca="1">IF(ISNA(D$1), 0, OFFSET(data!$A$1, ROW()-1, D$1-1))</f>
        <v>119.750645646718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39.096337287272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394.64698293398999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541.68193410499998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-147.034951171009</v>
      </c>
      <c r="X232">
        <f ca="1">IF(ISNA(X$1), 0, OFFSET(data!$A$1, ROW()-1, X$1-1))</f>
        <v>0</v>
      </c>
      <c r="Y232">
        <f ca="1">IF(ISNA(Y$1), 0, OFFSET(data!$A$1, ROW()-1, Y$1-1))</f>
        <v>0</v>
      </c>
      <c r="Z232">
        <f ca="1">IF(ISNA(Z$1), 0, OFFSET(data!$A$1, ROW()-1, Z$1-1))</f>
        <v>713.44324846632696</v>
      </c>
      <c r="AA232" t="str">
        <f ca="1">IF(ISNA(AA$1), #N/A, OFFSET(data!$A$1, ROW()-1, AA$1-1))</f>
        <v>peak</v>
      </c>
      <c r="AB232">
        <f t="shared" ca="1" si="35"/>
        <v>2025</v>
      </c>
      <c r="AC232">
        <f t="shared" ca="1" si="36"/>
        <v>8</v>
      </c>
      <c r="AD232" t="str">
        <f t="shared" ca="1" si="37"/>
        <v>08/30/2025</v>
      </c>
      <c r="AE232" t="str">
        <f t="shared" ca="1" si="38"/>
        <v/>
      </c>
      <c r="AF232" s="6">
        <f t="shared" ca="1" si="39"/>
        <v>0.71344324846632701</v>
      </c>
      <c r="AG232">
        <f t="shared" ca="1" si="40"/>
        <v>394.64698293399101</v>
      </c>
      <c r="AH232">
        <f t="shared" ca="1" si="41"/>
        <v>0</v>
      </c>
      <c r="AI232">
        <f t="shared" ca="1" si="42"/>
        <v>0</v>
      </c>
      <c r="AJ232">
        <f t="shared" ca="1" si="43"/>
        <v>0</v>
      </c>
      <c r="AK232">
        <f t="shared" ca="1" si="44"/>
        <v>57.599999999999902</v>
      </c>
      <c r="AL232">
        <f t="shared" ca="1" si="45"/>
        <v>39.096337287272</v>
      </c>
    </row>
    <row r="233" spans="1:38" hidden="1">
      <c r="A233" t="str">
        <f ca="1">IF(ISNA(A$1), 0, OFFSET(data!$A$1, ROW()-1, A$1-1))</f>
        <v>Oahu</v>
      </c>
      <c r="B233">
        <f ca="1">IF(ISNA(B$1), 0, OFFSET(data!$A$1, ROW()-1, B$1-1))</f>
        <v>2025</v>
      </c>
      <c r="C233" t="str">
        <f ca="1">IF(ISNA(C$1), 0, OFFSET(data!$A$1, ROW()-1, C$1-1))</f>
        <v>2025-08-30-04:00</v>
      </c>
      <c r="D233">
        <f ca="1">IF(ISNA(D$1), 0, OFFSET(data!$A$1, ROW()-1, D$1-1))</f>
        <v>119.750645646718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30.86907223291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47.407783273571603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433.82750115319999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619.75357307599995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-185.92607192279999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863.62459662876802</v>
      </c>
      <c r="AA233" t="str">
        <f ca="1">IF(ISNA(AA$1), #N/A, OFFSET(data!$A$1, ROW()-1, AA$1-1))</f>
        <v>peak</v>
      </c>
      <c r="AB233">
        <f t="shared" ca="1" si="35"/>
        <v>2025</v>
      </c>
      <c r="AC233">
        <f t="shared" ca="1" si="36"/>
        <v>8</v>
      </c>
      <c r="AD233" t="str">
        <f t="shared" ca="1" si="37"/>
        <v>08/30/2025</v>
      </c>
      <c r="AE233" t="str">
        <f t="shared" ca="1" si="38"/>
        <v/>
      </c>
      <c r="AF233" s="6">
        <f t="shared" ca="1" si="39"/>
        <v>0.863624596628768</v>
      </c>
      <c r="AG233">
        <f t="shared" ca="1" si="40"/>
        <v>433.82750115319993</v>
      </c>
      <c r="AH233">
        <f t="shared" ca="1" si="41"/>
        <v>0</v>
      </c>
      <c r="AI233">
        <f t="shared" ca="1" si="42"/>
        <v>0</v>
      </c>
      <c r="AJ233">
        <f t="shared" ca="1" si="43"/>
        <v>0</v>
      </c>
      <c r="AK233">
        <f t="shared" ca="1" si="44"/>
        <v>57.599999999999902</v>
      </c>
      <c r="AL233">
        <f t="shared" ca="1" si="45"/>
        <v>47.407783273571603</v>
      </c>
    </row>
    <row r="234" spans="1:38" hidden="1">
      <c r="A234" t="str">
        <f ca="1">IF(ISNA(A$1), 0, OFFSET(data!$A$1, ROW()-1, A$1-1))</f>
        <v>Oahu</v>
      </c>
      <c r="B234">
        <f ca="1">IF(ISNA(B$1), 0, OFFSET(data!$A$1, ROW()-1, B$1-1))</f>
        <v>2025</v>
      </c>
      <c r="C234" t="str">
        <f ca="1">IF(ISNA(C$1), 0, OFFSET(data!$A$1, ROW()-1, C$1-1))</f>
        <v>2025-08-30-06:00</v>
      </c>
      <c r="D234">
        <f ca="1">IF(ISNA(D$1), 0, OFFSET(data!$A$1, ROW()-1, D$1-1))</f>
        <v>119.750645646718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199.623793950959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56.0343548866202</v>
      </c>
      <c r="L234">
        <f ca="1">IF(ISNA(L$1), 0, OFFSET(data!$A$1, ROW()-1, L$1-1))</f>
        <v>57.599999999999902</v>
      </c>
      <c r="M234">
        <f ca="1">IF(ISNA(M$1), 0, OFFSET(data!$A$1, ROW()-1, M$1-1))</f>
        <v>40.587670082502299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651.79646456679995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931.13780652399998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-279.34134195719997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863.62459662876802</v>
      </c>
      <c r="AA234" t="str">
        <f ca="1">IF(ISNA(AA$1), #N/A, OFFSET(data!$A$1, ROW()-1, AA$1-1))</f>
        <v>peak</v>
      </c>
      <c r="AB234">
        <f t="shared" ca="1" si="35"/>
        <v>2025</v>
      </c>
      <c r="AC234">
        <f t="shared" ca="1" si="36"/>
        <v>8</v>
      </c>
      <c r="AD234" t="str">
        <f t="shared" ca="1" si="37"/>
        <v>08/30/2025</v>
      </c>
      <c r="AE234" t="str">
        <f t="shared" ca="1" si="38"/>
        <v/>
      </c>
      <c r="AF234" s="6">
        <f t="shared" ca="1" si="39"/>
        <v>0.863624596628768</v>
      </c>
      <c r="AG234">
        <f t="shared" ca="1" si="40"/>
        <v>651.79646456680007</v>
      </c>
      <c r="AH234">
        <f t="shared" ca="1" si="41"/>
        <v>0</v>
      </c>
      <c r="AI234">
        <f t="shared" ca="1" si="42"/>
        <v>0</v>
      </c>
      <c r="AJ234">
        <f t="shared" ca="1" si="43"/>
        <v>56.0343548866202</v>
      </c>
      <c r="AK234">
        <f t="shared" ca="1" si="44"/>
        <v>57.599999999999902</v>
      </c>
      <c r="AL234">
        <f t="shared" ca="1" si="45"/>
        <v>40.587670082502299</v>
      </c>
    </row>
    <row r="235" spans="1:38" hidden="1">
      <c r="A235" t="str">
        <f ca="1">IF(ISNA(A$1), 0, OFFSET(data!$A$1, ROW()-1, A$1-1))</f>
        <v>Oahu</v>
      </c>
      <c r="B235">
        <f ca="1">IF(ISNA(B$1), 0, OFFSET(data!$A$1, ROW()-1, B$1-1))</f>
        <v>2025</v>
      </c>
      <c r="C235" t="str">
        <f ca="1">IF(ISNA(C$1), 0, OFFSET(data!$A$1, ROW()-1, C$1-1))</f>
        <v>2025-08-30-08:00</v>
      </c>
      <c r="D235">
        <f ca="1">IF(ISNA(D$1), 0, OFFSET(data!$A$1, ROW()-1, D$1-1))</f>
        <v>119.750645646718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1089.1463322666</v>
      </c>
      <c r="L235">
        <f ca="1">IF(ISNA(L$1), 0, OFFSET(data!$A$1, ROW()-1, L$1-1))</f>
        <v>57.599999999999902</v>
      </c>
      <c r="M235">
        <f ca="1">IF(ISNA(M$1), 0, OFFSET(data!$A$1, ROW()-1, M$1-1))</f>
        <v>23.810544684781199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1290.3075225980999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1116.23979229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174.06773030810899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713.44324846632696</v>
      </c>
      <c r="AA235" t="str">
        <f ca="1">IF(ISNA(AA$1), #N/A, OFFSET(data!$A$1, ROW()-1, AA$1-1))</f>
        <v>peak</v>
      </c>
      <c r="AB235">
        <f t="shared" ca="1" si="35"/>
        <v>2025</v>
      </c>
      <c r="AC235">
        <f t="shared" ca="1" si="36"/>
        <v>8</v>
      </c>
      <c r="AD235" t="str">
        <f t="shared" ca="1" si="37"/>
        <v>08/30/2025</v>
      </c>
      <c r="AE235" t="str">
        <f t="shared" ca="1" si="38"/>
        <v/>
      </c>
      <c r="AF235" s="6">
        <f t="shared" ca="1" si="39"/>
        <v>0.71344324846632701</v>
      </c>
      <c r="AG235">
        <f t="shared" ca="1" si="40"/>
        <v>1290.307522598109</v>
      </c>
      <c r="AH235">
        <f t="shared" ca="1" si="41"/>
        <v>0</v>
      </c>
      <c r="AI235">
        <f t="shared" ca="1" si="42"/>
        <v>0</v>
      </c>
      <c r="AJ235">
        <f t="shared" ca="1" si="43"/>
        <v>1089.1463322666</v>
      </c>
      <c r="AK235">
        <f t="shared" ca="1" si="44"/>
        <v>57.599999999999902</v>
      </c>
      <c r="AL235">
        <f t="shared" ca="1" si="45"/>
        <v>23.810544684781199</v>
      </c>
    </row>
    <row r="236" spans="1:38" hidden="1">
      <c r="A236" t="str">
        <f ca="1">IF(ISNA(A$1), 0, OFFSET(data!$A$1, ROW()-1, A$1-1))</f>
        <v>Oahu</v>
      </c>
      <c r="B236">
        <f ca="1">IF(ISNA(B$1), 0, OFFSET(data!$A$1, ROW()-1, B$1-1))</f>
        <v>2025</v>
      </c>
      <c r="C236" t="str">
        <f ca="1">IF(ISNA(C$1), 0, OFFSET(data!$A$1, ROW()-1, C$1-1))</f>
        <v>2025-08-30-10:00</v>
      </c>
      <c r="D236">
        <f ca="1">IF(ISNA(D$1), 0, OFFSET(data!$A$1, ROW()-1, D$1-1))</f>
        <v>119.750645646718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1377.03681933282</v>
      </c>
      <c r="L236">
        <f ca="1">IF(ISNA(L$1), 0, OFFSET(data!$A$1, ROW()-1, L$1-1))</f>
        <v>57.599999999999902</v>
      </c>
      <c r="M236">
        <f ca="1">IF(ISNA(M$1), 0, OFFSET(data!$A$1, ROW()-1, M$1-1))</f>
        <v>26.234780489803999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1758.82224546935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1212.31128889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546.51095657935002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713.44324846632696</v>
      </c>
      <c r="AA236" t="str">
        <f ca="1">IF(ISNA(AA$1), #N/A, OFFSET(data!$A$1, ROW()-1, AA$1-1))</f>
        <v>peak</v>
      </c>
      <c r="AB236">
        <f t="shared" ca="1" si="35"/>
        <v>2025</v>
      </c>
      <c r="AC236">
        <f t="shared" ca="1" si="36"/>
        <v>8</v>
      </c>
      <c r="AD236" t="str">
        <f t="shared" ca="1" si="37"/>
        <v>08/30/2025</v>
      </c>
      <c r="AE236" t="str">
        <f t="shared" ca="1" si="38"/>
        <v/>
      </c>
      <c r="AF236" s="6">
        <f t="shared" ca="1" si="39"/>
        <v>0.71344324846632701</v>
      </c>
      <c r="AG236">
        <f t="shared" ca="1" si="40"/>
        <v>1758.82224546935</v>
      </c>
      <c r="AH236">
        <f t="shared" ca="1" si="41"/>
        <v>0</v>
      </c>
      <c r="AI236">
        <f t="shared" ca="1" si="42"/>
        <v>0</v>
      </c>
      <c r="AJ236">
        <f t="shared" ca="1" si="43"/>
        <v>1377.03681933282</v>
      </c>
      <c r="AK236">
        <f t="shared" ca="1" si="44"/>
        <v>57.599999999999902</v>
      </c>
      <c r="AL236">
        <f t="shared" ca="1" si="45"/>
        <v>26.234780489803999</v>
      </c>
    </row>
    <row r="237" spans="1:38" hidden="1">
      <c r="A237" t="str">
        <f ca="1">IF(ISNA(A$1), 0, OFFSET(data!$A$1, ROW()-1, A$1-1))</f>
        <v>Oahu</v>
      </c>
      <c r="B237">
        <f ca="1">IF(ISNA(B$1), 0, OFFSET(data!$A$1, ROW()-1, B$1-1))</f>
        <v>2025</v>
      </c>
      <c r="C237" t="str">
        <f ca="1">IF(ISNA(C$1), 0, OFFSET(data!$A$1, ROW()-1, C$1-1))</f>
        <v>2025-08-30-12:00</v>
      </c>
      <c r="D237">
        <f ca="1">IF(ISNA(D$1), 0, OFFSET(data!$A$1, ROW()-1, D$1-1))</f>
        <v>119.750645646718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1402.58012711724</v>
      </c>
      <c r="L237">
        <f ca="1">IF(ISNA(L$1), 0, OFFSET(data!$A$1, ROW()-1, L$1-1))</f>
        <v>57.599999999999902</v>
      </c>
      <c r="M237">
        <f ca="1">IF(ISNA(M$1), 0, OFFSET(data!$A$1, ROW()-1, M$1-1))</f>
        <v>34.375649302724803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1614.3064220666899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1241.9834896299999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372.32293243669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713.44324846632696</v>
      </c>
      <c r="AA237" t="str">
        <f ca="1">IF(ISNA(AA$1), #N/A, OFFSET(data!$A$1, ROW()-1, AA$1-1))</f>
        <v>peak</v>
      </c>
      <c r="AB237">
        <f t="shared" ca="1" si="35"/>
        <v>2025</v>
      </c>
      <c r="AC237">
        <f t="shared" ca="1" si="36"/>
        <v>8</v>
      </c>
      <c r="AD237" t="str">
        <f t="shared" ca="1" si="37"/>
        <v>08/30/2025</v>
      </c>
      <c r="AE237" t="str">
        <f t="shared" ca="1" si="38"/>
        <v>08/30/2025</v>
      </c>
      <c r="AF237" s="6">
        <f t="shared" ca="1" si="39"/>
        <v>0.71344324846632701</v>
      </c>
      <c r="AG237">
        <f t="shared" ca="1" si="40"/>
        <v>1614.3064220666899</v>
      </c>
      <c r="AH237">
        <f t="shared" ca="1" si="41"/>
        <v>0</v>
      </c>
      <c r="AI237">
        <f t="shared" ca="1" si="42"/>
        <v>0</v>
      </c>
      <c r="AJ237">
        <f t="shared" ca="1" si="43"/>
        <v>1402.58012711724</v>
      </c>
      <c r="AK237">
        <f t="shared" ca="1" si="44"/>
        <v>57.599999999999902</v>
      </c>
      <c r="AL237">
        <f t="shared" ca="1" si="45"/>
        <v>34.375649302724803</v>
      </c>
    </row>
    <row r="238" spans="1:38" hidden="1">
      <c r="A238" t="str">
        <f ca="1">IF(ISNA(A$1), 0, OFFSET(data!$A$1, ROW()-1, A$1-1))</f>
        <v>Oahu</v>
      </c>
      <c r="B238">
        <f ca="1">IF(ISNA(B$1), 0, OFFSET(data!$A$1, ROW()-1, B$1-1))</f>
        <v>2025</v>
      </c>
      <c r="C238" t="str">
        <f ca="1">IF(ISNA(C$1), 0, OFFSET(data!$A$1, ROW()-1, C$1-1))</f>
        <v>2025-08-30-14:00</v>
      </c>
      <c r="D238">
        <f ca="1">IF(ISNA(D$1), 0, OFFSET(data!$A$1, ROW()-1, D$1-1))</f>
        <v>119.750645646718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1369.0100898536</v>
      </c>
      <c r="L238">
        <f ca="1">IF(ISNA(L$1), 0, OFFSET(data!$A$1, ROW()-1, L$1-1))</f>
        <v>57.599999999999902</v>
      </c>
      <c r="M238">
        <f ca="1">IF(ISNA(M$1), 0, OFFSET(data!$A$1, ROW()-1, M$1-1))</f>
        <v>39.3666833753201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1585.7274188756401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1252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333.72741887564501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713.44324846632696</v>
      </c>
      <c r="AA238" t="str">
        <f ca="1">IF(ISNA(AA$1), #N/A, OFFSET(data!$A$1, ROW()-1, AA$1-1))</f>
        <v>peak</v>
      </c>
      <c r="AB238">
        <f t="shared" ca="1" si="35"/>
        <v>2025</v>
      </c>
      <c r="AC238">
        <f t="shared" ca="1" si="36"/>
        <v>8</v>
      </c>
      <c r="AD238" t="str">
        <f t="shared" ca="1" si="37"/>
        <v>08/30/2025</v>
      </c>
      <c r="AE238" t="str">
        <f t="shared" ca="1" si="38"/>
        <v/>
      </c>
      <c r="AF238" s="6">
        <f t="shared" ca="1" si="39"/>
        <v>0.71344324846632701</v>
      </c>
      <c r="AG238">
        <f t="shared" ca="1" si="40"/>
        <v>1585.7274188756451</v>
      </c>
      <c r="AH238">
        <f t="shared" ca="1" si="41"/>
        <v>0</v>
      </c>
      <c r="AI238">
        <f t="shared" ca="1" si="42"/>
        <v>0</v>
      </c>
      <c r="AJ238">
        <f t="shared" ca="1" si="43"/>
        <v>1369.0100898536</v>
      </c>
      <c r="AK238">
        <f t="shared" ca="1" si="44"/>
        <v>57.599999999999902</v>
      </c>
      <c r="AL238">
        <f t="shared" ca="1" si="45"/>
        <v>39.3666833753201</v>
      </c>
    </row>
    <row r="239" spans="1:38" hidden="1">
      <c r="A239" t="str">
        <f ca="1">IF(ISNA(A$1), 0, OFFSET(data!$A$1, ROW()-1, A$1-1))</f>
        <v>Oahu</v>
      </c>
      <c r="B239">
        <f ca="1">IF(ISNA(B$1), 0, OFFSET(data!$A$1, ROW()-1, B$1-1))</f>
        <v>2025</v>
      </c>
      <c r="C239" t="str">
        <f ca="1">IF(ISNA(C$1), 0, OFFSET(data!$A$1, ROW()-1, C$1-1))</f>
        <v>2025-08-30-16:00</v>
      </c>
      <c r="D239">
        <f ca="1">IF(ISNA(D$1), 0, OFFSET(data!$A$1, ROW()-1, D$1-1))</f>
        <v>119.750645646718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33.049968183590998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1263.43830638963</v>
      </c>
      <c r="L239">
        <f ca="1">IF(ISNA(L$1), 0, OFFSET(data!$A$1, ROW()-1, L$1-1))</f>
        <v>57.599999999999902</v>
      </c>
      <c r="M239">
        <f ca="1">IF(ISNA(M$1), 0, OFFSET(data!$A$1, ROW()-1, M$1-1))</f>
        <v>42.330836556471397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1516.1697567764099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1205.97013395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310.19962282641399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713.44324846632696</v>
      </c>
      <c r="AA239" t="str">
        <f ca="1">IF(ISNA(AA$1), #N/A, OFFSET(data!$A$1, ROW()-1, AA$1-1))</f>
        <v>peak</v>
      </c>
      <c r="AB239">
        <f t="shared" ca="1" si="35"/>
        <v>2025</v>
      </c>
      <c r="AC239">
        <f t="shared" ca="1" si="36"/>
        <v>8</v>
      </c>
      <c r="AD239" t="str">
        <f t="shared" ca="1" si="37"/>
        <v>08/30/2025</v>
      </c>
      <c r="AE239" t="str">
        <f t="shared" ca="1" si="38"/>
        <v/>
      </c>
      <c r="AF239" s="6">
        <f t="shared" ca="1" si="39"/>
        <v>0.71344324846632701</v>
      </c>
      <c r="AG239">
        <f t="shared" ca="1" si="40"/>
        <v>1516.169756776414</v>
      </c>
      <c r="AH239">
        <f t="shared" ca="1" si="41"/>
        <v>0</v>
      </c>
      <c r="AI239">
        <f t="shared" ca="1" si="42"/>
        <v>0</v>
      </c>
      <c r="AJ239">
        <f t="shared" ca="1" si="43"/>
        <v>1263.43830638963</v>
      </c>
      <c r="AK239">
        <f t="shared" ca="1" si="44"/>
        <v>57.599999999999902</v>
      </c>
      <c r="AL239">
        <f t="shared" ca="1" si="45"/>
        <v>42.330836556471397</v>
      </c>
    </row>
    <row r="240" spans="1:38" hidden="1">
      <c r="A240" t="str">
        <f ca="1">IF(ISNA(A$1), 0, OFFSET(data!$A$1, ROW()-1, A$1-1))</f>
        <v>Oahu</v>
      </c>
      <c r="B240">
        <f ca="1">IF(ISNA(B$1), 0, OFFSET(data!$A$1, ROW()-1, B$1-1))</f>
        <v>2025</v>
      </c>
      <c r="C240" t="str">
        <f ca="1">IF(ISNA(C$1), 0, OFFSET(data!$A$1, ROW()-1, C$1-1))</f>
        <v>2025-08-30-18:00</v>
      </c>
      <c r="D240">
        <f ca="1">IF(ISNA(D$1), 0, OFFSET(data!$A$1, ROW()-1, D$1-1))</f>
        <v>119.750645646718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280.667695426791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118.21544534944999</v>
      </c>
      <c r="L240">
        <f ca="1">IF(ISNA(L$1), 0, OFFSET(data!$A$1, ROW()-1, L$1-1))</f>
        <v>57.599999999999902</v>
      </c>
      <c r="M240">
        <f ca="1">IF(ISNA(M$1), 0, OFFSET(data!$A$1, ROW()-1, M$1-1))</f>
        <v>75.635520335166305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830.069306758126</v>
      </c>
      <c r="R240">
        <f ca="1">IF(ISNA(R$1), 0, OFFSET(data!$A$1, ROW()-1, R$1-1))</f>
        <v>0</v>
      </c>
      <c r="S240">
        <f ca="1">IF(ISNA(S$1), 0, OFFSET(data!$A$1, ROW()-1, S$1-1))</f>
        <v>8.3988690808736397</v>
      </c>
      <c r="T240">
        <f ca="1">IF(ISNA(T$1), 0, OFFSET(data!$A$1, ROW()-1, T$1-1))</f>
        <v>1197.81167977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-359.34350393099999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866.82746626512301</v>
      </c>
      <c r="AA240" t="str">
        <f ca="1">IF(ISNA(AA$1), #N/A, OFFSET(data!$A$1, ROW()-1, AA$1-1))</f>
        <v>peak</v>
      </c>
      <c r="AB240">
        <f t="shared" ca="1" si="35"/>
        <v>2025</v>
      </c>
      <c r="AC240">
        <f t="shared" ca="1" si="36"/>
        <v>8</v>
      </c>
      <c r="AD240" t="str">
        <f t="shared" ca="1" si="37"/>
        <v>08/30/2025</v>
      </c>
      <c r="AE240" t="str">
        <f t="shared" ca="1" si="38"/>
        <v/>
      </c>
      <c r="AF240" s="6">
        <f t="shared" ca="1" si="39"/>
        <v>0.86682746626512297</v>
      </c>
      <c r="AG240">
        <f t="shared" ca="1" si="40"/>
        <v>838.46817583899997</v>
      </c>
      <c r="AH240">
        <f t="shared" ca="1" si="41"/>
        <v>8.3988690808736397</v>
      </c>
      <c r="AI240">
        <f t="shared" ca="1" si="42"/>
        <v>0</v>
      </c>
      <c r="AJ240">
        <f t="shared" ca="1" si="43"/>
        <v>118.21544534944999</v>
      </c>
      <c r="AK240">
        <f t="shared" ca="1" si="44"/>
        <v>57.599999999999902</v>
      </c>
      <c r="AL240">
        <f t="shared" ca="1" si="45"/>
        <v>75.635520335166305</v>
      </c>
    </row>
    <row r="241" spans="1:38" hidden="1">
      <c r="A241" t="str">
        <f ca="1">IF(ISNA(A$1), 0, OFFSET(data!$A$1, ROW()-1, A$1-1))</f>
        <v>Oahu</v>
      </c>
      <c r="B241">
        <f ca="1">IF(ISNA(B$1), 0, OFFSET(data!$A$1, ROW()-1, B$1-1))</f>
        <v>2025</v>
      </c>
      <c r="C241" t="str">
        <f ca="1">IF(ISNA(C$1), 0, OFFSET(data!$A$1, ROW()-1, C$1-1))</f>
        <v>2025-08-30-20:00</v>
      </c>
      <c r="D241">
        <f ca="1">IF(ISNA(D$1), 0, OFFSET(data!$A$1, ROW()-1, D$1-1))</f>
        <v>119.750645646718</v>
      </c>
      <c r="E241">
        <f ca="1">IF(ISNA(E$1), 0, OFFSET(data!$A$1, ROW()-1, E$1-1))</f>
        <v>0</v>
      </c>
      <c r="F241">
        <f ca="1">IF(ISNA(F$1), 0, OFFSET(data!$A$1, ROW()-1, F$1-1))</f>
        <v>178.2</v>
      </c>
      <c r="G241">
        <f ca="1">IF(ISNA(G$1), 0, OFFSET(data!$A$1, ROW()-1, G$1-1))</f>
        <v>0</v>
      </c>
      <c r="H241">
        <f ca="1">IF(ISNA(H$1), 0, OFFSET(data!$A$1, ROW()-1, H$1-1))</f>
        <v>248.928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65.928849406155294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670.40749505287295</v>
      </c>
      <c r="R241">
        <f ca="1">IF(ISNA(R$1), 0, OFFSET(data!$A$1, ROW()-1, R$1-1))</f>
        <v>0</v>
      </c>
      <c r="S241">
        <f ca="1">IF(ISNA(S$1), 0, OFFSET(data!$A$1, ROW()-1, S$1-1))</f>
        <v>111.60113091912601</v>
      </c>
      <c r="T241">
        <f ca="1">IF(ISNA(T$1), 0, OFFSET(data!$A$1, ROW()-1, T$1-1))</f>
        <v>1117.1551799599999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-335.14655398799999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866.82746626512301</v>
      </c>
      <c r="AA241" t="str">
        <f ca="1">IF(ISNA(AA$1), #N/A, OFFSET(data!$A$1, ROW()-1, AA$1-1))</f>
        <v>peak</v>
      </c>
      <c r="AB241">
        <f t="shared" ca="1" si="35"/>
        <v>2025</v>
      </c>
      <c r="AC241">
        <f t="shared" ca="1" si="36"/>
        <v>8</v>
      </c>
      <c r="AD241" t="str">
        <f t="shared" ca="1" si="37"/>
        <v>08/30/2025</v>
      </c>
      <c r="AE241" t="str">
        <f t="shared" ca="1" si="38"/>
        <v/>
      </c>
      <c r="AF241" s="6">
        <f t="shared" ca="1" si="39"/>
        <v>0.86682746626512297</v>
      </c>
      <c r="AG241">
        <f t="shared" ca="1" si="40"/>
        <v>782.00862597199989</v>
      </c>
      <c r="AH241">
        <f t="shared" ca="1" si="41"/>
        <v>111.60113091912601</v>
      </c>
      <c r="AI241">
        <f t="shared" ca="1" si="42"/>
        <v>0</v>
      </c>
      <c r="AJ241">
        <f t="shared" ca="1" si="43"/>
        <v>0</v>
      </c>
      <c r="AK241">
        <f t="shared" ca="1" si="44"/>
        <v>57.599999999999902</v>
      </c>
      <c r="AL241">
        <f t="shared" ca="1" si="45"/>
        <v>65.928849406155294</v>
      </c>
    </row>
    <row r="242" spans="1:38" hidden="1">
      <c r="A242" t="str">
        <f ca="1">IF(ISNA(A$1), 0, OFFSET(data!$A$1, ROW()-1, A$1-1))</f>
        <v>Oahu</v>
      </c>
      <c r="B242">
        <f ca="1">IF(ISNA(B$1), 0, OFFSET(data!$A$1, ROW()-1, B$1-1))</f>
        <v>2025</v>
      </c>
      <c r="C242" t="str">
        <f ca="1">IF(ISNA(C$1), 0, OFFSET(data!$A$1, ROW()-1, C$1-1))</f>
        <v>2025-08-30-22:00</v>
      </c>
      <c r="D242">
        <f ca="1">IF(ISNA(D$1), 0, OFFSET(data!$A$1, ROW()-1, D$1-1))</f>
        <v>119.750645646718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168.707947219159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48.922415216322698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573.18100808220004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818.83001154600004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-245.6490034638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863.62459662876802</v>
      </c>
      <c r="AA242" t="str">
        <f ca="1">IF(ISNA(AA$1), #N/A, OFFSET(data!$A$1, ROW()-1, AA$1-1))</f>
        <v>peak</v>
      </c>
      <c r="AB242">
        <f t="shared" ca="1" si="35"/>
        <v>2025</v>
      </c>
      <c r="AC242">
        <f t="shared" ca="1" si="36"/>
        <v>8</v>
      </c>
      <c r="AD242" t="str">
        <f t="shared" ca="1" si="37"/>
        <v>08/30/2025</v>
      </c>
      <c r="AE242" t="str">
        <f t="shared" ca="1" si="38"/>
        <v/>
      </c>
      <c r="AF242" s="6">
        <f t="shared" ca="1" si="39"/>
        <v>0.863624596628768</v>
      </c>
      <c r="AG242">
        <f t="shared" ca="1" si="40"/>
        <v>573.18100808220004</v>
      </c>
      <c r="AH242">
        <f t="shared" ca="1" si="41"/>
        <v>0</v>
      </c>
      <c r="AI242">
        <f t="shared" ca="1" si="42"/>
        <v>0</v>
      </c>
      <c r="AJ242">
        <f t="shared" ca="1" si="43"/>
        <v>0</v>
      </c>
      <c r="AK242">
        <f t="shared" ca="1" si="44"/>
        <v>57.599999999999902</v>
      </c>
      <c r="AL242">
        <f t="shared" ca="1" si="45"/>
        <v>48.922415216322698</v>
      </c>
    </row>
    <row r="243" spans="1:38" hidden="1">
      <c r="A243" t="str">
        <f ca="1">IF(ISNA(A$1), 0, OFFSET(data!$A$1, ROW()-1, A$1-1))</f>
        <v>Oahu</v>
      </c>
      <c r="B243">
        <f ca="1">IF(ISNA(B$1), 0, OFFSET(data!$A$1, ROW()-1, B$1-1))</f>
        <v>2025</v>
      </c>
      <c r="C243" t="str">
        <f ca="1">IF(ISNA(C$1), 0, OFFSET(data!$A$1, ROW()-1, C$1-1))</f>
        <v>2025-10-05-00:00</v>
      </c>
      <c r="D243">
        <f ca="1">IF(ISNA(D$1), 0, OFFSET(data!$A$1, ROW()-1, D$1-1))</f>
        <v>119.750645646718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32.377617844359598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387.92826349107702</v>
      </c>
      <c r="R243">
        <f ca="1">IF(ISNA(R$1), 0, OFFSET(data!$A$1, ROW()-1, R$1-1))</f>
        <v>0</v>
      </c>
      <c r="S243">
        <f ca="1">IF(ISNA(S$1), 0, OFFSET(data!$A$1, ROW()-1, S$1-1))</f>
        <v>3.2176526167221202</v>
      </c>
      <c r="T243">
        <f ca="1">IF(ISNA(T$1), 0, OFFSET(data!$A$1, ROW()-1, T$1-1))</f>
        <v>558.77988015400001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-167.63396404619999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74.7339367998227</v>
      </c>
      <c r="AA243" t="str">
        <f ca="1">IF(ISNA(AA$1), #N/A, OFFSET(data!$A$1, ROW()-1, AA$1-1))</f>
        <v>typical</v>
      </c>
      <c r="AB243">
        <f t="shared" ca="1" si="35"/>
        <v>2025</v>
      </c>
      <c r="AC243">
        <f t="shared" ca="1" si="36"/>
        <v>10</v>
      </c>
      <c r="AD243" t="str">
        <f t="shared" ca="1" si="37"/>
        <v>10/05/2025</v>
      </c>
      <c r="AE243" t="str">
        <f t="shared" ca="1" si="38"/>
        <v/>
      </c>
      <c r="AF243" s="6">
        <f t="shared" ca="1" si="39"/>
        <v>7.4733936799822695E-2</v>
      </c>
      <c r="AG243">
        <f t="shared" ca="1" si="40"/>
        <v>391.14591610780002</v>
      </c>
      <c r="AH243">
        <f t="shared" ca="1" si="41"/>
        <v>3.2176526167221202</v>
      </c>
      <c r="AI243">
        <f t="shared" ca="1" si="42"/>
        <v>0</v>
      </c>
      <c r="AJ243">
        <f t="shared" ca="1" si="43"/>
        <v>0</v>
      </c>
      <c r="AK243">
        <f t="shared" ca="1" si="44"/>
        <v>57.599999999999902</v>
      </c>
      <c r="AL243">
        <f t="shared" ca="1" si="45"/>
        <v>32.377617844359598</v>
      </c>
    </row>
    <row r="244" spans="1:38" hidden="1">
      <c r="A244" t="str">
        <f ca="1">IF(ISNA(A$1), 0, OFFSET(data!$A$1, ROW()-1, A$1-1))</f>
        <v>Oahu</v>
      </c>
      <c r="B244">
        <f ca="1">IF(ISNA(B$1), 0, OFFSET(data!$A$1, ROW()-1, B$1-1))</f>
        <v>2025</v>
      </c>
      <c r="C244" t="str">
        <f ca="1">IF(ISNA(C$1), 0, OFFSET(data!$A$1, ROW()-1, C$1-1))</f>
        <v>2025-10-05-02:00</v>
      </c>
      <c r="D244">
        <f ca="1">IF(ISNA(D$1), 0, OFFSET(data!$A$1, ROW()-1, D$1-1))</f>
        <v>119.750645646718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116.58459091237501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51.833885899806198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345.76912245889997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493.955889227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-148.1867667681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57.545131335863402</v>
      </c>
      <c r="AA244" t="str">
        <f ca="1">IF(ISNA(AA$1), #N/A, OFFSET(data!$A$1, ROW()-1, AA$1-1))</f>
        <v>typical</v>
      </c>
      <c r="AB244">
        <f t="shared" ca="1" si="35"/>
        <v>2025</v>
      </c>
      <c r="AC244">
        <f t="shared" ca="1" si="36"/>
        <v>10</v>
      </c>
      <c r="AD244" t="str">
        <f t="shared" ca="1" si="37"/>
        <v>10/05/2025</v>
      </c>
      <c r="AE244" t="str">
        <f t="shared" ca="1" si="38"/>
        <v/>
      </c>
      <c r="AF244" s="6">
        <f t="shared" ca="1" si="39"/>
        <v>5.7545131335863406E-2</v>
      </c>
      <c r="AG244">
        <f t="shared" ca="1" si="40"/>
        <v>345.76912245890003</v>
      </c>
      <c r="AH244">
        <f t="shared" ca="1" si="41"/>
        <v>0</v>
      </c>
      <c r="AI244">
        <f t="shared" ca="1" si="42"/>
        <v>0</v>
      </c>
      <c r="AJ244">
        <f t="shared" ca="1" si="43"/>
        <v>0</v>
      </c>
      <c r="AK244">
        <f t="shared" ca="1" si="44"/>
        <v>57.599999999999902</v>
      </c>
      <c r="AL244">
        <f t="shared" ca="1" si="45"/>
        <v>51.833885899806198</v>
      </c>
    </row>
    <row r="245" spans="1:38" hidden="1">
      <c r="A245" t="str">
        <f ca="1">IF(ISNA(A$1), 0, OFFSET(data!$A$1, ROW()-1, A$1-1))</f>
        <v>Oahu</v>
      </c>
      <c r="B245">
        <f ca="1">IF(ISNA(B$1), 0, OFFSET(data!$A$1, ROW()-1, B$1-1))</f>
        <v>2025</v>
      </c>
      <c r="C245" t="str">
        <f ca="1">IF(ISNA(C$1), 0, OFFSET(data!$A$1, ROW()-1, C$1-1))</f>
        <v>2025-10-05-04:00</v>
      </c>
      <c r="D245">
        <f ca="1">IF(ISNA(D$1), 0, OFFSET(data!$A$1, ROW()-1, D$1-1))</f>
        <v>119.750645646718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167.948037398965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61.745610414315699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407.04429345999898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581.49184779999996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-174.44755433999899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57.545131335863402</v>
      </c>
      <c r="AA245" t="str">
        <f ca="1">IF(ISNA(AA$1), #N/A, OFFSET(data!$A$1, ROW()-1, AA$1-1))</f>
        <v>typical</v>
      </c>
      <c r="AB245">
        <f t="shared" ca="1" si="35"/>
        <v>2025</v>
      </c>
      <c r="AC245">
        <f t="shared" ca="1" si="36"/>
        <v>10</v>
      </c>
      <c r="AD245" t="str">
        <f t="shared" ca="1" si="37"/>
        <v>10/05/2025</v>
      </c>
      <c r="AE245" t="str">
        <f t="shared" ca="1" si="38"/>
        <v/>
      </c>
      <c r="AF245" s="6">
        <f t="shared" ca="1" si="39"/>
        <v>5.7545131335863406E-2</v>
      </c>
      <c r="AG245">
        <f t="shared" ca="1" si="40"/>
        <v>407.04429346000097</v>
      </c>
      <c r="AH245">
        <f t="shared" ca="1" si="41"/>
        <v>0</v>
      </c>
      <c r="AI245">
        <f t="shared" ca="1" si="42"/>
        <v>0</v>
      </c>
      <c r="AJ245">
        <f t="shared" ca="1" si="43"/>
        <v>0</v>
      </c>
      <c r="AK245">
        <f t="shared" ca="1" si="44"/>
        <v>57.599999999999902</v>
      </c>
      <c r="AL245">
        <f t="shared" ca="1" si="45"/>
        <v>61.745610414315699</v>
      </c>
    </row>
    <row r="246" spans="1:38" hidden="1">
      <c r="A246" t="str">
        <f ca="1">IF(ISNA(A$1), 0, OFFSET(data!$A$1, ROW()-1, A$1-1))</f>
        <v>Oahu</v>
      </c>
      <c r="B246">
        <f ca="1">IF(ISNA(B$1), 0, OFFSET(data!$A$1, ROW()-1, B$1-1))</f>
        <v>2025</v>
      </c>
      <c r="C246" t="str">
        <f ca="1">IF(ISNA(C$1), 0, OFFSET(data!$A$1, ROW()-1, C$1-1))</f>
        <v>2025-10-05-06:00</v>
      </c>
      <c r="D246">
        <f ca="1">IF(ISNA(D$1), 0, OFFSET(data!$A$1, ROW()-1, D$1-1))</f>
        <v>119.750645646718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899.53001557226605</v>
      </c>
      <c r="L246">
        <f ca="1">IF(ISNA(L$1), 0, OFFSET(data!$A$1, ROW()-1, L$1-1))</f>
        <v>57.599999999999902</v>
      </c>
      <c r="M246">
        <f ca="1">IF(ISNA(M$1), 0, OFFSET(data!$A$1, ROW()-1, M$1-1))</f>
        <v>70.677879434853097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1147.5585406538301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844.62496211600001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302.93357853783698</v>
      </c>
      <c r="X246">
        <f ca="1">IF(ISNA(X$1), 0, OFFSET(data!$A$1, ROW()-1, X$1-1))</f>
        <v>0</v>
      </c>
      <c r="Y246">
        <f ca="1">IF(ISNA(Y$1), 0, OFFSET(data!$A$1, ROW()-1, Y$1-1))</f>
        <v>0</v>
      </c>
      <c r="Z246">
        <f ca="1">IF(ISNA(Z$1), 0, OFFSET(data!$A$1, ROW()-1, Z$1-1))</f>
        <v>57.545131335863402</v>
      </c>
      <c r="AA246" t="str">
        <f ca="1">IF(ISNA(AA$1), #N/A, OFFSET(data!$A$1, ROW()-1, AA$1-1))</f>
        <v>typical</v>
      </c>
      <c r="AB246">
        <f t="shared" ca="1" si="35"/>
        <v>2025</v>
      </c>
      <c r="AC246">
        <f t="shared" ca="1" si="36"/>
        <v>10</v>
      </c>
      <c r="AD246" t="str">
        <f t="shared" ca="1" si="37"/>
        <v>10/05/2025</v>
      </c>
      <c r="AE246" t="str">
        <f t="shared" ca="1" si="38"/>
        <v/>
      </c>
      <c r="AF246" s="6">
        <f t="shared" ca="1" si="39"/>
        <v>5.7545131335863406E-2</v>
      </c>
      <c r="AG246">
        <f t="shared" ca="1" si="40"/>
        <v>1147.5585406538371</v>
      </c>
      <c r="AH246">
        <f t="shared" ca="1" si="41"/>
        <v>0</v>
      </c>
      <c r="AI246">
        <f t="shared" ca="1" si="42"/>
        <v>0</v>
      </c>
      <c r="AJ246">
        <f t="shared" ca="1" si="43"/>
        <v>899.53001557226605</v>
      </c>
      <c r="AK246">
        <f t="shared" ca="1" si="44"/>
        <v>57.599999999999902</v>
      </c>
      <c r="AL246">
        <f t="shared" ca="1" si="45"/>
        <v>70.677879434853097</v>
      </c>
    </row>
    <row r="247" spans="1:38" hidden="1">
      <c r="A247" t="str">
        <f ca="1">IF(ISNA(A$1), 0, OFFSET(data!$A$1, ROW()-1, A$1-1))</f>
        <v>Oahu</v>
      </c>
      <c r="B247">
        <f ca="1">IF(ISNA(B$1), 0, OFFSET(data!$A$1, ROW()-1, B$1-1))</f>
        <v>2025</v>
      </c>
      <c r="C247" t="str">
        <f ca="1">IF(ISNA(C$1), 0, OFFSET(data!$A$1, ROW()-1, C$1-1))</f>
        <v>2025-10-05-08:00</v>
      </c>
      <c r="D247">
        <f ca="1">IF(ISNA(D$1), 0, OFFSET(data!$A$1, ROW()-1, D$1-1))</f>
        <v>119.750645646718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865.29629704223805</v>
      </c>
      <c r="L247">
        <f ca="1">IF(ISNA(L$1), 0, OFFSET(data!$A$1, ROW()-1, L$1-1))</f>
        <v>57.599999999999902</v>
      </c>
      <c r="M247">
        <f ca="1">IF(ISNA(M$1), 0, OFFSET(data!$A$1, ROW()-1, M$1-1))</f>
        <v>81.591555360493501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1124.2384980494501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1048.6422753500001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-74.403777300549706</v>
      </c>
      <c r="X247">
        <f ca="1">IF(ISNA(X$1), 0, OFFSET(data!$A$1, ROW()-1, X$1-1))</f>
        <v>0</v>
      </c>
      <c r="Y247">
        <f ca="1">IF(ISNA(Y$1), 0, OFFSET(data!$A$1, ROW()-1, Y$1-1))</f>
        <v>150</v>
      </c>
      <c r="Z247">
        <f ca="1">IF(ISNA(Z$1), 0, OFFSET(data!$A$1, ROW()-1, Z$1-1))</f>
        <v>57.545131335863402</v>
      </c>
      <c r="AA247" t="str">
        <f ca="1">IF(ISNA(AA$1), #N/A, OFFSET(data!$A$1, ROW()-1, AA$1-1))</f>
        <v>typical</v>
      </c>
      <c r="AB247">
        <f t="shared" ca="1" si="35"/>
        <v>2025</v>
      </c>
      <c r="AC247">
        <f t="shared" ca="1" si="36"/>
        <v>10</v>
      </c>
      <c r="AD247" t="str">
        <f t="shared" ca="1" si="37"/>
        <v>10/05/2025</v>
      </c>
      <c r="AE247" t="str">
        <f t="shared" ca="1" si="38"/>
        <v/>
      </c>
      <c r="AF247" s="6">
        <f t="shared" ca="1" si="39"/>
        <v>5.7545131335863406E-2</v>
      </c>
      <c r="AG247">
        <f t="shared" ca="1" si="40"/>
        <v>974.23849804945041</v>
      </c>
      <c r="AH247">
        <f t="shared" ca="1" si="41"/>
        <v>150</v>
      </c>
      <c r="AI247">
        <f t="shared" ca="1" si="42"/>
        <v>0</v>
      </c>
      <c r="AJ247">
        <f t="shared" ca="1" si="43"/>
        <v>865.29629704223805</v>
      </c>
      <c r="AK247">
        <f t="shared" ca="1" si="44"/>
        <v>57.599999999999902</v>
      </c>
      <c r="AL247">
        <f t="shared" ca="1" si="45"/>
        <v>81.591555360493501</v>
      </c>
    </row>
    <row r="248" spans="1:38" hidden="1">
      <c r="A248" t="str">
        <f ca="1">IF(ISNA(A$1), 0, OFFSET(data!$A$1, ROW()-1, A$1-1))</f>
        <v>Oahu</v>
      </c>
      <c r="B248">
        <f ca="1">IF(ISNA(B$1), 0, OFFSET(data!$A$1, ROW()-1, B$1-1))</f>
        <v>2025</v>
      </c>
      <c r="C248" t="str">
        <f ca="1">IF(ISNA(C$1), 0, OFFSET(data!$A$1, ROW()-1, C$1-1))</f>
        <v>2025-10-05-10:00</v>
      </c>
      <c r="D248">
        <f ca="1">IF(ISNA(D$1), 0, OFFSET(data!$A$1, ROW()-1, D$1-1))</f>
        <v>119.750645646718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955.90670120340405</v>
      </c>
      <c r="L248">
        <f ca="1">IF(ISNA(L$1), 0, OFFSET(data!$A$1, ROW()-1, L$1-1))</f>
        <v>57.599999999999902</v>
      </c>
      <c r="M248">
        <f ca="1">IF(ISNA(M$1), 0, OFFSET(data!$A$1, ROW()-1, M$1-1))</f>
        <v>104.583493000101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1237.8408398502199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1126.68687998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-38.846040129776199</v>
      </c>
      <c r="X248">
        <f ca="1">IF(ISNA(X$1), 0, OFFSET(data!$A$1, ROW()-1, X$1-1))</f>
        <v>0</v>
      </c>
      <c r="Y248">
        <f ca="1">IF(ISNA(Y$1), 0, OFFSET(data!$A$1, ROW()-1, Y$1-1))</f>
        <v>150</v>
      </c>
      <c r="Z248">
        <f ca="1">IF(ISNA(Z$1), 0, OFFSET(data!$A$1, ROW()-1, Z$1-1))</f>
        <v>57.545131335863402</v>
      </c>
      <c r="AA248" t="str">
        <f ca="1">IF(ISNA(AA$1), #N/A, OFFSET(data!$A$1, ROW()-1, AA$1-1))</f>
        <v>typical</v>
      </c>
      <c r="AB248">
        <f t="shared" ca="1" si="35"/>
        <v>2025</v>
      </c>
      <c r="AC248">
        <f t="shared" ca="1" si="36"/>
        <v>10</v>
      </c>
      <c r="AD248" t="str">
        <f t="shared" ca="1" si="37"/>
        <v>10/05/2025</v>
      </c>
      <c r="AE248" t="str">
        <f t="shared" ca="1" si="38"/>
        <v/>
      </c>
      <c r="AF248" s="6">
        <f t="shared" ca="1" si="39"/>
        <v>5.7545131335863406E-2</v>
      </c>
      <c r="AG248">
        <f t="shared" ca="1" si="40"/>
        <v>1087.8408398502238</v>
      </c>
      <c r="AH248">
        <f t="shared" ca="1" si="41"/>
        <v>150</v>
      </c>
      <c r="AI248">
        <f t="shared" ca="1" si="42"/>
        <v>0</v>
      </c>
      <c r="AJ248">
        <f t="shared" ca="1" si="43"/>
        <v>955.90670120340405</v>
      </c>
      <c r="AK248">
        <f t="shared" ca="1" si="44"/>
        <v>57.599999999999902</v>
      </c>
      <c r="AL248">
        <f t="shared" ca="1" si="45"/>
        <v>104.583493000101</v>
      </c>
    </row>
    <row r="249" spans="1:38" hidden="1">
      <c r="A249" t="str">
        <f ca="1">IF(ISNA(A$1), 0, OFFSET(data!$A$1, ROW()-1, A$1-1))</f>
        <v>Oahu</v>
      </c>
      <c r="B249">
        <f ca="1">IF(ISNA(B$1), 0, OFFSET(data!$A$1, ROW()-1, B$1-1))</f>
        <v>2025</v>
      </c>
      <c r="C249" t="str">
        <f ca="1">IF(ISNA(C$1), 0, OFFSET(data!$A$1, ROW()-1, C$1-1))</f>
        <v>2025-10-05-12:00</v>
      </c>
      <c r="D249">
        <f ca="1">IF(ISNA(D$1), 0, OFFSET(data!$A$1, ROW()-1, D$1-1))</f>
        <v>119.750645646718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1290.20876995398</v>
      </c>
      <c r="L249">
        <f ca="1">IF(ISNA(L$1), 0, OFFSET(data!$A$1, ROW()-1, L$1-1))</f>
        <v>57.599999999999902</v>
      </c>
      <c r="M249">
        <f ca="1">IF(ISNA(M$1), 0, OFFSET(data!$A$1, ROW()-1, M$1-1))</f>
        <v>107.158406334497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1574.7178219351899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1147.15064237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427.567179565196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57.545131335863402</v>
      </c>
      <c r="AA249" t="str">
        <f ca="1">IF(ISNA(AA$1), #N/A, OFFSET(data!$A$1, ROW()-1, AA$1-1))</f>
        <v>typical</v>
      </c>
      <c r="AB249">
        <f t="shared" ca="1" si="35"/>
        <v>2025</v>
      </c>
      <c r="AC249">
        <f t="shared" ca="1" si="36"/>
        <v>10</v>
      </c>
      <c r="AD249" t="str">
        <f t="shared" ca="1" si="37"/>
        <v>10/05/2025</v>
      </c>
      <c r="AE249" t="str">
        <f t="shared" ca="1" si="38"/>
        <v>10/05/2025</v>
      </c>
      <c r="AF249" s="6">
        <f t="shared" ca="1" si="39"/>
        <v>5.7545131335863406E-2</v>
      </c>
      <c r="AG249">
        <f t="shared" ca="1" si="40"/>
        <v>1574.7178219351961</v>
      </c>
      <c r="AH249">
        <f t="shared" ca="1" si="41"/>
        <v>0</v>
      </c>
      <c r="AI249">
        <f t="shared" ca="1" si="42"/>
        <v>0</v>
      </c>
      <c r="AJ249">
        <f t="shared" ca="1" si="43"/>
        <v>1290.20876995398</v>
      </c>
      <c r="AK249">
        <f t="shared" ca="1" si="44"/>
        <v>57.599999999999902</v>
      </c>
      <c r="AL249">
        <f t="shared" ca="1" si="45"/>
        <v>107.158406334497</v>
      </c>
    </row>
    <row r="250" spans="1:38" hidden="1">
      <c r="A250" t="str">
        <f ca="1">IF(ISNA(A$1), 0, OFFSET(data!$A$1, ROW()-1, A$1-1))</f>
        <v>Oahu</v>
      </c>
      <c r="B250">
        <f ca="1">IF(ISNA(B$1), 0, OFFSET(data!$A$1, ROW()-1, B$1-1))</f>
        <v>2025</v>
      </c>
      <c r="C250" t="str">
        <f ca="1">IF(ISNA(C$1), 0, OFFSET(data!$A$1, ROW()-1, C$1-1))</f>
        <v>2025-10-05-14:00</v>
      </c>
      <c r="D250">
        <f ca="1">IF(ISNA(D$1), 0, OFFSET(data!$A$1, ROW()-1, D$1-1))</f>
        <v>119.750645646718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124.401219776684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1248.2334873109</v>
      </c>
      <c r="L250">
        <f ca="1">IF(ISNA(L$1), 0, OFFSET(data!$A$1, ROW()-1, L$1-1))</f>
        <v>57.599999999999902</v>
      </c>
      <c r="M250">
        <f ca="1">IF(ISNA(M$1), 0, OFFSET(data!$A$1, ROW()-1, M$1-1))</f>
        <v>97.778280459297505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1647.7636331936001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1134.3204242500001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461.55148289272</v>
      </c>
      <c r="X250">
        <f ca="1">IF(ISNA(X$1), 0, OFFSET(data!$A$1, ROW()-1, X$1-1))</f>
        <v>0</v>
      </c>
      <c r="Y250">
        <f ca="1">IF(ISNA(Y$1), 0, OFFSET(data!$A$1, ROW()-1, Y$1-1))</f>
        <v>51.891726050880898</v>
      </c>
      <c r="Z250">
        <f ca="1">IF(ISNA(Z$1), 0, OFFSET(data!$A$1, ROW()-1, Z$1-1))</f>
        <v>57.545131335863402</v>
      </c>
      <c r="AA250" t="str">
        <f ca="1">IF(ISNA(AA$1), #N/A, OFFSET(data!$A$1, ROW()-1, AA$1-1))</f>
        <v>typical</v>
      </c>
      <c r="AB250">
        <f t="shared" ca="1" si="35"/>
        <v>2025</v>
      </c>
      <c r="AC250">
        <f t="shared" ca="1" si="36"/>
        <v>10</v>
      </c>
      <c r="AD250" t="str">
        <f t="shared" ca="1" si="37"/>
        <v>10/05/2025</v>
      </c>
      <c r="AE250" t="str">
        <f t="shared" ca="1" si="38"/>
        <v/>
      </c>
      <c r="AF250" s="6">
        <f t="shared" ca="1" si="39"/>
        <v>5.7545131335863406E-2</v>
      </c>
      <c r="AG250">
        <f t="shared" ca="1" si="40"/>
        <v>1595.8719071427201</v>
      </c>
      <c r="AH250">
        <f t="shared" ca="1" si="41"/>
        <v>51.891726050880898</v>
      </c>
      <c r="AI250">
        <f t="shared" ca="1" si="42"/>
        <v>0</v>
      </c>
      <c r="AJ250">
        <f t="shared" ca="1" si="43"/>
        <v>1248.2334873109</v>
      </c>
      <c r="AK250">
        <f t="shared" ca="1" si="44"/>
        <v>57.599999999999902</v>
      </c>
      <c r="AL250">
        <f t="shared" ca="1" si="45"/>
        <v>97.778280459297505</v>
      </c>
    </row>
    <row r="251" spans="1:38" hidden="1">
      <c r="A251" t="str">
        <f ca="1">IF(ISNA(A$1), 0, OFFSET(data!$A$1, ROW()-1, A$1-1))</f>
        <v>Oahu</v>
      </c>
      <c r="B251">
        <f ca="1">IF(ISNA(B$1), 0, OFFSET(data!$A$1, ROW()-1, B$1-1))</f>
        <v>2025</v>
      </c>
      <c r="C251" t="str">
        <f ca="1">IF(ISNA(C$1), 0, OFFSET(data!$A$1, ROW()-1, C$1-1))</f>
        <v>2025-10-05-16:00</v>
      </c>
      <c r="D251">
        <f ca="1">IF(ISNA(D$1), 0, OFFSET(data!$A$1, ROW()-1, D$1-1))</f>
        <v>119.750645646718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1133.14583333257</v>
      </c>
      <c r="L251">
        <f ca="1">IF(ISNA(L$1), 0, OFFSET(data!$A$1, ROW()-1, L$1-1))</f>
        <v>57.599999999999902</v>
      </c>
      <c r="M251">
        <f ca="1">IF(ISNA(M$1), 0, OFFSET(data!$A$1, ROW()-1, M$1-1))</f>
        <v>65.168805329774003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1375.6652843090701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1094.30861581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281.35666849907102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57.545131335863402</v>
      </c>
      <c r="AA251" t="str">
        <f ca="1">IF(ISNA(AA$1), #N/A, OFFSET(data!$A$1, ROW()-1, AA$1-1))</f>
        <v>typical</v>
      </c>
      <c r="AB251">
        <f t="shared" ca="1" si="35"/>
        <v>2025</v>
      </c>
      <c r="AC251">
        <f t="shared" ca="1" si="36"/>
        <v>10</v>
      </c>
      <c r="AD251" t="str">
        <f t="shared" ca="1" si="37"/>
        <v>10/05/2025</v>
      </c>
      <c r="AE251" t="str">
        <f t="shared" ca="1" si="38"/>
        <v/>
      </c>
      <c r="AF251" s="6">
        <f t="shared" ca="1" si="39"/>
        <v>5.7545131335863406E-2</v>
      </c>
      <c r="AG251">
        <f t="shared" ca="1" si="40"/>
        <v>1375.665284309071</v>
      </c>
      <c r="AH251">
        <f t="shared" ca="1" si="41"/>
        <v>0</v>
      </c>
      <c r="AI251">
        <f t="shared" ca="1" si="42"/>
        <v>0</v>
      </c>
      <c r="AJ251">
        <f t="shared" ca="1" si="43"/>
        <v>1133.14583333257</v>
      </c>
      <c r="AK251">
        <f t="shared" ca="1" si="44"/>
        <v>57.599999999999902</v>
      </c>
      <c r="AL251">
        <f t="shared" ca="1" si="45"/>
        <v>65.168805329774003</v>
      </c>
    </row>
    <row r="252" spans="1:38" hidden="1">
      <c r="A252" t="str">
        <f ca="1">IF(ISNA(A$1), 0, OFFSET(data!$A$1, ROW()-1, A$1-1))</f>
        <v>Oahu</v>
      </c>
      <c r="B252">
        <f ca="1">IF(ISNA(B$1), 0, OFFSET(data!$A$1, ROW()-1, B$1-1))</f>
        <v>2025</v>
      </c>
      <c r="C252" t="str">
        <f ca="1">IF(ISNA(C$1), 0, OFFSET(data!$A$1, ROW()-1, C$1-1))</f>
        <v>2025-10-05-18:00</v>
      </c>
      <c r="D252">
        <f ca="1">IF(ISNA(D$1), 0, OFFSET(data!$A$1, ROW()-1, D$1-1))</f>
        <v>119.750645646718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157.15648677977001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30.826634221491201</v>
      </c>
      <c r="L252">
        <f ca="1">IF(ISNA(L$1), 0, OFFSET(data!$A$1, ROW()-1, L$1-1))</f>
        <v>57.599999999999902</v>
      </c>
      <c r="M252">
        <f ca="1">IF(ISNA(M$1), 0, OFFSET(data!$A$1, ROW()-1, M$1-1))</f>
        <v>92.9512857750195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636.48505242299905</v>
      </c>
      <c r="R252">
        <f ca="1">IF(ISNA(R$1), 0, OFFSET(data!$A$1, ROW()-1, R$1-1))</f>
        <v>0</v>
      </c>
      <c r="S252">
        <f ca="1">IF(ISNA(S$1), 0, OFFSET(data!$A$1, ROW()-1, S$1-1))</f>
        <v>150</v>
      </c>
      <c r="T252">
        <f ca="1">IF(ISNA(T$1), 0, OFFSET(data!$A$1, ROW()-1, T$1-1))</f>
        <v>1123.5500748899999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-337.06502246699898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207.726479498304</v>
      </c>
      <c r="AA252" t="str">
        <f ca="1">IF(ISNA(AA$1), #N/A, OFFSET(data!$A$1, ROW()-1, AA$1-1))</f>
        <v>typical</v>
      </c>
      <c r="AB252">
        <f t="shared" ca="1" si="35"/>
        <v>2025</v>
      </c>
      <c r="AC252">
        <f t="shared" ca="1" si="36"/>
        <v>10</v>
      </c>
      <c r="AD252" t="str">
        <f t="shared" ca="1" si="37"/>
        <v>10/05/2025</v>
      </c>
      <c r="AE252" t="str">
        <f t="shared" ca="1" si="38"/>
        <v/>
      </c>
      <c r="AF252" s="6">
        <f t="shared" ca="1" si="39"/>
        <v>0.207726479498304</v>
      </c>
      <c r="AG252">
        <f t="shared" ca="1" si="40"/>
        <v>786.48505242300098</v>
      </c>
      <c r="AH252">
        <f t="shared" ca="1" si="41"/>
        <v>150</v>
      </c>
      <c r="AI252">
        <f t="shared" ca="1" si="42"/>
        <v>0</v>
      </c>
      <c r="AJ252">
        <f t="shared" ca="1" si="43"/>
        <v>30.826634221491201</v>
      </c>
      <c r="AK252">
        <f t="shared" ca="1" si="44"/>
        <v>57.599999999999902</v>
      </c>
      <c r="AL252">
        <f t="shared" ca="1" si="45"/>
        <v>92.9512857750195</v>
      </c>
    </row>
    <row r="253" spans="1:38" hidden="1">
      <c r="A253" t="str">
        <f ca="1">IF(ISNA(A$1), 0, OFFSET(data!$A$1, ROW()-1, A$1-1))</f>
        <v>Oahu</v>
      </c>
      <c r="B253">
        <f ca="1">IF(ISNA(B$1), 0, OFFSET(data!$A$1, ROW()-1, B$1-1))</f>
        <v>2025</v>
      </c>
      <c r="C253" t="str">
        <f ca="1">IF(ISNA(C$1), 0, OFFSET(data!$A$1, ROW()-1, C$1-1))</f>
        <v>2025-10-05-20:00</v>
      </c>
      <c r="D253">
        <f ca="1">IF(ISNA(D$1), 0, OFFSET(data!$A$1, ROW()-1, D$1-1))</f>
        <v>119.750645646718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100.125722536821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86.492776279759894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542.16914446329997</v>
      </c>
      <c r="R253">
        <f ca="1">IF(ISNA(R$1), 0, OFFSET(data!$A$1, ROW()-1, R$1-1))</f>
        <v>0</v>
      </c>
      <c r="S253">
        <f ca="1">IF(ISNA(S$1), 0, OFFSET(data!$A$1, ROW()-1, S$1-1))</f>
        <v>150</v>
      </c>
      <c r="T253">
        <f ca="1">IF(ISNA(T$1), 0, OFFSET(data!$A$1, ROW()-1, T$1-1))</f>
        <v>988.81306351900002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-296.6439190557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207.726479498304</v>
      </c>
      <c r="AA253" t="str">
        <f ca="1">IF(ISNA(AA$1), #N/A, OFFSET(data!$A$1, ROW()-1, AA$1-1))</f>
        <v>typical</v>
      </c>
      <c r="AB253">
        <f t="shared" ca="1" si="35"/>
        <v>2025</v>
      </c>
      <c r="AC253">
        <f t="shared" ca="1" si="36"/>
        <v>10</v>
      </c>
      <c r="AD253" t="str">
        <f t="shared" ca="1" si="37"/>
        <v>10/05/2025</v>
      </c>
      <c r="AE253" t="str">
        <f t="shared" ca="1" si="38"/>
        <v/>
      </c>
      <c r="AF253" s="6">
        <f t="shared" ca="1" si="39"/>
        <v>0.207726479498304</v>
      </c>
      <c r="AG253">
        <f t="shared" ca="1" si="40"/>
        <v>692.16914446329997</v>
      </c>
      <c r="AH253">
        <f t="shared" ca="1" si="41"/>
        <v>150</v>
      </c>
      <c r="AI253">
        <f t="shared" ca="1" si="42"/>
        <v>0</v>
      </c>
      <c r="AJ253">
        <f t="shared" ca="1" si="43"/>
        <v>0</v>
      </c>
      <c r="AK253">
        <f t="shared" ca="1" si="44"/>
        <v>57.599999999999902</v>
      </c>
      <c r="AL253">
        <f t="shared" ca="1" si="45"/>
        <v>86.492776279759894</v>
      </c>
    </row>
    <row r="254" spans="1:38" hidden="1">
      <c r="A254" t="str">
        <f ca="1">IF(ISNA(A$1), 0, OFFSET(data!$A$1, ROW()-1, A$1-1))</f>
        <v>Oahu</v>
      </c>
      <c r="B254">
        <f ca="1">IF(ISNA(B$1), 0, OFFSET(data!$A$1, ROW()-1, B$1-1))</f>
        <v>2025</v>
      </c>
      <c r="C254" t="str">
        <f ca="1">IF(ISNA(C$1), 0, OFFSET(data!$A$1, ROW()-1, C$1-1))</f>
        <v>2025-10-05-22:00</v>
      </c>
      <c r="D254">
        <f ca="1">IF(ISNA(D$1), 0, OFFSET(data!$A$1, ROW()-1, D$1-1))</f>
        <v>119.750645646718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107.80139714832499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463.35204279504302</v>
      </c>
      <c r="R254">
        <f ca="1">IF(ISNA(R$1), 0, OFFSET(data!$A$1, ROW()-1, R$1-1))</f>
        <v>0</v>
      </c>
      <c r="S254">
        <f ca="1">IF(ISNA(S$1), 0, OFFSET(data!$A$1, ROW()-1, S$1-1))</f>
        <v>87.738976442456106</v>
      </c>
      <c r="T254">
        <f ca="1">IF(ISNA(T$1), 0, OFFSET(data!$A$1, ROW()-1, T$1-1))</f>
        <v>787.27288462499996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-236.18186538749899</v>
      </c>
      <c r="X254">
        <f ca="1">IF(ISNA(X$1), 0, OFFSET(data!$A$1, ROW()-1, X$1-1))</f>
        <v>0</v>
      </c>
      <c r="Y254">
        <f ca="1">IF(ISNA(Y$1), 0, OFFSET(data!$A$1, ROW()-1, Y$1-1))</f>
        <v>0</v>
      </c>
      <c r="Z254">
        <f ca="1">IF(ISNA(Z$1), 0, OFFSET(data!$A$1, ROW()-1, Z$1-1))</f>
        <v>74.7339367998227</v>
      </c>
      <c r="AA254" t="str">
        <f ca="1">IF(ISNA(AA$1), #N/A, OFFSET(data!$A$1, ROW()-1, AA$1-1))</f>
        <v>typical</v>
      </c>
      <c r="AB254">
        <f t="shared" ca="1" si="35"/>
        <v>2025</v>
      </c>
      <c r="AC254">
        <f t="shared" ca="1" si="36"/>
        <v>10</v>
      </c>
      <c r="AD254" t="str">
        <f t="shared" ca="1" si="37"/>
        <v>10/05/2025</v>
      </c>
      <c r="AE254" t="str">
        <f t="shared" ca="1" si="38"/>
        <v/>
      </c>
      <c r="AF254" s="6">
        <f t="shared" ca="1" si="39"/>
        <v>7.4733936799822695E-2</v>
      </c>
      <c r="AG254">
        <f t="shared" ca="1" si="40"/>
        <v>551.09101923750097</v>
      </c>
      <c r="AH254">
        <f t="shared" ca="1" si="41"/>
        <v>87.738976442456106</v>
      </c>
      <c r="AI254">
        <f t="shared" ca="1" si="42"/>
        <v>0</v>
      </c>
      <c r="AJ254">
        <f t="shared" ca="1" si="43"/>
        <v>0</v>
      </c>
      <c r="AK254">
        <f t="shared" ca="1" si="44"/>
        <v>57.599999999999902</v>
      </c>
      <c r="AL254">
        <f t="shared" ca="1" si="45"/>
        <v>107.80139714832499</v>
      </c>
    </row>
    <row r="255" spans="1:38" hidden="1">
      <c r="A255" t="str">
        <f ca="1">IF(ISNA(A$1), 0, OFFSET(data!$A$1, ROW()-1, A$1-1))</f>
        <v>Oahu</v>
      </c>
      <c r="B255">
        <f ca="1">IF(ISNA(B$1), 0, OFFSET(data!$A$1, ROW()-1, B$1-1))</f>
        <v>2025</v>
      </c>
      <c r="C255" t="str">
        <f ca="1">IF(ISNA(C$1), 0, OFFSET(data!$A$1, ROW()-1, C$1-1))</f>
        <v>2025-10-22-00:00</v>
      </c>
      <c r="D255">
        <f ca="1">IF(ISNA(D$1), 0, OFFSET(data!$A$1, ROW()-1, D$1-1))</f>
        <v>119.750645646718</v>
      </c>
      <c r="E255">
        <f ca="1">IF(ISNA(E$1), 0, OFFSET(data!$A$1, ROW()-1, E$1-1))</f>
        <v>0</v>
      </c>
      <c r="F255">
        <f ca="1">IF(ISNA(F$1), 0, OFFSET(data!$A$1, ROW()-1, F$1-1))</f>
        <v>178.2</v>
      </c>
      <c r="G255">
        <f ca="1">IF(ISNA(G$1), 0, OFFSET(data!$A$1, ROW()-1, G$1-1))</f>
        <v>0</v>
      </c>
      <c r="H255">
        <f ca="1">IF(ISNA(H$1), 0, OFFSET(data!$A$1, ROW()-1, H$1-1))</f>
        <v>248.928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3.7538282514865098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608.23247389820403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539.93176876799998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68.300705130204705</v>
      </c>
      <c r="X255">
        <f ca="1">IF(ISNA(X$1), 0, OFFSET(data!$A$1, ROW()-1, X$1-1))</f>
        <v>0</v>
      </c>
      <c r="Y255">
        <f ca="1">IF(ISNA(Y$1), 0, OFFSET(data!$A$1, ROW()-1, Y$1-1))</f>
        <v>0</v>
      </c>
      <c r="Z255">
        <f ca="1">IF(ISNA(Z$1), 0, OFFSET(data!$A$1, ROW()-1, Z$1-1))</f>
        <v>863.62459662876802</v>
      </c>
      <c r="AA255" t="str">
        <f ca="1">IF(ISNA(AA$1), #N/A, OFFSET(data!$A$1, ROW()-1, AA$1-1))</f>
        <v>peak</v>
      </c>
      <c r="AB255">
        <f t="shared" ca="1" si="35"/>
        <v>2025</v>
      </c>
      <c r="AC255">
        <f t="shared" ca="1" si="36"/>
        <v>10</v>
      </c>
      <c r="AD255" t="str">
        <f t="shared" ca="1" si="37"/>
        <v>10/22/2025</v>
      </c>
      <c r="AE255" t="str">
        <f t="shared" ca="1" si="38"/>
        <v/>
      </c>
      <c r="AF255" s="6">
        <f t="shared" ca="1" si="39"/>
        <v>0.863624596628768</v>
      </c>
      <c r="AG255">
        <f t="shared" ca="1" si="40"/>
        <v>608.23247389820472</v>
      </c>
      <c r="AH255">
        <f t="shared" ca="1" si="41"/>
        <v>0</v>
      </c>
      <c r="AI255">
        <f t="shared" ca="1" si="42"/>
        <v>0</v>
      </c>
      <c r="AJ255">
        <f t="shared" ca="1" si="43"/>
        <v>0</v>
      </c>
      <c r="AK255">
        <f t="shared" ca="1" si="44"/>
        <v>57.599999999999902</v>
      </c>
      <c r="AL255">
        <f t="shared" ca="1" si="45"/>
        <v>3.7538282514865098</v>
      </c>
    </row>
    <row r="256" spans="1:38" hidden="1">
      <c r="A256" t="str">
        <f ca="1">IF(ISNA(A$1), 0, OFFSET(data!$A$1, ROW()-1, A$1-1))</f>
        <v>Oahu</v>
      </c>
      <c r="B256">
        <f ca="1">IF(ISNA(B$1), 0, OFFSET(data!$A$1, ROW()-1, B$1-1))</f>
        <v>2025</v>
      </c>
      <c r="C256" t="str">
        <f ca="1">IF(ISNA(C$1), 0, OFFSET(data!$A$1, ROW()-1, C$1-1))</f>
        <v>2025-10-22-02:00</v>
      </c>
      <c r="D256">
        <f ca="1">IF(ISNA(D$1), 0, OFFSET(data!$A$1, ROW()-1, D$1-1))</f>
        <v>119.750645646718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199.2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0.39185449885518903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555.14250014557297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476.89828925900002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78.244210886573399</v>
      </c>
      <c r="X256">
        <f ca="1">IF(ISNA(X$1), 0, OFFSET(data!$A$1, ROW()-1, X$1-1))</f>
        <v>0</v>
      </c>
      <c r="Y256">
        <f ca="1">IF(ISNA(Y$1), 0, OFFSET(data!$A$1, ROW()-1, Y$1-1))</f>
        <v>0</v>
      </c>
      <c r="Z256">
        <f ca="1">IF(ISNA(Z$1), 0, OFFSET(data!$A$1, ROW()-1, Z$1-1))</f>
        <v>863.62459662876802</v>
      </c>
      <c r="AA256" t="str">
        <f ca="1">IF(ISNA(AA$1), #N/A, OFFSET(data!$A$1, ROW()-1, AA$1-1))</f>
        <v>peak</v>
      </c>
      <c r="AB256">
        <f t="shared" ca="1" si="35"/>
        <v>2025</v>
      </c>
      <c r="AC256">
        <f t="shared" ca="1" si="36"/>
        <v>10</v>
      </c>
      <c r="AD256" t="str">
        <f t="shared" ca="1" si="37"/>
        <v>10/22/2025</v>
      </c>
      <c r="AE256" t="str">
        <f t="shared" ca="1" si="38"/>
        <v/>
      </c>
      <c r="AF256" s="6">
        <f t="shared" ca="1" si="39"/>
        <v>0.863624596628768</v>
      </c>
      <c r="AG256">
        <f t="shared" ca="1" si="40"/>
        <v>555.14250014557342</v>
      </c>
      <c r="AH256">
        <f t="shared" ca="1" si="41"/>
        <v>0</v>
      </c>
      <c r="AI256">
        <f t="shared" ca="1" si="42"/>
        <v>0</v>
      </c>
      <c r="AJ256">
        <f t="shared" ca="1" si="43"/>
        <v>0</v>
      </c>
      <c r="AK256">
        <f t="shared" ca="1" si="44"/>
        <v>57.599999999999902</v>
      </c>
      <c r="AL256">
        <f t="shared" ca="1" si="45"/>
        <v>0.39185449885518903</v>
      </c>
    </row>
    <row r="257" spans="1:38" hidden="1">
      <c r="A257" t="str">
        <f ca="1">IF(ISNA(A$1), 0, OFFSET(data!$A$1, ROW()-1, A$1-1))</f>
        <v>Oahu</v>
      </c>
      <c r="B257">
        <f ca="1">IF(ISNA(B$1), 0, OFFSET(data!$A$1, ROW()-1, B$1-1))</f>
        <v>2025</v>
      </c>
      <c r="C257" t="str">
        <f ca="1">IF(ISNA(C$1), 0, OFFSET(data!$A$1, ROW()-1, C$1-1))</f>
        <v>2025-10-22-04:00</v>
      </c>
      <c r="D257">
        <f ca="1">IF(ISNA(D$1), 0, OFFSET(data!$A$1, ROW()-1, D$1-1))</f>
        <v>119.750645646718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146.42831363322699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0.46665396764474198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502.44561324759002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566.57497309500002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-64.129359847409205</v>
      </c>
      <c r="X257">
        <f ca="1">IF(ISNA(X$1), 0, OFFSET(data!$A$1, ROW()-1, X$1-1))</f>
        <v>0</v>
      </c>
      <c r="Y257">
        <f ca="1">IF(ISNA(Y$1), 0, OFFSET(data!$A$1, ROW()-1, Y$1-1))</f>
        <v>0</v>
      </c>
      <c r="Z257">
        <f ca="1">IF(ISNA(Z$1), 0, OFFSET(data!$A$1, ROW()-1, Z$1-1))</f>
        <v>863.62459662876802</v>
      </c>
      <c r="AA257" t="str">
        <f ca="1">IF(ISNA(AA$1), #N/A, OFFSET(data!$A$1, ROW()-1, AA$1-1))</f>
        <v>peak</v>
      </c>
      <c r="AB257">
        <f t="shared" ca="1" si="35"/>
        <v>2025</v>
      </c>
      <c r="AC257">
        <f t="shared" ca="1" si="36"/>
        <v>10</v>
      </c>
      <c r="AD257" t="str">
        <f t="shared" ca="1" si="37"/>
        <v>10/22/2025</v>
      </c>
      <c r="AE257" t="str">
        <f t="shared" ca="1" si="38"/>
        <v/>
      </c>
      <c r="AF257" s="6">
        <f t="shared" ca="1" si="39"/>
        <v>0.863624596628768</v>
      </c>
      <c r="AG257">
        <f t="shared" ca="1" si="40"/>
        <v>502.44561324759081</v>
      </c>
      <c r="AH257">
        <f t="shared" ca="1" si="41"/>
        <v>0</v>
      </c>
      <c r="AI257">
        <f t="shared" ca="1" si="42"/>
        <v>0</v>
      </c>
      <c r="AJ257">
        <f t="shared" ca="1" si="43"/>
        <v>0</v>
      </c>
      <c r="AK257">
        <f t="shared" ca="1" si="44"/>
        <v>57.599999999999902</v>
      </c>
      <c r="AL257">
        <f t="shared" ca="1" si="45"/>
        <v>0.46665396764474198</v>
      </c>
    </row>
    <row r="258" spans="1:38" hidden="1">
      <c r="A258" t="str">
        <f ca="1">IF(ISNA(A$1), 0, OFFSET(data!$A$1, ROW()-1, A$1-1))</f>
        <v>Oahu</v>
      </c>
      <c r="B258">
        <f ca="1">IF(ISNA(B$1), 0, OFFSET(data!$A$1, ROW()-1, B$1-1))</f>
        <v>2025</v>
      </c>
      <c r="C258" t="str">
        <f ca="1">IF(ISNA(C$1), 0, OFFSET(data!$A$1, ROW()-1, C$1-1))</f>
        <v>2025-10-22-06:00</v>
      </c>
      <c r="D258">
        <f ca="1">IF(ISNA(D$1), 0, OFFSET(data!$A$1, ROW()-1, D$1-1))</f>
        <v>119.750645646718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247.62143075690599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0.319496280400491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603.50761239929898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862.153731999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-258.6461195997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863.62459662876802</v>
      </c>
      <c r="AA258" t="str">
        <f ca="1">IF(ISNA(AA$1), #N/A, OFFSET(data!$A$1, ROW()-1, AA$1-1))</f>
        <v>peak</v>
      </c>
      <c r="AB258">
        <f t="shared" ca="1" si="35"/>
        <v>2025</v>
      </c>
      <c r="AC258">
        <f t="shared" ca="1" si="36"/>
        <v>10</v>
      </c>
      <c r="AD258" t="str">
        <f t="shared" ca="1" si="37"/>
        <v>10/22/2025</v>
      </c>
      <c r="AE258" t="str">
        <f t="shared" ca="1" si="38"/>
        <v/>
      </c>
      <c r="AF258" s="6">
        <f t="shared" ca="1" si="39"/>
        <v>0.863624596628768</v>
      </c>
      <c r="AG258">
        <f t="shared" ca="1" si="40"/>
        <v>603.5076123993</v>
      </c>
      <c r="AH258">
        <f t="shared" ca="1" si="41"/>
        <v>0</v>
      </c>
      <c r="AI258">
        <f t="shared" ca="1" si="42"/>
        <v>0</v>
      </c>
      <c r="AJ258">
        <f t="shared" ca="1" si="43"/>
        <v>1.6039715274296401E-2</v>
      </c>
      <c r="AK258">
        <f t="shared" ca="1" si="44"/>
        <v>57.599999999999902</v>
      </c>
      <c r="AL258">
        <f t="shared" ca="1" si="45"/>
        <v>0.319496280400491</v>
      </c>
    </row>
    <row r="259" spans="1:38" hidden="1">
      <c r="A259" t="str">
        <f ca="1">IF(ISNA(A$1), 0, OFFSET(data!$A$1, ROW()-1, A$1-1))</f>
        <v>Oahu</v>
      </c>
      <c r="B259">
        <f ca="1">IF(ISNA(B$1), 0, OFFSET(data!$A$1, ROW()-1, B$1-1))</f>
        <v>2025</v>
      </c>
      <c r="C259" t="str">
        <f ca="1">IF(ISNA(C$1), 0, OFFSET(data!$A$1, ROW()-1, C$1-1))</f>
        <v>2025-10-22-08:00</v>
      </c>
      <c r="D259">
        <f ca="1">IF(ISNA(D$1), 0, OFFSET(data!$A$1, ROW()-1, D$1-1))</f>
        <v>119.750645646718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49.823999999999998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907.48514210907797</v>
      </c>
      <c r="L259">
        <f ca="1">IF(ISNA(L$1), 0, OFFSET(data!$A$1, ROW()-1, L$1-1))</f>
        <v>57.599999999999902</v>
      </c>
      <c r="M259">
        <f ca="1">IF(ISNA(M$1), 0, OFFSET(data!$A$1, ROW()-1, M$1-1))</f>
        <v>0.54856468374762501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1313.4083524395401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1063.9765799700001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249.431772469544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863.62459662876802</v>
      </c>
      <c r="AA259" t="str">
        <f ca="1">IF(ISNA(AA$1), #N/A, OFFSET(data!$A$1, ROW()-1, AA$1-1))</f>
        <v>peak</v>
      </c>
      <c r="AB259">
        <f t="shared" ref="AB259:AB322" ca="1" si="46">VALUE(LEFT(C259, 4))</f>
        <v>2025</v>
      </c>
      <c r="AC259">
        <f t="shared" ref="AC259:AC322" ca="1" si="47">VALUE(MID(C259, 6, 2))</f>
        <v>10</v>
      </c>
      <c r="AD259" t="str">
        <f t="shared" ref="AD259:AD322" ca="1" si="48">SUBSTITUTE(MID(C259,6,6)&amp;LEFT(C259,4), "-", "/")</f>
        <v>10/22/2025</v>
      </c>
      <c r="AE259" t="str">
        <f t="shared" ref="AE259:AE322" ca="1" si="49">IF(RIGHT(C259, 5)="12:00", AD259, "")</f>
        <v/>
      </c>
      <c r="AF259" s="6">
        <f t="shared" ref="AF259:AF322" ca="1" si="50">Z259/1000</f>
        <v>0.863624596628768</v>
      </c>
      <c r="AG259">
        <f t="shared" ref="AG259:AG322" ca="1" si="51">T259+W259</f>
        <v>1313.4083524395442</v>
      </c>
      <c r="AH259">
        <f t="shared" ca="1" si="41"/>
        <v>0</v>
      </c>
      <c r="AI259">
        <f t="shared" ca="1" si="42"/>
        <v>0</v>
      </c>
      <c r="AJ259">
        <f t="shared" ca="1" si="43"/>
        <v>907.48514210907797</v>
      </c>
      <c r="AK259">
        <f t="shared" ca="1" si="44"/>
        <v>57.599999999999902</v>
      </c>
      <c r="AL259">
        <f t="shared" ca="1" si="45"/>
        <v>0.54856468374762501</v>
      </c>
    </row>
    <row r="260" spans="1:38" hidden="1">
      <c r="A260" t="str">
        <f ca="1">IF(ISNA(A$1), 0, OFFSET(data!$A$1, ROW()-1, A$1-1))</f>
        <v>Oahu</v>
      </c>
      <c r="B260">
        <f ca="1">IF(ISNA(B$1), 0, OFFSET(data!$A$1, ROW()-1, B$1-1))</f>
        <v>2025</v>
      </c>
      <c r="C260" t="str">
        <f ca="1">IF(ISNA(C$1), 0, OFFSET(data!$A$1, ROW()-1, C$1-1))</f>
        <v>2025-10-22-10:00</v>
      </c>
      <c r="D260">
        <f ca="1">IF(ISNA(D$1), 0, OFFSET(data!$A$1, ROW()-1, D$1-1))</f>
        <v>119.750645646718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49.727999999999902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964.74770728015801</v>
      </c>
      <c r="L260">
        <f ca="1">IF(ISNA(L$1), 0, OFFSET(data!$A$1, ROW()-1, L$1-1))</f>
        <v>57.599999999999902</v>
      </c>
      <c r="M260">
        <f ca="1">IF(ISNA(M$1), 0, OFFSET(data!$A$1, ROW()-1, M$1-1))</f>
        <v>2.5971774246625801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1372.62353035153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1159.87305182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212.75047853153899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863.62459662876802</v>
      </c>
      <c r="AA260" t="str">
        <f ca="1">IF(ISNA(AA$1), #N/A, OFFSET(data!$A$1, ROW()-1, AA$1-1))</f>
        <v>peak</v>
      </c>
      <c r="AB260">
        <f t="shared" ca="1" si="46"/>
        <v>2025</v>
      </c>
      <c r="AC260">
        <f t="shared" ca="1" si="47"/>
        <v>10</v>
      </c>
      <c r="AD260" t="str">
        <f t="shared" ca="1" si="48"/>
        <v>10/22/2025</v>
      </c>
      <c r="AE260" t="str">
        <f t="shared" ca="1" si="49"/>
        <v/>
      </c>
      <c r="AF260" s="6">
        <f t="shared" ca="1" si="50"/>
        <v>0.863624596628768</v>
      </c>
      <c r="AG260">
        <f t="shared" ca="1" si="51"/>
        <v>1372.6235303515391</v>
      </c>
      <c r="AH260">
        <f t="shared" ref="AH260:AH323" ca="1" si="52">MAX(S260,Y260)</f>
        <v>0</v>
      </c>
      <c r="AI260">
        <f t="shared" ref="AI260:AI323" ca="1" si="53">MAX(R260,V260)</f>
        <v>0</v>
      </c>
      <c r="AJ260">
        <f t="shared" ref="AJ260:AJ323" ca="1" si="54">K260+N260</f>
        <v>964.74770728015801</v>
      </c>
      <c r="AK260">
        <f t="shared" ref="AK260:AK323" ca="1" si="55">L260+O260</f>
        <v>57.599999999999902</v>
      </c>
      <c r="AL260">
        <f t="shared" ref="AL260:AL323" ca="1" si="56">M260+P260</f>
        <v>2.5971774246625801</v>
      </c>
    </row>
    <row r="261" spans="1:38" hidden="1">
      <c r="A261" t="str">
        <f ca="1">IF(ISNA(A$1), 0, OFFSET(data!$A$1, ROW()-1, A$1-1))</f>
        <v>Oahu</v>
      </c>
      <c r="B261">
        <f ca="1">IF(ISNA(B$1), 0, OFFSET(data!$A$1, ROW()-1, B$1-1))</f>
        <v>2025</v>
      </c>
      <c r="C261" t="str">
        <f ca="1">IF(ISNA(C$1), 0, OFFSET(data!$A$1, ROW()-1, C$1-1))</f>
        <v>2025-10-22-12:00</v>
      </c>
      <c r="D261">
        <f ca="1">IF(ISNA(D$1), 0, OFFSET(data!$A$1, ROW()-1, D$1-1))</f>
        <v>119.750645646718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248.928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857.88959731106604</v>
      </c>
      <c r="L261">
        <f ca="1">IF(ISNA(L$1), 0, OFFSET(data!$A$1, ROW()-1, L$1-1))</f>
        <v>57.599999999999902</v>
      </c>
      <c r="M261">
        <f ca="1">IF(ISNA(M$1), 0, OFFSET(data!$A$1, ROW()-1, M$1-1))</f>
        <v>8.8725504644899704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1471.2407934222699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1200.6927679400001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270.548025482274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863.62459662876802</v>
      </c>
      <c r="AA261" t="str">
        <f ca="1">IF(ISNA(AA$1), #N/A, OFFSET(data!$A$1, ROW()-1, AA$1-1))</f>
        <v>peak</v>
      </c>
      <c r="AB261">
        <f t="shared" ca="1" si="46"/>
        <v>2025</v>
      </c>
      <c r="AC261">
        <f t="shared" ca="1" si="47"/>
        <v>10</v>
      </c>
      <c r="AD261" t="str">
        <f t="shared" ca="1" si="48"/>
        <v>10/22/2025</v>
      </c>
      <c r="AE261" t="str">
        <f t="shared" ca="1" si="49"/>
        <v>10/22/2025</v>
      </c>
      <c r="AF261" s="6">
        <f t="shared" ca="1" si="50"/>
        <v>0.863624596628768</v>
      </c>
      <c r="AG261">
        <f t="shared" ca="1" si="51"/>
        <v>1471.240793422274</v>
      </c>
      <c r="AH261">
        <f t="shared" ca="1" si="52"/>
        <v>0</v>
      </c>
      <c r="AI261">
        <f t="shared" ca="1" si="53"/>
        <v>0</v>
      </c>
      <c r="AJ261">
        <f t="shared" ca="1" si="54"/>
        <v>857.88959731106604</v>
      </c>
      <c r="AK261">
        <f t="shared" ca="1" si="55"/>
        <v>57.599999999999902</v>
      </c>
      <c r="AL261">
        <f t="shared" ca="1" si="56"/>
        <v>8.8725504644899704</v>
      </c>
    </row>
    <row r="262" spans="1:38" hidden="1">
      <c r="A262" t="str">
        <f ca="1">IF(ISNA(A$1), 0, OFFSET(data!$A$1, ROW()-1, A$1-1))</f>
        <v>Oahu</v>
      </c>
      <c r="B262">
        <f ca="1">IF(ISNA(B$1), 0, OFFSET(data!$A$1, ROW()-1, B$1-1))</f>
        <v>2025</v>
      </c>
      <c r="C262" t="str">
        <f ca="1">IF(ISNA(C$1), 0, OFFSET(data!$A$1, ROW()-1, C$1-1))</f>
        <v>2025-10-22-14:00</v>
      </c>
      <c r="D262">
        <f ca="1">IF(ISNA(D$1), 0, OFFSET(data!$A$1, ROW()-1, D$1-1))</f>
        <v>119.750645646718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149.37599999999901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896.11021167310105</v>
      </c>
      <c r="L262">
        <f ca="1">IF(ISNA(L$1), 0, OFFSET(data!$A$1, ROW()-1, L$1-1))</f>
        <v>57.599999999999902</v>
      </c>
      <c r="M262">
        <f ca="1">IF(ISNA(M$1), 0, OFFSET(data!$A$1, ROW()-1, M$1-1))</f>
        <v>8.2273099595262007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1409.26416727934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1203.3718792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205.892288079346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863.62459662876802</v>
      </c>
      <c r="AA262" t="str">
        <f ca="1">IF(ISNA(AA$1), #N/A, OFFSET(data!$A$1, ROW()-1, AA$1-1))</f>
        <v>peak</v>
      </c>
      <c r="AB262">
        <f t="shared" ca="1" si="46"/>
        <v>2025</v>
      </c>
      <c r="AC262">
        <f t="shared" ca="1" si="47"/>
        <v>10</v>
      </c>
      <c r="AD262" t="str">
        <f t="shared" ca="1" si="48"/>
        <v>10/22/2025</v>
      </c>
      <c r="AE262" t="str">
        <f t="shared" ca="1" si="49"/>
        <v/>
      </c>
      <c r="AF262" s="6">
        <f t="shared" ca="1" si="50"/>
        <v>0.863624596628768</v>
      </c>
      <c r="AG262">
        <f t="shared" ca="1" si="51"/>
        <v>1409.2641672793459</v>
      </c>
      <c r="AH262">
        <f t="shared" ca="1" si="52"/>
        <v>0</v>
      </c>
      <c r="AI262">
        <f t="shared" ca="1" si="53"/>
        <v>0</v>
      </c>
      <c r="AJ262">
        <f t="shared" ca="1" si="54"/>
        <v>896.11021167310105</v>
      </c>
      <c r="AK262">
        <f t="shared" ca="1" si="55"/>
        <v>57.599999999999902</v>
      </c>
      <c r="AL262">
        <f t="shared" ca="1" si="56"/>
        <v>8.2273099595262007</v>
      </c>
    </row>
    <row r="263" spans="1:38" hidden="1">
      <c r="A263" t="str">
        <f ca="1">IF(ISNA(A$1), 0, OFFSET(data!$A$1, ROW()-1, A$1-1))</f>
        <v>Oahu</v>
      </c>
      <c r="B263">
        <f ca="1">IF(ISNA(B$1), 0, OFFSET(data!$A$1, ROW()-1, B$1-1))</f>
        <v>2025</v>
      </c>
      <c r="C263" t="str">
        <f ca="1">IF(ISNA(C$1), 0, OFFSET(data!$A$1, ROW()-1, C$1-1))</f>
        <v>2025-10-22-16:00</v>
      </c>
      <c r="D263">
        <f ca="1">IF(ISNA(D$1), 0, OFFSET(data!$A$1, ROW()-1, D$1-1))</f>
        <v>119.750645646718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149.37599999999901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804.25754401618894</v>
      </c>
      <c r="L263">
        <f ca="1">IF(ISNA(L$1), 0, OFFSET(data!$A$1, ROW()-1, L$1-1))</f>
        <v>57.599999999999902</v>
      </c>
      <c r="M263">
        <f ca="1">IF(ISNA(M$1), 0, OFFSET(data!$A$1, ROW()-1, M$1-1))</f>
        <v>10.192369519217101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1319.37655918212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1166.37575543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153.00080375212499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863.62459662876802</v>
      </c>
      <c r="AA263" t="str">
        <f ca="1">IF(ISNA(AA$1), #N/A, OFFSET(data!$A$1, ROW()-1, AA$1-1))</f>
        <v>peak</v>
      </c>
      <c r="AB263">
        <f t="shared" ca="1" si="46"/>
        <v>2025</v>
      </c>
      <c r="AC263">
        <f t="shared" ca="1" si="47"/>
        <v>10</v>
      </c>
      <c r="AD263" t="str">
        <f t="shared" ca="1" si="48"/>
        <v>10/22/2025</v>
      </c>
      <c r="AE263" t="str">
        <f t="shared" ca="1" si="49"/>
        <v/>
      </c>
      <c r="AF263" s="6">
        <f t="shared" ca="1" si="50"/>
        <v>0.863624596628768</v>
      </c>
      <c r="AG263">
        <f t="shared" ca="1" si="51"/>
        <v>1319.376559182125</v>
      </c>
      <c r="AH263">
        <f t="shared" ca="1" si="52"/>
        <v>0</v>
      </c>
      <c r="AI263">
        <f t="shared" ca="1" si="53"/>
        <v>0</v>
      </c>
      <c r="AJ263">
        <f t="shared" ca="1" si="54"/>
        <v>804.25754401618894</v>
      </c>
      <c r="AK263">
        <f t="shared" ca="1" si="55"/>
        <v>57.599999999999902</v>
      </c>
      <c r="AL263">
        <f t="shared" ca="1" si="56"/>
        <v>10.192369519217101</v>
      </c>
    </row>
    <row r="264" spans="1:38" hidden="1">
      <c r="A264" t="str">
        <f ca="1">IF(ISNA(A$1), 0, OFFSET(data!$A$1, ROW()-1, A$1-1))</f>
        <v>Oahu</v>
      </c>
      <c r="B264">
        <f ca="1">IF(ISNA(B$1), 0, OFFSET(data!$A$1, ROW()-1, B$1-1))</f>
        <v>2025</v>
      </c>
      <c r="C264" t="str">
        <f ca="1">IF(ISNA(C$1), 0, OFFSET(data!$A$1, ROW()-1, C$1-1))</f>
        <v>2025-10-22-18:00</v>
      </c>
      <c r="D264">
        <f ca="1">IF(ISNA(D$1), 0, OFFSET(data!$A$1, ROW()-1, D$1-1))</f>
        <v>119.750645646718</v>
      </c>
      <c r="E264">
        <f ca="1">IF(ISNA(E$1), 0, OFFSET(data!$A$1, ROW()-1, E$1-1))</f>
        <v>0</v>
      </c>
      <c r="F264">
        <f ca="1">IF(ISNA(F$1), 0, OFFSET(data!$A$1, ROW()-1, F$1-1))</f>
        <v>178.2</v>
      </c>
      <c r="G264">
        <f ca="1">IF(ISNA(G$1), 0, OFFSET(data!$A$1, ROW()-1, G$1-1))</f>
        <v>0</v>
      </c>
      <c r="H264">
        <f ca="1">IF(ISNA(H$1), 0, OFFSET(data!$A$1, ROW()-1, H$1-1))</f>
        <v>351.19642413574098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9.71745247492502</v>
      </c>
      <c r="L264">
        <f ca="1">IF(ISNA(L$1), 0, OFFSET(data!$A$1, ROW()-1, L$1-1))</f>
        <v>57.599999999999902</v>
      </c>
      <c r="M264">
        <f ca="1">IF(ISNA(M$1), 0, OFFSET(data!$A$1, ROW()-1, M$1-1))</f>
        <v>26.1009133696157</v>
      </c>
      <c r="N264">
        <f ca="1">IF(ISNA(N$1), 0, OFFSET(data!$A$1, ROW()-1, N$1-1))</f>
        <v>-1.11022302462515E-16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742.56543562700006</v>
      </c>
      <c r="R264">
        <f ca="1">IF(ISNA(R$1), 0, OFFSET(data!$A$1, ROW()-1, R$1-1))</f>
        <v>0</v>
      </c>
      <c r="S264">
        <f ca="1">IF(ISNA(S$1), 0, OFFSET(data!$A$1, ROW()-1, S$1-1))</f>
        <v>120</v>
      </c>
      <c r="T264">
        <f ca="1">IF(ISNA(T$1), 0, OFFSET(data!$A$1, ROW()-1, T$1-1))</f>
        <v>1232.2363366100001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-369.67090098300002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866.82746626512301</v>
      </c>
      <c r="AA264" t="str">
        <f ca="1">IF(ISNA(AA$1), #N/A, OFFSET(data!$A$1, ROW()-1, AA$1-1))</f>
        <v>peak</v>
      </c>
      <c r="AB264">
        <f t="shared" ca="1" si="46"/>
        <v>2025</v>
      </c>
      <c r="AC264">
        <f t="shared" ca="1" si="47"/>
        <v>10</v>
      </c>
      <c r="AD264" t="str">
        <f t="shared" ca="1" si="48"/>
        <v>10/22/2025</v>
      </c>
      <c r="AE264" t="str">
        <f t="shared" ca="1" si="49"/>
        <v/>
      </c>
      <c r="AF264" s="6">
        <f t="shared" ca="1" si="50"/>
        <v>0.86682746626512297</v>
      </c>
      <c r="AG264">
        <f t="shared" ca="1" si="51"/>
        <v>862.56543562700006</v>
      </c>
      <c r="AH264">
        <f t="shared" ca="1" si="52"/>
        <v>120</v>
      </c>
      <c r="AI264">
        <f t="shared" ca="1" si="53"/>
        <v>0</v>
      </c>
      <c r="AJ264">
        <f t="shared" ca="1" si="54"/>
        <v>9.71745247492502</v>
      </c>
      <c r="AK264">
        <f t="shared" ca="1" si="55"/>
        <v>57.599999999999902</v>
      </c>
      <c r="AL264">
        <f t="shared" ca="1" si="56"/>
        <v>26.1009133696157</v>
      </c>
    </row>
    <row r="265" spans="1:38" hidden="1">
      <c r="A265" t="str">
        <f ca="1">IF(ISNA(A$1), 0, OFFSET(data!$A$1, ROW()-1, A$1-1))</f>
        <v>Oahu</v>
      </c>
      <c r="B265">
        <f ca="1">IF(ISNA(B$1), 0, OFFSET(data!$A$1, ROW()-1, B$1-1))</f>
        <v>2025</v>
      </c>
      <c r="C265" t="str">
        <f ca="1">IF(ISNA(C$1), 0, OFFSET(data!$A$1, ROW()-1, C$1-1))</f>
        <v>2025-10-22-20:00</v>
      </c>
      <c r="D265">
        <f ca="1">IF(ISNA(D$1), 0, OFFSET(data!$A$1, ROW()-1, D$1-1))</f>
        <v>119.750645646718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341.25024897839398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41.367005851886901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738.16790047699999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1054.52557211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-316.357671633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866.82746626512301</v>
      </c>
      <c r="AA265" t="str">
        <f ca="1">IF(ISNA(AA$1), #N/A, OFFSET(data!$A$1, ROW()-1, AA$1-1))</f>
        <v>peak</v>
      </c>
      <c r="AB265">
        <f t="shared" ca="1" si="46"/>
        <v>2025</v>
      </c>
      <c r="AC265">
        <f t="shared" ca="1" si="47"/>
        <v>10</v>
      </c>
      <c r="AD265" t="str">
        <f t="shared" ca="1" si="48"/>
        <v>10/22/2025</v>
      </c>
      <c r="AE265" t="str">
        <f t="shared" ca="1" si="49"/>
        <v/>
      </c>
      <c r="AF265" s="6">
        <f t="shared" ca="1" si="50"/>
        <v>0.86682746626512297</v>
      </c>
      <c r="AG265">
        <f t="shared" ca="1" si="51"/>
        <v>738.16790047699999</v>
      </c>
      <c r="AH265">
        <f t="shared" ca="1" si="52"/>
        <v>0</v>
      </c>
      <c r="AI265">
        <f t="shared" ca="1" si="53"/>
        <v>0</v>
      </c>
      <c r="AJ265">
        <f t="shared" ca="1" si="54"/>
        <v>0</v>
      </c>
      <c r="AK265">
        <f t="shared" ca="1" si="55"/>
        <v>57.599999999999902</v>
      </c>
      <c r="AL265">
        <f t="shared" ca="1" si="56"/>
        <v>41.367005851886901</v>
      </c>
    </row>
    <row r="266" spans="1:38" hidden="1">
      <c r="A266" t="str">
        <f ca="1">IF(ISNA(A$1), 0, OFFSET(data!$A$1, ROW()-1, A$1-1))</f>
        <v>Oahu</v>
      </c>
      <c r="B266">
        <f ca="1">IF(ISNA(B$1), 0, OFFSET(data!$A$1, ROW()-1, B$1-1))</f>
        <v>2025</v>
      </c>
      <c r="C266" t="str">
        <f ca="1">IF(ISNA(C$1), 0, OFFSET(data!$A$1, ROW()-1, C$1-1))</f>
        <v>2025-10-22-22:00</v>
      </c>
      <c r="D266">
        <f ca="1">IF(ISNA(D$1), 0, OFFSET(data!$A$1, ROW()-1, D$1-1))</f>
        <v>119.750645646718</v>
      </c>
      <c r="E266">
        <f ca="1">IF(ISNA(E$1), 0, OFFSET(data!$A$1, ROW()-1, E$1-1))</f>
        <v>0</v>
      </c>
      <c r="F266">
        <f ca="1">IF(ISNA(F$1), 0, OFFSET(data!$A$1, ROW()-1, F$1-1))</f>
        <v>178.2</v>
      </c>
      <c r="G266">
        <f ca="1">IF(ISNA(G$1), 0, OFFSET(data!$A$1, ROW()-1, G$1-1))</f>
        <v>0</v>
      </c>
      <c r="H266">
        <f ca="1">IF(ISNA(H$1), 0, OFFSET(data!$A$1, ROW()-1, H$1-1))</f>
        <v>139.91918867138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39.7133743084012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535.1832086265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764.54744089500002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-229.36423226849999</v>
      </c>
      <c r="X266">
        <f ca="1">IF(ISNA(X$1), 0, OFFSET(data!$A$1, ROW()-1, X$1-1))</f>
        <v>0</v>
      </c>
      <c r="Y266">
        <f ca="1">IF(ISNA(Y$1), 0, OFFSET(data!$A$1, ROW()-1, Y$1-1))</f>
        <v>0</v>
      </c>
      <c r="Z266">
        <f ca="1">IF(ISNA(Z$1), 0, OFFSET(data!$A$1, ROW()-1, Z$1-1))</f>
        <v>863.62459662876802</v>
      </c>
      <c r="AA266" t="str">
        <f ca="1">IF(ISNA(AA$1), #N/A, OFFSET(data!$A$1, ROW()-1, AA$1-1))</f>
        <v>peak</v>
      </c>
      <c r="AB266">
        <f t="shared" ca="1" si="46"/>
        <v>2025</v>
      </c>
      <c r="AC266">
        <f t="shared" ca="1" si="47"/>
        <v>10</v>
      </c>
      <c r="AD266" t="str">
        <f t="shared" ca="1" si="48"/>
        <v>10/22/2025</v>
      </c>
      <c r="AE266" t="str">
        <f t="shared" ca="1" si="49"/>
        <v/>
      </c>
      <c r="AF266" s="6">
        <f t="shared" ca="1" si="50"/>
        <v>0.863624596628768</v>
      </c>
      <c r="AG266">
        <f t="shared" ca="1" si="51"/>
        <v>535.1832086265</v>
      </c>
      <c r="AH266">
        <f t="shared" ca="1" si="52"/>
        <v>0</v>
      </c>
      <c r="AI266">
        <f t="shared" ca="1" si="53"/>
        <v>0</v>
      </c>
      <c r="AJ266">
        <f t="shared" ca="1" si="54"/>
        <v>0</v>
      </c>
      <c r="AK266">
        <f t="shared" ca="1" si="55"/>
        <v>57.599999999999902</v>
      </c>
      <c r="AL266">
        <f t="shared" ca="1" si="56"/>
        <v>39.7133743084012</v>
      </c>
    </row>
    <row r="267" spans="1:38" hidden="1">
      <c r="A267" t="str">
        <f ca="1">IF(ISNA(A$1), 0, OFFSET(data!$A$1, ROW()-1, A$1-1))</f>
        <v>Oahu</v>
      </c>
      <c r="B267">
        <f ca="1">IF(ISNA(B$1), 0, OFFSET(data!$A$1, ROW()-1, B$1-1))</f>
        <v>2025</v>
      </c>
      <c r="C267" t="str">
        <f ca="1">IF(ISNA(C$1), 0, OFFSET(data!$A$1, ROW()-1, C$1-1))</f>
        <v>2025-12-02-00:00</v>
      </c>
      <c r="D267">
        <f ca="1">IF(ISNA(D$1), 0, OFFSET(data!$A$1, ROW()-1, D$1-1))</f>
        <v>119.750645646718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74.374319675312705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104.063691036406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533.98865635843697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551.07024531100001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-17.081588952562399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207.726479498304</v>
      </c>
      <c r="AA267" t="str">
        <f ca="1">IF(ISNA(AA$1), #N/A, OFFSET(data!$A$1, ROW()-1, AA$1-1))</f>
        <v>typical</v>
      </c>
      <c r="AB267">
        <f t="shared" ca="1" si="46"/>
        <v>2025</v>
      </c>
      <c r="AC267">
        <f t="shared" ca="1" si="47"/>
        <v>12</v>
      </c>
      <c r="AD267" t="str">
        <f t="shared" ca="1" si="48"/>
        <v>12/02/2025</v>
      </c>
      <c r="AE267" t="str">
        <f t="shared" ca="1" si="49"/>
        <v/>
      </c>
      <c r="AF267" s="6">
        <f t="shared" ca="1" si="50"/>
        <v>0.207726479498304</v>
      </c>
      <c r="AG267">
        <f t="shared" ca="1" si="51"/>
        <v>533.98865635843765</v>
      </c>
      <c r="AH267">
        <f t="shared" ca="1" si="52"/>
        <v>0</v>
      </c>
      <c r="AI267">
        <f t="shared" ca="1" si="53"/>
        <v>0</v>
      </c>
      <c r="AJ267">
        <f t="shared" ca="1" si="54"/>
        <v>0</v>
      </c>
      <c r="AK267">
        <f t="shared" ca="1" si="55"/>
        <v>57.599999999999902</v>
      </c>
      <c r="AL267">
        <f t="shared" ca="1" si="56"/>
        <v>104.063691036406</v>
      </c>
    </row>
    <row r="268" spans="1:38" hidden="1">
      <c r="A268" t="str">
        <f ca="1">IF(ISNA(A$1), 0, OFFSET(data!$A$1, ROW()-1, A$1-1))</f>
        <v>Oahu</v>
      </c>
      <c r="B268">
        <f ca="1">IF(ISNA(B$1), 0, OFFSET(data!$A$1, ROW()-1, B$1-1))</f>
        <v>2025</v>
      </c>
      <c r="C268" t="str">
        <f ca="1">IF(ISNA(C$1), 0, OFFSET(data!$A$1, ROW()-1, C$1-1))</f>
        <v>2025-12-02-02:00</v>
      </c>
      <c r="D268">
        <f ca="1">IF(ISNA(D$1), 0, OFFSET(data!$A$1, ROW()-1, D$1-1))</f>
        <v>119.750645646718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97.324991654009395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452.87563730072702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487.772376576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-34.896739275272303</v>
      </c>
      <c r="X268">
        <f ca="1">IF(ISNA(X$1), 0, OFFSET(data!$A$1, ROW()-1, X$1-1))</f>
        <v>0</v>
      </c>
      <c r="Y268">
        <f ca="1">IF(ISNA(Y$1), 0, OFFSET(data!$A$1, ROW()-1, Y$1-1))</f>
        <v>0</v>
      </c>
      <c r="Z268">
        <f ca="1">IF(ISNA(Z$1), 0, OFFSET(data!$A$1, ROW()-1, Z$1-1))</f>
        <v>207.726479498304</v>
      </c>
      <c r="AA268" t="str">
        <f ca="1">IF(ISNA(AA$1), #N/A, OFFSET(data!$A$1, ROW()-1, AA$1-1))</f>
        <v>typical</v>
      </c>
      <c r="AB268">
        <f t="shared" ca="1" si="46"/>
        <v>2025</v>
      </c>
      <c r="AC268">
        <f t="shared" ca="1" si="47"/>
        <v>12</v>
      </c>
      <c r="AD268" t="str">
        <f t="shared" ca="1" si="48"/>
        <v>12/02/2025</v>
      </c>
      <c r="AE268" t="str">
        <f t="shared" ca="1" si="49"/>
        <v/>
      </c>
      <c r="AF268" s="6">
        <f t="shared" ca="1" si="50"/>
        <v>0.207726479498304</v>
      </c>
      <c r="AG268">
        <f t="shared" ca="1" si="51"/>
        <v>452.8756373007277</v>
      </c>
      <c r="AH268">
        <f t="shared" ca="1" si="52"/>
        <v>0</v>
      </c>
      <c r="AI268">
        <f t="shared" ca="1" si="53"/>
        <v>0</v>
      </c>
      <c r="AJ268">
        <f t="shared" ca="1" si="54"/>
        <v>0</v>
      </c>
      <c r="AK268">
        <f t="shared" ca="1" si="55"/>
        <v>57.599999999999902</v>
      </c>
      <c r="AL268">
        <f t="shared" ca="1" si="56"/>
        <v>97.324991654009395</v>
      </c>
    </row>
    <row r="269" spans="1:38" hidden="1">
      <c r="A269" t="str">
        <f ca="1">IF(ISNA(A$1), 0, OFFSET(data!$A$1, ROW()-1, A$1-1))</f>
        <v>Oahu</v>
      </c>
      <c r="B269">
        <f ca="1">IF(ISNA(B$1), 0, OFFSET(data!$A$1, ROW()-1, B$1-1))</f>
        <v>2025</v>
      </c>
      <c r="C269" t="str">
        <f ca="1">IF(ISNA(C$1), 0, OFFSET(data!$A$1, ROW()-1, C$1-1))</f>
        <v>2025-12-02-04:00</v>
      </c>
      <c r="D269">
        <f ca="1">IF(ISNA(D$1), 0, OFFSET(data!$A$1, ROW()-1, D$1-1))</f>
        <v>119.750645646718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70.713487982625196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426.26413362934301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590.82813318199999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-164.56399955265601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207.726479498304</v>
      </c>
      <c r="AA269" t="str">
        <f ca="1">IF(ISNA(AA$1), #N/A, OFFSET(data!$A$1, ROW()-1, AA$1-1))</f>
        <v>typical</v>
      </c>
      <c r="AB269">
        <f t="shared" ca="1" si="46"/>
        <v>2025</v>
      </c>
      <c r="AC269">
        <f t="shared" ca="1" si="47"/>
        <v>12</v>
      </c>
      <c r="AD269" t="str">
        <f t="shared" ca="1" si="48"/>
        <v>12/02/2025</v>
      </c>
      <c r="AE269" t="str">
        <f t="shared" ca="1" si="49"/>
        <v/>
      </c>
      <c r="AF269" s="6">
        <f t="shared" ca="1" si="50"/>
        <v>0.207726479498304</v>
      </c>
      <c r="AG269">
        <f t="shared" ca="1" si="51"/>
        <v>426.26413362934397</v>
      </c>
      <c r="AH269">
        <f t="shared" ca="1" si="52"/>
        <v>0</v>
      </c>
      <c r="AI269">
        <f t="shared" ca="1" si="53"/>
        <v>0</v>
      </c>
      <c r="AJ269">
        <f t="shared" ca="1" si="54"/>
        <v>0</v>
      </c>
      <c r="AK269">
        <f t="shared" ca="1" si="55"/>
        <v>57.599999999999902</v>
      </c>
      <c r="AL269">
        <f t="shared" ca="1" si="56"/>
        <v>70.713487982625196</v>
      </c>
    </row>
    <row r="270" spans="1:38" hidden="1">
      <c r="A270" t="str">
        <f ca="1">IF(ISNA(A$1), 0, OFFSET(data!$A$1, ROW()-1, A$1-1))</f>
        <v>Oahu</v>
      </c>
      <c r="B270">
        <f ca="1">IF(ISNA(B$1), 0, OFFSET(data!$A$1, ROW()-1, B$1-1))</f>
        <v>2025</v>
      </c>
      <c r="C270" t="str">
        <f ca="1">IF(ISNA(C$1), 0, OFFSET(data!$A$1, ROW()-1, C$1-1))</f>
        <v>2025-12-02-06:00</v>
      </c>
      <c r="D270">
        <f ca="1">IF(ISNA(D$1), 0, OFFSET(data!$A$1, ROW()-1, D$1-1))</f>
        <v>119.750645646718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226.78112988982599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68.396670759354905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650.72844629589997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929.61206613700006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-278.88361984110003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207.726479498304</v>
      </c>
      <c r="AA270" t="str">
        <f ca="1">IF(ISNA(AA$1), #N/A, OFFSET(data!$A$1, ROW()-1, AA$1-1))</f>
        <v>typical</v>
      </c>
      <c r="AB270">
        <f t="shared" ca="1" si="46"/>
        <v>2025</v>
      </c>
      <c r="AC270">
        <f t="shared" ca="1" si="47"/>
        <v>12</v>
      </c>
      <c r="AD270" t="str">
        <f t="shared" ca="1" si="48"/>
        <v>12/02/2025</v>
      </c>
      <c r="AE270" t="str">
        <f t="shared" ca="1" si="49"/>
        <v/>
      </c>
      <c r="AF270" s="6">
        <f t="shared" ca="1" si="50"/>
        <v>0.207726479498304</v>
      </c>
      <c r="AG270">
        <f t="shared" ca="1" si="51"/>
        <v>650.72844629590008</v>
      </c>
      <c r="AH270">
        <f t="shared" ca="1" si="52"/>
        <v>0</v>
      </c>
      <c r="AI270">
        <f t="shared" ca="1" si="53"/>
        <v>0</v>
      </c>
      <c r="AJ270">
        <f t="shared" ca="1" si="54"/>
        <v>0</v>
      </c>
      <c r="AK270">
        <f t="shared" ca="1" si="55"/>
        <v>57.599999999999902</v>
      </c>
      <c r="AL270">
        <f t="shared" ca="1" si="56"/>
        <v>68.396670759354905</v>
      </c>
    </row>
    <row r="271" spans="1:38" hidden="1">
      <c r="A271" t="str">
        <f ca="1">IF(ISNA(A$1), 0, OFFSET(data!$A$1, ROW()-1, A$1-1))</f>
        <v>Oahu</v>
      </c>
      <c r="B271">
        <f ca="1">IF(ISNA(B$1), 0, OFFSET(data!$A$1, ROW()-1, B$1-1))</f>
        <v>2025</v>
      </c>
      <c r="C271" t="str">
        <f ca="1">IF(ISNA(C$1), 0, OFFSET(data!$A$1, ROW()-1, C$1-1))</f>
        <v>2025-12-02-08:00</v>
      </c>
      <c r="D271">
        <f ca="1">IF(ISNA(D$1), 0, OFFSET(data!$A$1, ROW()-1, D$1-1))</f>
        <v>119.750645646718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594.59517741233606</v>
      </c>
      <c r="L271">
        <f ca="1">IF(ISNA(L$1), 0, OFFSET(data!$A$1, ROW()-1, L$1-1))</f>
        <v>57.599999999999902</v>
      </c>
      <c r="M271">
        <f ca="1">IF(ISNA(M$1), 0, OFFSET(data!$A$1, ROW()-1, M$1-1))</f>
        <v>61.123443379144298</v>
      </c>
      <c r="N271">
        <f ca="1">IF(ISNA(N$1), 0, OFFSET(data!$A$1, ROW()-1, N$1-1))</f>
        <v>-7.1054273576010003E-15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1011.26926643819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1045.7927581199999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-34.523491681801502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207.726479498304</v>
      </c>
      <c r="AA271" t="str">
        <f ca="1">IF(ISNA(AA$1), #N/A, OFFSET(data!$A$1, ROW()-1, AA$1-1))</f>
        <v>typical</v>
      </c>
      <c r="AB271">
        <f t="shared" ca="1" si="46"/>
        <v>2025</v>
      </c>
      <c r="AC271">
        <f t="shared" ca="1" si="47"/>
        <v>12</v>
      </c>
      <c r="AD271" t="str">
        <f t="shared" ca="1" si="48"/>
        <v>12/02/2025</v>
      </c>
      <c r="AE271" t="str">
        <f t="shared" ca="1" si="49"/>
        <v/>
      </c>
      <c r="AF271" s="6">
        <f t="shared" ca="1" si="50"/>
        <v>0.207726479498304</v>
      </c>
      <c r="AG271">
        <f t="shared" ca="1" si="51"/>
        <v>1011.2692664381984</v>
      </c>
      <c r="AH271">
        <f t="shared" ca="1" si="52"/>
        <v>0</v>
      </c>
      <c r="AI271">
        <f t="shared" ca="1" si="53"/>
        <v>0</v>
      </c>
      <c r="AJ271">
        <f t="shared" ca="1" si="54"/>
        <v>594.59517741233606</v>
      </c>
      <c r="AK271">
        <f t="shared" ca="1" si="55"/>
        <v>57.599999999999902</v>
      </c>
      <c r="AL271">
        <f t="shared" ca="1" si="56"/>
        <v>61.123443379144298</v>
      </c>
    </row>
    <row r="272" spans="1:38" hidden="1">
      <c r="A272" t="str">
        <f ca="1">IF(ISNA(A$1), 0, OFFSET(data!$A$1, ROW()-1, A$1-1))</f>
        <v>Oahu</v>
      </c>
      <c r="B272">
        <f ca="1">IF(ISNA(B$1), 0, OFFSET(data!$A$1, ROW()-1, B$1-1))</f>
        <v>2025</v>
      </c>
      <c r="C272" t="str">
        <f ca="1">IF(ISNA(C$1), 0, OFFSET(data!$A$1, ROW()-1, C$1-1))</f>
        <v>2025-12-02-10:00</v>
      </c>
      <c r="D272">
        <f ca="1">IF(ISNA(D$1), 0, OFFSET(data!$A$1, ROW()-1, D$1-1))</f>
        <v>119.750645646718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49.823999999999998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967.23000657430498</v>
      </c>
      <c r="L272">
        <f ca="1">IF(ISNA(L$1), 0, OFFSET(data!$A$1, ROW()-1, L$1-1))</f>
        <v>57.599999999999902</v>
      </c>
      <c r="M272">
        <f ca="1">IF(ISNA(M$1), 0, OFFSET(data!$A$1, ROW()-1, M$1-1))</f>
        <v>49.008227240277698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1421.6128794613001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1117.8360173000001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303.77686216130201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207.726479498304</v>
      </c>
      <c r="AA272" t="str">
        <f ca="1">IF(ISNA(AA$1), #N/A, OFFSET(data!$A$1, ROW()-1, AA$1-1))</f>
        <v>typical</v>
      </c>
      <c r="AB272">
        <f t="shared" ca="1" si="46"/>
        <v>2025</v>
      </c>
      <c r="AC272">
        <f t="shared" ca="1" si="47"/>
        <v>12</v>
      </c>
      <c r="AD272" t="str">
        <f t="shared" ca="1" si="48"/>
        <v>12/02/2025</v>
      </c>
      <c r="AE272" t="str">
        <f t="shared" ca="1" si="49"/>
        <v/>
      </c>
      <c r="AF272" s="6">
        <f t="shared" ca="1" si="50"/>
        <v>0.207726479498304</v>
      </c>
      <c r="AG272">
        <f t="shared" ca="1" si="51"/>
        <v>1421.6128794613021</v>
      </c>
      <c r="AH272">
        <f t="shared" ca="1" si="52"/>
        <v>0</v>
      </c>
      <c r="AI272">
        <f t="shared" ca="1" si="53"/>
        <v>0</v>
      </c>
      <c r="AJ272">
        <f t="shared" ca="1" si="54"/>
        <v>967.23000657430498</v>
      </c>
      <c r="AK272">
        <f t="shared" ca="1" si="55"/>
        <v>57.599999999999902</v>
      </c>
      <c r="AL272">
        <f t="shared" ca="1" si="56"/>
        <v>49.008227240277698</v>
      </c>
    </row>
    <row r="273" spans="1:38" hidden="1">
      <c r="A273" t="str">
        <f ca="1">IF(ISNA(A$1), 0, OFFSET(data!$A$1, ROW()-1, A$1-1))</f>
        <v>Oahu</v>
      </c>
      <c r="B273">
        <f ca="1">IF(ISNA(B$1), 0, OFFSET(data!$A$1, ROW()-1, B$1-1))</f>
        <v>2025</v>
      </c>
      <c r="C273" t="str">
        <f ca="1">IF(ISNA(C$1), 0, OFFSET(data!$A$1, ROW()-1, C$1-1))</f>
        <v>2025-12-02-12:00</v>
      </c>
      <c r="D273">
        <f ca="1">IF(ISNA(D$1), 0, OFFSET(data!$A$1, ROW()-1, D$1-1))</f>
        <v>119.750645646718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1124.7730181664599</v>
      </c>
      <c r="L273">
        <f ca="1">IF(ISNA(L$1), 0, OFFSET(data!$A$1, ROW()-1, L$1-1))</f>
        <v>57.599999999999902</v>
      </c>
      <c r="M273">
        <f ca="1">IF(ISNA(M$1), 0, OFFSET(data!$A$1, ROW()-1, M$1-1))</f>
        <v>47.981426861883598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1528.30509067506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1120.12147667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408.183614005062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207.726479498304</v>
      </c>
      <c r="AA273" t="str">
        <f ca="1">IF(ISNA(AA$1), #N/A, OFFSET(data!$A$1, ROW()-1, AA$1-1))</f>
        <v>typical</v>
      </c>
      <c r="AB273">
        <f t="shared" ca="1" si="46"/>
        <v>2025</v>
      </c>
      <c r="AC273">
        <f t="shared" ca="1" si="47"/>
        <v>12</v>
      </c>
      <c r="AD273" t="str">
        <f t="shared" ca="1" si="48"/>
        <v>12/02/2025</v>
      </c>
      <c r="AE273" t="str">
        <f t="shared" ca="1" si="49"/>
        <v>12/02/2025</v>
      </c>
      <c r="AF273" s="6">
        <f t="shared" ca="1" si="50"/>
        <v>0.207726479498304</v>
      </c>
      <c r="AG273">
        <f t="shared" ca="1" si="51"/>
        <v>1528.305090675062</v>
      </c>
      <c r="AH273">
        <f t="shared" ca="1" si="52"/>
        <v>0</v>
      </c>
      <c r="AI273">
        <f t="shared" ca="1" si="53"/>
        <v>0</v>
      </c>
      <c r="AJ273">
        <f t="shared" ca="1" si="54"/>
        <v>1124.7730181664599</v>
      </c>
      <c r="AK273">
        <f t="shared" ca="1" si="55"/>
        <v>57.599999999999902</v>
      </c>
      <c r="AL273">
        <f t="shared" ca="1" si="56"/>
        <v>47.981426861883598</v>
      </c>
    </row>
    <row r="274" spans="1:38" hidden="1">
      <c r="A274" t="str">
        <f ca="1">IF(ISNA(A$1), 0, OFFSET(data!$A$1, ROW()-1, A$1-1))</f>
        <v>Oahu</v>
      </c>
      <c r="B274">
        <f ca="1">IF(ISNA(B$1), 0, OFFSET(data!$A$1, ROW()-1, B$1-1))</f>
        <v>2025</v>
      </c>
      <c r="C274" t="str">
        <f ca="1">IF(ISNA(C$1), 0, OFFSET(data!$A$1, ROW()-1, C$1-1))</f>
        <v>2025-12-02-14:00</v>
      </c>
      <c r="D274">
        <f ca="1">IF(ISNA(D$1), 0, OFFSET(data!$A$1, ROW()-1, D$1-1))</f>
        <v>119.750645646718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1115.9529308776</v>
      </c>
      <c r="L274">
        <f ca="1">IF(ISNA(L$1), 0, OFFSET(data!$A$1, ROW()-1, L$1-1))</f>
        <v>57.599999999999902</v>
      </c>
      <c r="M274">
        <f ca="1">IF(ISNA(M$1), 0, OFFSET(data!$A$1, ROW()-1, M$1-1))</f>
        <v>50.151619300633001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1521.6551958249499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1112.5395320499999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409.11566377495501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207.726479498304</v>
      </c>
      <c r="AA274" t="str">
        <f ca="1">IF(ISNA(AA$1), #N/A, OFFSET(data!$A$1, ROW()-1, AA$1-1))</f>
        <v>typical</v>
      </c>
      <c r="AB274">
        <f t="shared" ca="1" si="46"/>
        <v>2025</v>
      </c>
      <c r="AC274">
        <f t="shared" ca="1" si="47"/>
        <v>12</v>
      </c>
      <c r="AD274" t="str">
        <f t="shared" ca="1" si="48"/>
        <v>12/02/2025</v>
      </c>
      <c r="AE274" t="str">
        <f t="shared" ca="1" si="49"/>
        <v/>
      </c>
      <c r="AF274" s="6">
        <f t="shared" ca="1" si="50"/>
        <v>0.207726479498304</v>
      </c>
      <c r="AG274">
        <f t="shared" ca="1" si="51"/>
        <v>1521.6551958249549</v>
      </c>
      <c r="AH274">
        <f t="shared" ca="1" si="52"/>
        <v>0</v>
      </c>
      <c r="AI274">
        <f t="shared" ca="1" si="53"/>
        <v>0</v>
      </c>
      <c r="AJ274">
        <f t="shared" ca="1" si="54"/>
        <v>1115.9529308776</v>
      </c>
      <c r="AK274">
        <f t="shared" ca="1" si="55"/>
        <v>57.599999999999902</v>
      </c>
      <c r="AL274">
        <f t="shared" ca="1" si="56"/>
        <v>50.151619300633001</v>
      </c>
    </row>
    <row r="275" spans="1:38" hidden="1">
      <c r="A275" t="str">
        <f ca="1">IF(ISNA(A$1), 0, OFFSET(data!$A$1, ROW()-1, A$1-1))</f>
        <v>Oahu</v>
      </c>
      <c r="B275">
        <f ca="1">IF(ISNA(B$1), 0, OFFSET(data!$A$1, ROW()-1, B$1-1))</f>
        <v>2025</v>
      </c>
      <c r="C275" t="str">
        <f ca="1">IF(ISNA(C$1), 0, OFFSET(data!$A$1, ROW()-1, C$1-1))</f>
        <v>2025-12-02-16:00</v>
      </c>
      <c r="D275">
        <f ca="1">IF(ISNA(D$1), 0, OFFSET(data!$A$1, ROW()-1, D$1-1))</f>
        <v>119.750645646718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1019.60748819523</v>
      </c>
      <c r="L275">
        <f ca="1">IF(ISNA(L$1), 0, OFFSET(data!$A$1, ROW()-1, L$1-1))</f>
        <v>57.599999999999902</v>
      </c>
      <c r="M275">
        <f ca="1">IF(ISNA(M$1), 0, OFFSET(data!$A$1, ROW()-1, M$1-1))</f>
        <v>27.030618671622801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1402.1887525135701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1100.87901145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301.30974106357201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207.726479498304</v>
      </c>
      <c r="AA275" t="str">
        <f ca="1">IF(ISNA(AA$1), #N/A, OFFSET(data!$A$1, ROW()-1, AA$1-1))</f>
        <v>typical</v>
      </c>
      <c r="AB275">
        <f t="shared" ca="1" si="46"/>
        <v>2025</v>
      </c>
      <c r="AC275">
        <f t="shared" ca="1" si="47"/>
        <v>12</v>
      </c>
      <c r="AD275" t="str">
        <f t="shared" ca="1" si="48"/>
        <v>12/02/2025</v>
      </c>
      <c r="AE275" t="str">
        <f t="shared" ca="1" si="49"/>
        <v/>
      </c>
      <c r="AF275" s="6">
        <f t="shared" ca="1" si="50"/>
        <v>0.207726479498304</v>
      </c>
      <c r="AG275">
        <f t="shared" ca="1" si="51"/>
        <v>1402.1887525135721</v>
      </c>
      <c r="AH275">
        <f t="shared" ca="1" si="52"/>
        <v>0</v>
      </c>
      <c r="AI275">
        <f t="shared" ca="1" si="53"/>
        <v>0</v>
      </c>
      <c r="AJ275">
        <f t="shared" ca="1" si="54"/>
        <v>1019.60748819523</v>
      </c>
      <c r="AK275">
        <f t="shared" ca="1" si="55"/>
        <v>57.599999999999902</v>
      </c>
      <c r="AL275">
        <f t="shared" ca="1" si="56"/>
        <v>27.030618671622801</v>
      </c>
    </row>
    <row r="276" spans="1:38" hidden="1">
      <c r="A276" t="str">
        <f ca="1">IF(ISNA(A$1), 0, OFFSET(data!$A$1, ROW()-1, A$1-1))</f>
        <v>Oahu</v>
      </c>
      <c r="B276">
        <f ca="1">IF(ISNA(B$1), 0, OFFSET(data!$A$1, ROW()-1, B$1-1))</f>
        <v>2025</v>
      </c>
      <c r="C276" t="str">
        <f ca="1">IF(ISNA(C$1), 0, OFFSET(data!$A$1, ROW()-1, C$1-1))</f>
        <v>2025-12-02-18:00</v>
      </c>
      <c r="D276">
        <f ca="1">IF(ISNA(D$1), 0, OFFSET(data!$A$1, ROW()-1, D$1-1))</f>
        <v>119.750645646718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315.33015875040701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46.278660219874098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717.159464616999</v>
      </c>
      <c r="R276">
        <f ca="1">IF(ISNA(R$1), 0, OFFSET(data!$A$1, ROW()-1, R$1-1))</f>
        <v>0</v>
      </c>
      <c r="S276">
        <f ca="1">IF(ISNA(S$1), 0, OFFSET(data!$A$1, ROW()-1, S$1-1))</f>
        <v>120</v>
      </c>
      <c r="T276">
        <f ca="1">IF(ISNA(T$1), 0, OFFSET(data!$A$1, ROW()-1, T$1-1))</f>
        <v>1195.9420923099999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-358.78262769299897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210.929349134658</v>
      </c>
      <c r="AA276" t="str">
        <f ca="1">IF(ISNA(AA$1), #N/A, OFFSET(data!$A$1, ROW()-1, AA$1-1))</f>
        <v>typical</v>
      </c>
      <c r="AB276">
        <f t="shared" ca="1" si="46"/>
        <v>2025</v>
      </c>
      <c r="AC276">
        <f t="shared" ca="1" si="47"/>
        <v>12</v>
      </c>
      <c r="AD276" t="str">
        <f t="shared" ca="1" si="48"/>
        <v>12/02/2025</v>
      </c>
      <c r="AE276" t="str">
        <f t="shared" ca="1" si="49"/>
        <v/>
      </c>
      <c r="AF276" s="6">
        <f t="shared" ca="1" si="50"/>
        <v>0.210929349134658</v>
      </c>
      <c r="AG276">
        <f t="shared" ca="1" si="51"/>
        <v>837.15946461700094</v>
      </c>
      <c r="AH276">
        <f t="shared" ca="1" si="52"/>
        <v>120</v>
      </c>
      <c r="AI276">
        <f t="shared" ca="1" si="53"/>
        <v>0</v>
      </c>
      <c r="AJ276">
        <f t="shared" ca="1" si="54"/>
        <v>0</v>
      </c>
      <c r="AK276">
        <f t="shared" ca="1" si="55"/>
        <v>57.599999999999902</v>
      </c>
      <c r="AL276">
        <f t="shared" ca="1" si="56"/>
        <v>46.278660219874098</v>
      </c>
    </row>
    <row r="277" spans="1:38" hidden="1">
      <c r="A277" t="str">
        <f ca="1">IF(ISNA(A$1), 0, OFFSET(data!$A$1, ROW()-1, A$1-1))</f>
        <v>Oahu</v>
      </c>
      <c r="B277">
        <f ca="1">IF(ISNA(B$1), 0, OFFSET(data!$A$1, ROW()-1, B$1-1))</f>
        <v>2025</v>
      </c>
      <c r="C277" t="str">
        <f ca="1">IF(ISNA(C$1), 0, OFFSET(data!$A$1, ROW()-1, C$1-1))</f>
        <v>2025-12-02-20:00</v>
      </c>
      <c r="D277">
        <f ca="1">IF(ISNA(D$1), 0, OFFSET(data!$A$1, ROW()-1, D$1-1))</f>
        <v>119.750645646718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290.02527366828298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76.486792565998599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722.06271188100004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1031.5181598300001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-309.45544794900002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210.929349134658</v>
      </c>
      <c r="AA277" t="str">
        <f ca="1">IF(ISNA(AA$1), #N/A, OFFSET(data!$A$1, ROW()-1, AA$1-1))</f>
        <v>typical</v>
      </c>
      <c r="AB277">
        <f t="shared" ca="1" si="46"/>
        <v>2025</v>
      </c>
      <c r="AC277">
        <f t="shared" ca="1" si="47"/>
        <v>12</v>
      </c>
      <c r="AD277" t="str">
        <f t="shared" ca="1" si="48"/>
        <v>12/02/2025</v>
      </c>
      <c r="AE277" t="str">
        <f t="shared" ca="1" si="49"/>
        <v/>
      </c>
      <c r="AF277" s="6">
        <f t="shared" ca="1" si="50"/>
        <v>0.210929349134658</v>
      </c>
      <c r="AG277">
        <f t="shared" ca="1" si="51"/>
        <v>722.06271188100004</v>
      </c>
      <c r="AH277">
        <f t="shared" ca="1" si="52"/>
        <v>0</v>
      </c>
      <c r="AI277">
        <f t="shared" ca="1" si="53"/>
        <v>0</v>
      </c>
      <c r="AJ277">
        <f t="shared" ca="1" si="54"/>
        <v>0</v>
      </c>
      <c r="AK277">
        <f t="shared" ca="1" si="55"/>
        <v>57.599999999999902</v>
      </c>
      <c r="AL277">
        <f t="shared" ca="1" si="56"/>
        <v>76.486792565998599</v>
      </c>
    </row>
    <row r="278" spans="1:38" hidden="1">
      <c r="A278" t="str">
        <f ca="1">IF(ISNA(A$1), 0, OFFSET(data!$A$1, ROW()-1, A$1-1))</f>
        <v>Oahu</v>
      </c>
      <c r="B278">
        <f ca="1">IF(ISNA(B$1), 0, OFFSET(data!$A$1, ROW()-1, B$1-1))</f>
        <v>2025</v>
      </c>
      <c r="C278" t="str">
        <f ca="1">IF(ISNA(C$1), 0, OFFSET(data!$A$1, ROW()-1, C$1-1))</f>
        <v>2025-12-02-22:00</v>
      </c>
      <c r="D278">
        <f ca="1">IF(ISNA(D$1), 0, OFFSET(data!$A$1, ROW()-1, D$1-1))</f>
        <v>119.750645646718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90.643111072500503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76.935764086281097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523.12952080549906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747.32788686499998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-224.19836605949999</v>
      </c>
      <c r="X278">
        <f ca="1">IF(ISNA(X$1), 0, OFFSET(data!$A$1, ROW()-1, X$1-1))</f>
        <v>0</v>
      </c>
      <c r="Y278">
        <f ca="1">IF(ISNA(Y$1), 0, OFFSET(data!$A$1, ROW()-1, Y$1-1))</f>
        <v>0</v>
      </c>
      <c r="Z278">
        <f ca="1">IF(ISNA(Z$1), 0, OFFSET(data!$A$1, ROW()-1, Z$1-1))</f>
        <v>207.726479498304</v>
      </c>
      <c r="AA278" t="str">
        <f ca="1">IF(ISNA(AA$1), #N/A, OFFSET(data!$A$1, ROW()-1, AA$1-1))</f>
        <v>typical</v>
      </c>
      <c r="AB278">
        <f t="shared" ca="1" si="46"/>
        <v>2025</v>
      </c>
      <c r="AC278">
        <f t="shared" ca="1" si="47"/>
        <v>12</v>
      </c>
      <c r="AD278" t="str">
        <f t="shared" ca="1" si="48"/>
        <v>12/02/2025</v>
      </c>
      <c r="AE278" t="str">
        <f t="shared" ca="1" si="49"/>
        <v/>
      </c>
      <c r="AF278" s="6">
        <f t="shared" ca="1" si="50"/>
        <v>0.207726479498304</v>
      </c>
      <c r="AG278">
        <f t="shared" ca="1" si="51"/>
        <v>523.12952080549996</v>
      </c>
      <c r="AH278">
        <f t="shared" ca="1" si="52"/>
        <v>0</v>
      </c>
      <c r="AI278">
        <f t="shared" ca="1" si="53"/>
        <v>0</v>
      </c>
      <c r="AJ278">
        <f t="shared" ca="1" si="54"/>
        <v>0</v>
      </c>
      <c r="AK278">
        <f t="shared" ca="1" si="55"/>
        <v>57.599999999999902</v>
      </c>
      <c r="AL278">
        <f t="shared" ca="1" si="56"/>
        <v>76.935764086281097</v>
      </c>
    </row>
    <row r="279" spans="1:38" hidden="1">
      <c r="A279" t="str">
        <f ca="1">IF(ISNA(A$1), 0, OFFSET(data!$A$1, ROW()-1, A$1-1))</f>
        <v>Oahu</v>
      </c>
      <c r="B279">
        <f ca="1">IF(ISNA(B$1), 0, OFFSET(data!$A$1, ROW()-1, B$1-1))</f>
        <v>2025</v>
      </c>
      <c r="C279" t="str">
        <f ca="1">IF(ISNA(C$1), 0, OFFSET(data!$A$1, ROW()-1, C$1-1))</f>
        <v>2025-12-04-00:00</v>
      </c>
      <c r="D279">
        <f ca="1">IF(ISNA(D$1), 0, OFFSET(data!$A$1, ROW()-1, D$1-1))</f>
        <v>119.750645646718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13.813603973727799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11.3492299329539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380.71347955340002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543.87639936200003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-163.16291980860001</v>
      </c>
      <c r="X279">
        <f ca="1">IF(ISNA(X$1), 0, OFFSET(data!$A$1, ROW()-1, X$1-1))</f>
        <v>0</v>
      </c>
      <c r="Y279">
        <f ca="1">IF(ISNA(Y$1), 0, OFFSET(data!$A$1, ROW()-1, Y$1-1))</f>
        <v>0</v>
      </c>
      <c r="Z279">
        <f ca="1">IF(ISNA(Z$1), 0, OFFSET(data!$A$1, ROW()-1, Z$1-1))</f>
        <v>863.62459662876802</v>
      </c>
      <c r="AA279" t="str">
        <f ca="1">IF(ISNA(AA$1), #N/A, OFFSET(data!$A$1, ROW()-1, AA$1-1))</f>
        <v>peak</v>
      </c>
      <c r="AB279">
        <f t="shared" ca="1" si="46"/>
        <v>2025</v>
      </c>
      <c r="AC279">
        <f t="shared" ca="1" si="47"/>
        <v>12</v>
      </c>
      <c r="AD279" t="str">
        <f t="shared" ca="1" si="48"/>
        <v>12/04/2025</v>
      </c>
      <c r="AE279" t="str">
        <f t="shared" ca="1" si="49"/>
        <v/>
      </c>
      <c r="AF279" s="6">
        <f t="shared" ca="1" si="50"/>
        <v>0.863624596628768</v>
      </c>
      <c r="AG279">
        <f t="shared" ca="1" si="51"/>
        <v>380.71347955340002</v>
      </c>
      <c r="AH279">
        <f t="shared" ca="1" si="52"/>
        <v>0</v>
      </c>
      <c r="AI279">
        <f t="shared" ca="1" si="53"/>
        <v>0</v>
      </c>
      <c r="AJ279">
        <f t="shared" ca="1" si="54"/>
        <v>0</v>
      </c>
      <c r="AK279">
        <f t="shared" ca="1" si="55"/>
        <v>57.599999999999902</v>
      </c>
      <c r="AL279">
        <f t="shared" ca="1" si="56"/>
        <v>11.3492299329539</v>
      </c>
    </row>
    <row r="280" spans="1:38" hidden="1">
      <c r="A280" t="str">
        <f ca="1">IF(ISNA(A$1), 0, OFFSET(data!$A$1, ROW()-1, A$1-1))</f>
        <v>Oahu</v>
      </c>
      <c r="B280">
        <f ca="1">IF(ISNA(B$1), 0, OFFSET(data!$A$1, ROW()-1, B$1-1))</f>
        <v>2025</v>
      </c>
      <c r="C280" t="str">
        <f ca="1">IF(ISNA(C$1), 0, OFFSET(data!$A$1, ROW()-1, C$1-1))</f>
        <v>2025-12-04-02:00</v>
      </c>
      <c r="D280">
        <f ca="1">IF(ISNA(D$1), 0, OFFSET(data!$A$1, ROW()-1, D$1-1))</f>
        <v>119.750645646718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149.37599999999901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31.843799226399899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536.77044487311798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481.39494627400001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55.375498599118103</v>
      </c>
      <c r="X280">
        <f ca="1">IF(ISNA(X$1), 0, OFFSET(data!$A$1, ROW()-1, X$1-1))</f>
        <v>0</v>
      </c>
      <c r="Y280">
        <f ca="1">IF(ISNA(Y$1), 0, OFFSET(data!$A$1, ROW()-1, Y$1-1))</f>
        <v>0</v>
      </c>
      <c r="Z280">
        <f ca="1">IF(ISNA(Z$1), 0, OFFSET(data!$A$1, ROW()-1, Z$1-1))</f>
        <v>863.62459662876802</v>
      </c>
      <c r="AA280" t="str">
        <f ca="1">IF(ISNA(AA$1), #N/A, OFFSET(data!$A$1, ROW()-1, AA$1-1))</f>
        <v>peak</v>
      </c>
      <c r="AB280">
        <f t="shared" ca="1" si="46"/>
        <v>2025</v>
      </c>
      <c r="AC280">
        <f t="shared" ca="1" si="47"/>
        <v>12</v>
      </c>
      <c r="AD280" t="str">
        <f t="shared" ca="1" si="48"/>
        <v>12/04/2025</v>
      </c>
      <c r="AE280" t="str">
        <f t="shared" ca="1" si="49"/>
        <v/>
      </c>
      <c r="AF280" s="6">
        <f t="shared" ca="1" si="50"/>
        <v>0.863624596628768</v>
      </c>
      <c r="AG280">
        <f t="shared" ca="1" si="51"/>
        <v>536.77044487311809</v>
      </c>
      <c r="AH280">
        <f t="shared" ca="1" si="52"/>
        <v>0</v>
      </c>
      <c r="AI280">
        <f t="shared" ca="1" si="53"/>
        <v>0</v>
      </c>
      <c r="AJ280">
        <f t="shared" ca="1" si="54"/>
        <v>0</v>
      </c>
      <c r="AK280">
        <f t="shared" ca="1" si="55"/>
        <v>57.599999999999902</v>
      </c>
      <c r="AL280">
        <f t="shared" ca="1" si="56"/>
        <v>31.843799226399899</v>
      </c>
    </row>
    <row r="281" spans="1:38" hidden="1">
      <c r="A281" t="str">
        <f ca="1">IF(ISNA(A$1), 0, OFFSET(data!$A$1, ROW()-1, A$1-1))</f>
        <v>Oahu</v>
      </c>
      <c r="B281">
        <f ca="1">IF(ISNA(B$1), 0, OFFSET(data!$A$1, ROW()-1, B$1-1))</f>
        <v>2025</v>
      </c>
      <c r="C281" t="str">
        <f ca="1">IF(ISNA(C$1), 0, OFFSET(data!$A$1, ROW()-1, C$1-1))</f>
        <v>2025-12-04-04:00</v>
      </c>
      <c r="D281">
        <f ca="1">IF(ISNA(D$1), 0, OFFSET(data!$A$1, ROW()-1, D$1-1))</f>
        <v>119.750645646718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14.6843490277636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46.271087514218102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416.50608218870002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595.00868884099998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-178.50260665229999</v>
      </c>
      <c r="X281">
        <f ca="1">IF(ISNA(X$1), 0, OFFSET(data!$A$1, ROW()-1, X$1-1))</f>
        <v>0</v>
      </c>
      <c r="Y281">
        <f ca="1">IF(ISNA(Y$1), 0, OFFSET(data!$A$1, ROW()-1, Y$1-1))</f>
        <v>0</v>
      </c>
      <c r="Z281">
        <f ca="1">IF(ISNA(Z$1), 0, OFFSET(data!$A$1, ROW()-1, Z$1-1))</f>
        <v>863.62459662876802</v>
      </c>
      <c r="AA281" t="str">
        <f ca="1">IF(ISNA(AA$1), #N/A, OFFSET(data!$A$1, ROW()-1, AA$1-1))</f>
        <v>peak</v>
      </c>
      <c r="AB281">
        <f t="shared" ca="1" si="46"/>
        <v>2025</v>
      </c>
      <c r="AC281">
        <f t="shared" ca="1" si="47"/>
        <v>12</v>
      </c>
      <c r="AD281" t="str">
        <f t="shared" ca="1" si="48"/>
        <v>12/04/2025</v>
      </c>
      <c r="AE281" t="str">
        <f t="shared" ca="1" si="49"/>
        <v/>
      </c>
      <c r="AF281" s="6">
        <f t="shared" ca="1" si="50"/>
        <v>0.863624596628768</v>
      </c>
      <c r="AG281">
        <f t="shared" ca="1" si="51"/>
        <v>416.50608218870002</v>
      </c>
      <c r="AH281">
        <f t="shared" ca="1" si="52"/>
        <v>0</v>
      </c>
      <c r="AI281">
        <f t="shared" ca="1" si="53"/>
        <v>0</v>
      </c>
      <c r="AJ281">
        <f t="shared" ca="1" si="54"/>
        <v>0</v>
      </c>
      <c r="AK281">
        <f t="shared" ca="1" si="55"/>
        <v>57.599999999999902</v>
      </c>
      <c r="AL281">
        <f t="shared" ca="1" si="56"/>
        <v>46.271087514218102</v>
      </c>
    </row>
    <row r="282" spans="1:38" hidden="1">
      <c r="A282" t="str">
        <f ca="1">IF(ISNA(A$1), 0, OFFSET(data!$A$1, ROW()-1, A$1-1))</f>
        <v>Oahu</v>
      </c>
      <c r="B282">
        <f ca="1">IF(ISNA(B$1), 0, OFFSET(data!$A$1, ROW()-1, B$1-1))</f>
        <v>2025</v>
      </c>
      <c r="C282" t="str">
        <f ca="1">IF(ISNA(C$1), 0, OFFSET(data!$A$1, ROW()-1, C$1-1))</f>
        <v>2025-12-04-06:00</v>
      </c>
      <c r="D282">
        <f ca="1">IF(ISNA(D$1), 0, OFFSET(data!$A$1, ROW()-1, D$1-1))</f>
        <v>119.750645646718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236.68723908360801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70.349135108473703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662.58701983879905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946.55288548399994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-283.96586564519998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863.62459662876802</v>
      </c>
      <c r="AA282" t="str">
        <f ca="1">IF(ISNA(AA$1), #N/A, OFFSET(data!$A$1, ROW()-1, AA$1-1))</f>
        <v>peak</v>
      </c>
      <c r="AB282">
        <f t="shared" ca="1" si="46"/>
        <v>2025</v>
      </c>
      <c r="AC282">
        <f t="shared" ca="1" si="47"/>
        <v>12</v>
      </c>
      <c r="AD282" t="str">
        <f t="shared" ca="1" si="48"/>
        <v>12/04/2025</v>
      </c>
      <c r="AE282" t="str">
        <f t="shared" ca="1" si="49"/>
        <v/>
      </c>
      <c r="AF282" s="6">
        <f t="shared" ca="1" si="50"/>
        <v>0.863624596628768</v>
      </c>
      <c r="AG282">
        <f t="shared" ca="1" si="51"/>
        <v>662.58701983879996</v>
      </c>
      <c r="AH282">
        <f t="shared" ca="1" si="52"/>
        <v>0</v>
      </c>
      <c r="AI282">
        <f t="shared" ca="1" si="53"/>
        <v>0</v>
      </c>
      <c r="AJ282">
        <f t="shared" ca="1" si="54"/>
        <v>0</v>
      </c>
      <c r="AK282">
        <f t="shared" ca="1" si="55"/>
        <v>57.599999999999902</v>
      </c>
      <c r="AL282">
        <f t="shared" ca="1" si="56"/>
        <v>70.349135108473703</v>
      </c>
    </row>
    <row r="283" spans="1:38" hidden="1">
      <c r="A283" t="str">
        <f ca="1">IF(ISNA(A$1), 0, OFFSET(data!$A$1, ROW()-1, A$1-1))</f>
        <v>Oahu</v>
      </c>
      <c r="B283">
        <f ca="1">IF(ISNA(B$1), 0, OFFSET(data!$A$1, ROW()-1, B$1-1))</f>
        <v>2025</v>
      </c>
      <c r="C283" t="str">
        <f ca="1">IF(ISNA(C$1), 0, OFFSET(data!$A$1, ROW()-1, C$1-1))</f>
        <v>2025-12-04-08:00</v>
      </c>
      <c r="D283">
        <f ca="1">IF(ISNA(D$1), 0, OFFSET(data!$A$1, ROW()-1, D$1-1))</f>
        <v>119.750645646718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49.727999999999902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672.42590292754801</v>
      </c>
      <c r="L283">
        <f ca="1">IF(ISNA(L$1), 0, OFFSET(data!$A$1, ROW()-1, L$1-1))</f>
        <v>57.599999999999902</v>
      </c>
      <c r="M283">
        <f ca="1">IF(ISNA(M$1), 0, OFFSET(data!$A$1, ROW()-1, M$1-1))</f>
        <v>94.744806146517206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1172.4493547207801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1060.1666280500001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112.282726670784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863.62459662876802</v>
      </c>
      <c r="AA283" t="str">
        <f ca="1">IF(ISNA(AA$1), #N/A, OFFSET(data!$A$1, ROW()-1, AA$1-1))</f>
        <v>peak</v>
      </c>
      <c r="AB283">
        <f t="shared" ca="1" si="46"/>
        <v>2025</v>
      </c>
      <c r="AC283">
        <f t="shared" ca="1" si="47"/>
        <v>12</v>
      </c>
      <c r="AD283" t="str">
        <f t="shared" ca="1" si="48"/>
        <v>12/04/2025</v>
      </c>
      <c r="AE283" t="str">
        <f t="shared" ca="1" si="49"/>
        <v/>
      </c>
      <c r="AF283" s="6">
        <f t="shared" ca="1" si="50"/>
        <v>0.863624596628768</v>
      </c>
      <c r="AG283">
        <f t="shared" ca="1" si="51"/>
        <v>1172.4493547207842</v>
      </c>
      <c r="AH283">
        <f t="shared" ca="1" si="52"/>
        <v>0</v>
      </c>
      <c r="AI283">
        <f t="shared" ca="1" si="53"/>
        <v>0</v>
      </c>
      <c r="AJ283">
        <f t="shared" ca="1" si="54"/>
        <v>672.42590292754801</v>
      </c>
      <c r="AK283">
        <f t="shared" ca="1" si="55"/>
        <v>57.599999999999902</v>
      </c>
      <c r="AL283">
        <f t="shared" ca="1" si="56"/>
        <v>94.744806146517206</v>
      </c>
    </row>
    <row r="284" spans="1:38" hidden="1">
      <c r="A284" t="str">
        <f ca="1">IF(ISNA(A$1), 0, OFFSET(data!$A$1, ROW()-1, A$1-1))</f>
        <v>Oahu</v>
      </c>
      <c r="B284">
        <f ca="1">IF(ISNA(B$1), 0, OFFSET(data!$A$1, ROW()-1, B$1-1))</f>
        <v>2025</v>
      </c>
      <c r="C284" t="str">
        <f ca="1">IF(ISNA(C$1), 0, OFFSET(data!$A$1, ROW()-1, C$1-1))</f>
        <v>2025-12-04-10:00</v>
      </c>
      <c r="D284">
        <f ca="1">IF(ISNA(D$1), 0, OFFSET(data!$A$1, ROW()-1, D$1-1))</f>
        <v>119.750645646718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814.372180256668</v>
      </c>
      <c r="L284">
        <f ca="1">IF(ISNA(L$1), 0, OFFSET(data!$A$1, ROW()-1, L$1-1))</f>
        <v>57.599999999999902</v>
      </c>
      <c r="M284">
        <f ca="1">IF(ISNA(M$1), 0, OFFSET(data!$A$1, ROW()-1, M$1-1))</f>
        <v>110.99590733617499</v>
      </c>
      <c r="N284">
        <f ca="1">IF(ISNA(N$1), 0, OFFSET(data!$A$1, ROW()-1, N$1-1))</f>
        <v>-1.4210854715202001E-14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1280.91873323956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1132.1529111699999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148.76582206956101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863.62459662876802</v>
      </c>
      <c r="AA284" t="str">
        <f ca="1">IF(ISNA(AA$1), #N/A, OFFSET(data!$A$1, ROW()-1, AA$1-1))</f>
        <v>peak</v>
      </c>
      <c r="AB284">
        <f t="shared" ca="1" si="46"/>
        <v>2025</v>
      </c>
      <c r="AC284">
        <f t="shared" ca="1" si="47"/>
        <v>12</v>
      </c>
      <c r="AD284" t="str">
        <f t="shared" ca="1" si="48"/>
        <v>12/04/2025</v>
      </c>
      <c r="AE284" t="str">
        <f t="shared" ca="1" si="49"/>
        <v/>
      </c>
      <c r="AF284" s="6">
        <f t="shared" ca="1" si="50"/>
        <v>0.863624596628768</v>
      </c>
      <c r="AG284">
        <f t="shared" ca="1" si="51"/>
        <v>1280.9187332395609</v>
      </c>
      <c r="AH284">
        <f t="shared" ca="1" si="52"/>
        <v>0</v>
      </c>
      <c r="AI284">
        <f t="shared" ca="1" si="53"/>
        <v>0</v>
      </c>
      <c r="AJ284">
        <f t="shared" ca="1" si="54"/>
        <v>814.372180256668</v>
      </c>
      <c r="AK284">
        <f t="shared" ca="1" si="55"/>
        <v>57.599999999999902</v>
      </c>
      <c r="AL284">
        <f t="shared" ca="1" si="56"/>
        <v>110.99590733617499</v>
      </c>
    </row>
    <row r="285" spans="1:38" hidden="1">
      <c r="A285" t="str">
        <f ca="1">IF(ISNA(A$1), 0, OFFSET(data!$A$1, ROW()-1, A$1-1))</f>
        <v>Oahu</v>
      </c>
      <c r="B285">
        <f ca="1">IF(ISNA(B$1), 0, OFFSET(data!$A$1, ROW()-1, B$1-1))</f>
        <v>2025</v>
      </c>
      <c r="C285" t="str">
        <f ca="1">IF(ISNA(C$1), 0, OFFSET(data!$A$1, ROW()-1, C$1-1))</f>
        <v>2025-12-04-12:00</v>
      </c>
      <c r="D285">
        <f ca="1">IF(ISNA(D$1), 0, OFFSET(data!$A$1, ROW()-1, D$1-1))</f>
        <v>119.750645646718</v>
      </c>
      <c r="E285">
        <f ca="1">IF(ISNA(E$1), 0, OFFSET(data!$A$1, ROW()-1, E$1-1))</f>
        <v>0</v>
      </c>
      <c r="F285">
        <f ca="1">IF(ISNA(F$1), 0, OFFSET(data!$A$1, ROW()-1, F$1-1))</f>
        <v>178.2</v>
      </c>
      <c r="G285">
        <f ca="1">IF(ISNA(G$1), 0, OFFSET(data!$A$1, ROW()-1, G$1-1))</f>
        <v>0</v>
      </c>
      <c r="H285">
        <f ca="1">IF(ISNA(H$1), 0, OFFSET(data!$A$1, ROW()-1, H$1-1))</f>
        <v>199.10399999999899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828.35121076659198</v>
      </c>
      <c r="L285">
        <f ca="1">IF(ISNA(L$1), 0, OFFSET(data!$A$1, ROW()-1, L$1-1))</f>
        <v>57.599999999999902</v>
      </c>
      <c r="M285">
        <f ca="1">IF(ISNA(M$1), 0, OFFSET(data!$A$1, ROW()-1, M$1-1))</f>
        <v>132.68730320390901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1515.6931596172101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1141.2403934399999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374.45276617721902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863.62459662876802</v>
      </c>
      <c r="AA285" t="str">
        <f ca="1">IF(ISNA(AA$1), #N/A, OFFSET(data!$A$1, ROW()-1, AA$1-1))</f>
        <v>peak</v>
      </c>
      <c r="AB285">
        <f t="shared" ca="1" si="46"/>
        <v>2025</v>
      </c>
      <c r="AC285">
        <f t="shared" ca="1" si="47"/>
        <v>12</v>
      </c>
      <c r="AD285" t="str">
        <f t="shared" ca="1" si="48"/>
        <v>12/04/2025</v>
      </c>
      <c r="AE285" t="str">
        <f t="shared" ca="1" si="49"/>
        <v>12/04/2025</v>
      </c>
      <c r="AF285" s="6">
        <f t="shared" ca="1" si="50"/>
        <v>0.863624596628768</v>
      </c>
      <c r="AG285">
        <f t="shared" ca="1" si="51"/>
        <v>1515.693159617219</v>
      </c>
      <c r="AH285">
        <f t="shared" ca="1" si="52"/>
        <v>0</v>
      </c>
      <c r="AI285">
        <f t="shared" ca="1" si="53"/>
        <v>0</v>
      </c>
      <c r="AJ285">
        <f t="shared" ca="1" si="54"/>
        <v>828.35121076659198</v>
      </c>
      <c r="AK285">
        <f t="shared" ca="1" si="55"/>
        <v>57.599999999999902</v>
      </c>
      <c r="AL285">
        <f t="shared" ca="1" si="56"/>
        <v>132.68730320390901</v>
      </c>
    </row>
    <row r="286" spans="1:38" hidden="1">
      <c r="A286" t="str">
        <f ca="1">IF(ISNA(A$1), 0, OFFSET(data!$A$1, ROW()-1, A$1-1))</f>
        <v>Oahu</v>
      </c>
      <c r="B286">
        <f ca="1">IF(ISNA(B$1), 0, OFFSET(data!$A$1, ROW()-1, B$1-1))</f>
        <v>2025</v>
      </c>
      <c r="C286" t="str">
        <f ca="1">IF(ISNA(C$1), 0, OFFSET(data!$A$1, ROW()-1, C$1-1))</f>
        <v>2025-12-04-14:00</v>
      </c>
      <c r="D286">
        <f ca="1">IF(ISNA(D$1), 0, OFFSET(data!$A$1, ROW()-1, D$1-1))</f>
        <v>119.750645646718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134.913187309157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935.02834382992899</v>
      </c>
      <c r="L286">
        <f ca="1">IF(ISNA(L$1), 0, OFFSET(data!$A$1, ROW()-1, L$1-1))</f>
        <v>57.599999999999902</v>
      </c>
      <c r="M286">
        <f ca="1">IF(ISNA(M$1), 0, OFFSET(data!$A$1, ROW()-1, M$1-1))</f>
        <v>141.0434136856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1566.5355904713999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1124.6271755600001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441.90841491140498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863.62459662876802</v>
      </c>
      <c r="AA286" t="str">
        <f ca="1">IF(ISNA(AA$1), #N/A, OFFSET(data!$A$1, ROW()-1, AA$1-1))</f>
        <v>peak</v>
      </c>
      <c r="AB286">
        <f t="shared" ca="1" si="46"/>
        <v>2025</v>
      </c>
      <c r="AC286">
        <f t="shared" ca="1" si="47"/>
        <v>12</v>
      </c>
      <c r="AD286" t="str">
        <f t="shared" ca="1" si="48"/>
        <v>12/04/2025</v>
      </c>
      <c r="AE286" t="str">
        <f t="shared" ca="1" si="49"/>
        <v/>
      </c>
      <c r="AF286" s="6">
        <f t="shared" ca="1" si="50"/>
        <v>0.863624596628768</v>
      </c>
      <c r="AG286">
        <f t="shared" ca="1" si="51"/>
        <v>1566.5355904714052</v>
      </c>
      <c r="AH286">
        <f t="shared" ca="1" si="52"/>
        <v>0</v>
      </c>
      <c r="AI286">
        <f t="shared" ca="1" si="53"/>
        <v>0</v>
      </c>
      <c r="AJ286">
        <f t="shared" ca="1" si="54"/>
        <v>935.02834382992899</v>
      </c>
      <c r="AK286">
        <f t="shared" ca="1" si="55"/>
        <v>57.599999999999902</v>
      </c>
      <c r="AL286">
        <f t="shared" ca="1" si="56"/>
        <v>141.0434136856</v>
      </c>
    </row>
    <row r="287" spans="1:38" hidden="1">
      <c r="A287" t="str">
        <f ca="1">IF(ISNA(A$1), 0, OFFSET(data!$A$1, ROW()-1, A$1-1))</f>
        <v>Oahu</v>
      </c>
      <c r="B287">
        <f ca="1">IF(ISNA(B$1), 0, OFFSET(data!$A$1, ROW()-1, B$1-1))</f>
        <v>2025</v>
      </c>
      <c r="C287" t="str">
        <f ca="1">IF(ISNA(C$1), 0, OFFSET(data!$A$1, ROW()-1, C$1-1))</f>
        <v>2025-12-04-16:00</v>
      </c>
      <c r="D287">
        <f ca="1">IF(ISNA(D$1), 0, OFFSET(data!$A$1, ROW()-1, D$1-1))</f>
        <v>119.750645646718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149.37599999999901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795.29876606433402</v>
      </c>
      <c r="L287">
        <f ca="1">IF(ISNA(L$1), 0, OFFSET(data!$A$1, ROW()-1, L$1-1))</f>
        <v>57.599999999999902</v>
      </c>
      <c r="M287">
        <f ca="1">IF(ISNA(M$1), 0, OFFSET(data!$A$1, ROW()-1, M$1-1))</f>
        <v>123.28239552163799</v>
      </c>
      <c r="N287">
        <f ca="1">IF(ISNA(N$1), 0, OFFSET(data!$A$1, ROW()-1, N$1-1))</f>
        <v>-7.1054273576010003E-15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1423.5078072326901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1132.3953163399999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291.11249089269103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863.62459662876802</v>
      </c>
      <c r="AA287" t="str">
        <f ca="1">IF(ISNA(AA$1), #N/A, OFFSET(data!$A$1, ROW()-1, AA$1-1))</f>
        <v>peak</v>
      </c>
      <c r="AB287">
        <f t="shared" ca="1" si="46"/>
        <v>2025</v>
      </c>
      <c r="AC287">
        <f t="shared" ca="1" si="47"/>
        <v>12</v>
      </c>
      <c r="AD287" t="str">
        <f t="shared" ca="1" si="48"/>
        <v>12/04/2025</v>
      </c>
      <c r="AE287" t="str">
        <f t="shared" ca="1" si="49"/>
        <v/>
      </c>
      <c r="AF287" s="6">
        <f t="shared" ca="1" si="50"/>
        <v>0.863624596628768</v>
      </c>
      <c r="AG287">
        <f t="shared" ca="1" si="51"/>
        <v>1423.507807232691</v>
      </c>
      <c r="AH287">
        <f t="shared" ca="1" si="52"/>
        <v>0</v>
      </c>
      <c r="AI287">
        <f t="shared" ca="1" si="53"/>
        <v>0</v>
      </c>
      <c r="AJ287">
        <f t="shared" ca="1" si="54"/>
        <v>795.29876606433402</v>
      </c>
      <c r="AK287">
        <f t="shared" ca="1" si="55"/>
        <v>57.599999999999902</v>
      </c>
      <c r="AL287">
        <f t="shared" ca="1" si="56"/>
        <v>123.28239552163799</v>
      </c>
    </row>
    <row r="288" spans="1:38" hidden="1">
      <c r="A288" t="str">
        <f ca="1">IF(ISNA(A$1), 0, OFFSET(data!$A$1, ROW()-1, A$1-1))</f>
        <v>Oahu</v>
      </c>
      <c r="B288">
        <f ca="1">IF(ISNA(B$1), 0, OFFSET(data!$A$1, ROW()-1, B$1-1))</f>
        <v>2025</v>
      </c>
      <c r="C288" t="str">
        <f ca="1">IF(ISNA(C$1), 0, OFFSET(data!$A$1, ROW()-1, C$1-1))</f>
        <v>2025-12-04-18:00</v>
      </c>
      <c r="D288">
        <f ca="1">IF(ISNA(D$1), 0, OFFSET(data!$A$1, ROW()-1, D$1-1))</f>
        <v>119.750645646718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327.74399999999901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113.947311901954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797.24195754867299</v>
      </c>
      <c r="R288">
        <f ca="1">IF(ISNA(R$1), 0, OFFSET(data!$A$1, ROW()-1, R$1-1))</f>
        <v>0</v>
      </c>
      <c r="S288">
        <f ca="1">IF(ISNA(S$1), 0, OFFSET(data!$A$1, ROW()-1, S$1-1))</f>
        <v>71.986349874326805</v>
      </c>
      <c r="T288">
        <f ca="1">IF(ISNA(T$1), 0, OFFSET(data!$A$1, ROW()-1, T$1-1))</f>
        <v>1241.75472489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-372.52641746699999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866.82746626512301</v>
      </c>
      <c r="AA288" t="str">
        <f ca="1">IF(ISNA(AA$1), #N/A, OFFSET(data!$A$1, ROW()-1, AA$1-1))</f>
        <v>peak</v>
      </c>
      <c r="AB288">
        <f t="shared" ca="1" si="46"/>
        <v>2025</v>
      </c>
      <c r="AC288">
        <f t="shared" ca="1" si="47"/>
        <v>12</v>
      </c>
      <c r="AD288" t="str">
        <f t="shared" ca="1" si="48"/>
        <v>12/04/2025</v>
      </c>
      <c r="AE288" t="str">
        <f t="shared" ca="1" si="49"/>
        <v/>
      </c>
      <c r="AF288" s="6">
        <f t="shared" ca="1" si="50"/>
        <v>0.86682746626512297</v>
      </c>
      <c r="AG288">
        <f t="shared" ca="1" si="51"/>
        <v>869.22830742300005</v>
      </c>
      <c r="AH288">
        <f t="shared" ca="1" si="52"/>
        <v>71.986349874326805</v>
      </c>
      <c r="AI288">
        <f t="shared" ca="1" si="53"/>
        <v>0</v>
      </c>
      <c r="AJ288">
        <f t="shared" ca="1" si="54"/>
        <v>0</v>
      </c>
      <c r="AK288">
        <f t="shared" ca="1" si="55"/>
        <v>57.599999999999902</v>
      </c>
      <c r="AL288">
        <f t="shared" ca="1" si="56"/>
        <v>113.947311901954</v>
      </c>
    </row>
    <row r="289" spans="1:38" hidden="1">
      <c r="A289" t="str">
        <f ca="1">IF(ISNA(A$1), 0, OFFSET(data!$A$1, ROW()-1, A$1-1))</f>
        <v>Oahu</v>
      </c>
      <c r="B289">
        <f ca="1">IF(ISNA(B$1), 0, OFFSET(data!$A$1, ROW()-1, B$1-1))</f>
        <v>2025</v>
      </c>
      <c r="C289" t="str">
        <f ca="1">IF(ISNA(C$1), 0, OFFSET(data!$A$1, ROW()-1, C$1-1))</f>
        <v>2025-12-04-20:00</v>
      </c>
      <c r="D289">
        <f ca="1">IF(ISNA(D$1), 0, OFFSET(data!$A$1, ROW()-1, D$1-1))</f>
        <v>119.750645646718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259.07471925837598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90.956060013232403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705.58142491832598</v>
      </c>
      <c r="R289">
        <f ca="1">IF(ISNA(R$1), 0, OFFSET(data!$A$1, ROW()-1, R$1-1))</f>
        <v>0</v>
      </c>
      <c r="S289">
        <f ca="1">IF(ISNA(S$1), 0, OFFSET(data!$A$1, ROW()-1, S$1-1))</f>
        <v>48.013650125673102</v>
      </c>
      <c r="T289">
        <f ca="1">IF(ISNA(T$1), 0, OFFSET(data!$A$1, ROW()-1, T$1-1))</f>
        <v>1076.56439292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-322.96931787599999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866.82746626512301</v>
      </c>
      <c r="AA289" t="str">
        <f ca="1">IF(ISNA(AA$1), #N/A, OFFSET(data!$A$1, ROW()-1, AA$1-1))</f>
        <v>peak</v>
      </c>
      <c r="AB289">
        <f t="shared" ca="1" si="46"/>
        <v>2025</v>
      </c>
      <c r="AC289">
        <f t="shared" ca="1" si="47"/>
        <v>12</v>
      </c>
      <c r="AD289" t="str">
        <f t="shared" ca="1" si="48"/>
        <v>12/04/2025</v>
      </c>
      <c r="AE289" t="str">
        <f t="shared" ca="1" si="49"/>
        <v/>
      </c>
      <c r="AF289" s="6">
        <f t="shared" ca="1" si="50"/>
        <v>0.86682746626512297</v>
      </c>
      <c r="AG289">
        <f t="shared" ca="1" si="51"/>
        <v>753.59507504400005</v>
      </c>
      <c r="AH289">
        <f t="shared" ca="1" si="52"/>
        <v>48.013650125673102</v>
      </c>
      <c r="AI289">
        <f t="shared" ca="1" si="53"/>
        <v>0</v>
      </c>
      <c r="AJ289">
        <f t="shared" ca="1" si="54"/>
        <v>0</v>
      </c>
      <c r="AK289">
        <f t="shared" ca="1" si="55"/>
        <v>57.599999999999902</v>
      </c>
      <c r="AL289">
        <f t="shared" ca="1" si="56"/>
        <v>90.956060013232403</v>
      </c>
    </row>
    <row r="290" spans="1:38" hidden="1">
      <c r="A290" t="str">
        <f ca="1">IF(ISNA(A$1), 0, OFFSET(data!$A$1, ROW()-1, A$1-1))</f>
        <v>Oahu</v>
      </c>
      <c r="B290">
        <f ca="1">IF(ISNA(B$1), 0, OFFSET(data!$A$1, ROW()-1, B$1-1))</f>
        <v>2025</v>
      </c>
      <c r="C290" t="str">
        <f ca="1">IF(ISNA(C$1), 0, OFFSET(data!$A$1, ROW()-1, C$1-1))</f>
        <v>2025-12-04-22:00</v>
      </c>
      <c r="D290">
        <f ca="1">IF(ISNA(D$1), 0, OFFSET(data!$A$1, ROW()-1, D$1-1))</f>
        <v>119.750645646718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248.928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91.911361052600697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696.39000669931795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799.16059857100004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-102.77059187168101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863.62459662876802</v>
      </c>
      <c r="AA290" t="str">
        <f ca="1">IF(ISNA(AA$1), #N/A, OFFSET(data!$A$1, ROW()-1, AA$1-1))</f>
        <v>peak</v>
      </c>
      <c r="AB290">
        <f t="shared" ca="1" si="46"/>
        <v>2025</v>
      </c>
      <c r="AC290">
        <f t="shared" ca="1" si="47"/>
        <v>12</v>
      </c>
      <c r="AD290" t="str">
        <f t="shared" ca="1" si="48"/>
        <v>12/04/2025</v>
      </c>
      <c r="AE290" t="str">
        <f t="shared" ca="1" si="49"/>
        <v/>
      </c>
      <c r="AF290" s="6">
        <f t="shared" ca="1" si="50"/>
        <v>0.863624596628768</v>
      </c>
      <c r="AG290">
        <f t="shared" ca="1" si="51"/>
        <v>696.39000669931897</v>
      </c>
      <c r="AH290">
        <f t="shared" ca="1" si="52"/>
        <v>0</v>
      </c>
      <c r="AI290">
        <f t="shared" ca="1" si="53"/>
        <v>0</v>
      </c>
      <c r="AJ290">
        <f t="shared" ca="1" si="54"/>
        <v>0</v>
      </c>
      <c r="AK290">
        <f t="shared" ca="1" si="55"/>
        <v>57.599999999999902</v>
      </c>
      <c r="AL290">
        <f t="shared" ca="1" si="56"/>
        <v>91.911361052600697</v>
      </c>
    </row>
    <row r="291" spans="1:38" hidden="1">
      <c r="A291" t="str">
        <f ca="1">IF(ISNA(A$1), 0, OFFSET(data!$A$1, ROW()-1, A$1-1))</f>
        <v>Oahu</v>
      </c>
      <c r="B291">
        <f ca="1">IF(ISNA(B$1), 0, OFFSET(data!$A$1, ROW()-1, B$1-1))</f>
        <v>2030</v>
      </c>
      <c r="C291" t="str">
        <f ca="1">IF(ISNA(C$1), 0, OFFSET(data!$A$1, ROW()-1, C$1-1))</f>
        <v>2030-02-06-00:00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177.50992810907701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235.109928109077</v>
      </c>
      <c r="R291">
        <f ca="1">IF(ISNA(R$1), 0, OFFSET(data!$A$1, ROW()-1, R$1-1))</f>
        <v>262.35888043376701</v>
      </c>
      <c r="S291">
        <f ca="1">IF(ISNA(S$1), 0, OFFSET(data!$A$1, ROW()-1, S$1-1))</f>
        <v>100</v>
      </c>
      <c r="T291">
        <f ca="1">IF(ISNA(T$1), 0, OFFSET(data!$A$1, ROW()-1, T$1-1))</f>
        <v>488.457848334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-146.5373545002</v>
      </c>
      <c r="X291">
        <f ca="1">IF(ISNA(X$1), 0, OFFSET(data!$A$1, ROW()-1, X$1-1))</f>
        <v>0</v>
      </c>
      <c r="Y291">
        <f ca="1">IF(ISNA(Y$1), 0, OFFSET(data!$A$1, ROW()-1, Y$1-1))</f>
        <v>255.54831470904401</v>
      </c>
      <c r="Z291">
        <f ca="1">IF(ISNA(Z$1), 0, OFFSET(data!$A$1, ROW()-1, Z$1-1))</f>
        <v>0</v>
      </c>
      <c r="AA291" t="str">
        <f ca="1">IF(ISNA(AA$1), #N/A, OFFSET(data!$A$1, ROW()-1, AA$1-1))</f>
        <v>peak</v>
      </c>
      <c r="AB291">
        <f t="shared" ca="1" si="46"/>
        <v>2030</v>
      </c>
      <c r="AC291">
        <f t="shared" ca="1" si="47"/>
        <v>2</v>
      </c>
      <c r="AD291" t="str">
        <f t="shared" ca="1" si="48"/>
        <v>02/06/2030</v>
      </c>
      <c r="AE291" t="str">
        <f t="shared" ca="1" si="49"/>
        <v/>
      </c>
      <c r="AF291" s="6">
        <f t="shared" ca="1" si="50"/>
        <v>0</v>
      </c>
      <c r="AG291">
        <f t="shared" ca="1" si="51"/>
        <v>341.92049383380004</v>
      </c>
      <c r="AH291">
        <f t="shared" ca="1" si="52"/>
        <v>255.54831470904401</v>
      </c>
      <c r="AI291">
        <f t="shared" ca="1" si="53"/>
        <v>262.35888043376701</v>
      </c>
      <c r="AJ291">
        <f t="shared" ca="1" si="54"/>
        <v>0</v>
      </c>
      <c r="AK291">
        <f t="shared" ca="1" si="55"/>
        <v>57.599999999999902</v>
      </c>
      <c r="AL291">
        <f t="shared" ca="1" si="56"/>
        <v>177.50992810907701</v>
      </c>
    </row>
    <row r="292" spans="1:38" hidden="1">
      <c r="A292" t="str">
        <f ca="1">IF(ISNA(A$1), 0, OFFSET(data!$A$1, ROW()-1, A$1-1))</f>
        <v>Oahu</v>
      </c>
      <c r="B292">
        <f ca="1">IF(ISNA(B$1), 0, OFFSET(data!$A$1, ROW()-1, B$1-1))</f>
        <v>2030</v>
      </c>
      <c r="C292" t="str">
        <f ca="1">IF(ISNA(C$1), 0, OFFSET(data!$A$1, ROW()-1, C$1-1))</f>
        <v>2030-02-06-02:00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170.115339907758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227.71533990775799</v>
      </c>
      <c r="R292">
        <f ca="1">IF(ISNA(R$1), 0, OFFSET(data!$A$1, ROW()-1, R$1-1))</f>
        <v>0</v>
      </c>
      <c r="S292">
        <f ca="1">IF(ISNA(S$1), 0, OFFSET(data!$A$1, ROW()-1, S$1-1))</f>
        <v>250</v>
      </c>
      <c r="T292">
        <f ca="1">IF(ISNA(T$1), 0, OFFSET(data!$A$1, ROW()-1, T$1-1))</f>
        <v>433.80914424899998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-130.1427432747</v>
      </c>
      <c r="X292">
        <f ca="1">IF(ISNA(X$1), 0, OFFSET(data!$A$1, ROW()-1, X$1-1))</f>
        <v>0</v>
      </c>
      <c r="Y292">
        <f ca="1">IF(ISNA(Y$1), 0, OFFSET(data!$A$1, ROW()-1, Y$1-1))</f>
        <v>174.048938933458</v>
      </c>
      <c r="Z292">
        <f ca="1">IF(ISNA(Z$1), 0, OFFSET(data!$A$1, ROW()-1, Z$1-1))</f>
        <v>0</v>
      </c>
      <c r="AA292" t="str">
        <f ca="1">IF(ISNA(AA$1), #N/A, OFFSET(data!$A$1, ROW()-1, AA$1-1))</f>
        <v>peak</v>
      </c>
      <c r="AB292">
        <f t="shared" ca="1" si="46"/>
        <v>2030</v>
      </c>
      <c r="AC292">
        <f t="shared" ca="1" si="47"/>
        <v>2</v>
      </c>
      <c r="AD292" t="str">
        <f t="shared" ca="1" si="48"/>
        <v>02/06/2030</v>
      </c>
      <c r="AE292" t="str">
        <f t="shared" ca="1" si="49"/>
        <v/>
      </c>
      <c r="AF292" s="6">
        <f t="shared" ca="1" si="50"/>
        <v>0</v>
      </c>
      <c r="AG292">
        <f t="shared" ca="1" si="51"/>
        <v>303.66640097430002</v>
      </c>
      <c r="AH292">
        <f t="shared" ca="1" si="52"/>
        <v>250</v>
      </c>
      <c r="AI292">
        <f t="shared" ca="1" si="53"/>
        <v>0</v>
      </c>
      <c r="AJ292">
        <f t="shared" ca="1" si="54"/>
        <v>0</v>
      </c>
      <c r="AK292">
        <f t="shared" ca="1" si="55"/>
        <v>57.599999999999902</v>
      </c>
      <c r="AL292">
        <f t="shared" ca="1" si="56"/>
        <v>170.115339907758</v>
      </c>
    </row>
    <row r="293" spans="1:38" hidden="1">
      <c r="A293" t="str">
        <f ca="1">IF(ISNA(A$1), 0, OFFSET(data!$A$1, ROW()-1, A$1-1))</f>
        <v>Oahu</v>
      </c>
      <c r="B293">
        <f ca="1">IF(ISNA(B$1), 0, OFFSET(data!$A$1, ROW()-1, B$1-1))</f>
        <v>2030</v>
      </c>
      <c r="C293" t="str">
        <f ca="1">IF(ISNA(C$1), 0, OFFSET(data!$A$1, ROW()-1, C$1-1))</f>
        <v>2030-02-06-04:00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140.25989690914199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197.85989690914201</v>
      </c>
      <c r="R293">
        <f ca="1">IF(ISNA(R$1), 0, OFFSET(data!$A$1, ROW()-1, R$1-1))</f>
        <v>0</v>
      </c>
      <c r="S293">
        <f ca="1">IF(ISNA(S$1), 0, OFFSET(data!$A$1, ROW()-1, S$1-1))</f>
        <v>250</v>
      </c>
      <c r="T293">
        <f ca="1">IF(ISNA(T$1), 0, OFFSET(data!$A$1, ROW()-1, T$1-1))</f>
        <v>540.58223783200003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-162.1746713496</v>
      </c>
      <c r="X293">
        <f ca="1">IF(ISNA(X$1), 0, OFFSET(data!$A$1, ROW()-1, X$1-1))</f>
        <v>0</v>
      </c>
      <c r="Y293">
        <f ca="1">IF(ISNA(Y$1), 0, OFFSET(data!$A$1, ROW()-1, Y$1-1))</f>
        <v>69.452330426741895</v>
      </c>
      <c r="Z293">
        <f ca="1">IF(ISNA(Z$1), 0, OFFSET(data!$A$1, ROW()-1, Z$1-1))</f>
        <v>0</v>
      </c>
      <c r="AA293" t="str">
        <f ca="1">IF(ISNA(AA$1), #N/A, OFFSET(data!$A$1, ROW()-1, AA$1-1))</f>
        <v>peak</v>
      </c>
      <c r="AB293">
        <f t="shared" ca="1" si="46"/>
        <v>2030</v>
      </c>
      <c r="AC293">
        <f t="shared" ca="1" si="47"/>
        <v>2</v>
      </c>
      <c r="AD293" t="str">
        <f t="shared" ca="1" si="48"/>
        <v>02/06/2030</v>
      </c>
      <c r="AE293" t="str">
        <f t="shared" ca="1" si="49"/>
        <v/>
      </c>
      <c r="AF293" s="6">
        <f t="shared" ca="1" si="50"/>
        <v>0</v>
      </c>
      <c r="AG293">
        <f t="shared" ca="1" si="51"/>
        <v>378.40756648240006</v>
      </c>
      <c r="AH293">
        <f t="shared" ca="1" si="52"/>
        <v>250</v>
      </c>
      <c r="AI293">
        <f t="shared" ca="1" si="53"/>
        <v>0</v>
      </c>
      <c r="AJ293">
        <f t="shared" ca="1" si="54"/>
        <v>0</v>
      </c>
      <c r="AK293">
        <f t="shared" ca="1" si="55"/>
        <v>57.599999999999902</v>
      </c>
      <c r="AL293">
        <f t="shared" ca="1" si="56"/>
        <v>140.25989690914199</v>
      </c>
    </row>
    <row r="294" spans="1:38" hidden="1">
      <c r="A294" t="str">
        <f ca="1">IF(ISNA(A$1), 0, OFFSET(data!$A$1, ROW()-1, A$1-1))</f>
        <v>Oahu</v>
      </c>
      <c r="B294">
        <f ca="1">IF(ISNA(B$1), 0, OFFSET(data!$A$1, ROW()-1, B$1-1))</f>
        <v>2030</v>
      </c>
      <c r="C294" t="str">
        <f ca="1">IF(ISNA(C$1), 0, OFFSET(data!$A$1, ROW()-1, C$1-1))</f>
        <v>2030-02-06-06:00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167.05115810497699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224.65115810497699</v>
      </c>
      <c r="R294">
        <f ca="1">IF(ISNA(R$1), 0, OFFSET(data!$A$1, ROW()-1, R$1-1))</f>
        <v>41.266136276222198</v>
      </c>
      <c r="S294">
        <f ca="1">IF(ISNA(S$1), 0, OFFSET(data!$A$1, ROW()-1, S$1-1))</f>
        <v>350</v>
      </c>
      <c r="T294">
        <f ca="1">IF(ISNA(T$1), 0, OFFSET(data!$A$1, ROW()-1, T$1-1))</f>
        <v>879.88184911600001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-263.9645547348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0</v>
      </c>
      <c r="AA294" t="str">
        <f ca="1">IF(ISNA(AA$1), #N/A, OFFSET(data!$A$1, ROW()-1, AA$1-1))</f>
        <v>peak</v>
      </c>
      <c r="AB294">
        <f t="shared" ca="1" si="46"/>
        <v>2030</v>
      </c>
      <c r="AC294">
        <f t="shared" ca="1" si="47"/>
        <v>2</v>
      </c>
      <c r="AD294" t="str">
        <f t="shared" ca="1" si="48"/>
        <v>02/06/2030</v>
      </c>
      <c r="AE294" t="str">
        <f t="shared" ca="1" si="49"/>
        <v/>
      </c>
      <c r="AF294" s="6">
        <f t="shared" ca="1" si="50"/>
        <v>0</v>
      </c>
      <c r="AG294">
        <f t="shared" ca="1" si="51"/>
        <v>615.91729438120001</v>
      </c>
      <c r="AH294">
        <f t="shared" ca="1" si="52"/>
        <v>350</v>
      </c>
      <c r="AI294">
        <f t="shared" ca="1" si="53"/>
        <v>41.266136276222198</v>
      </c>
      <c r="AJ294">
        <f t="shared" ca="1" si="54"/>
        <v>0</v>
      </c>
      <c r="AK294">
        <f t="shared" ca="1" si="55"/>
        <v>57.599999999999902</v>
      </c>
      <c r="AL294">
        <f t="shared" ca="1" si="56"/>
        <v>167.05115810497699</v>
      </c>
    </row>
    <row r="295" spans="1:38" hidden="1">
      <c r="A295" t="str">
        <f ca="1">IF(ISNA(A$1), 0, OFFSET(data!$A$1, ROW()-1, A$1-1))</f>
        <v>Oahu</v>
      </c>
      <c r="B295">
        <f ca="1">IF(ISNA(B$1), 0, OFFSET(data!$A$1, ROW()-1, B$1-1))</f>
        <v>2030</v>
      </c>
      <c r="C295" t="str">
        <f ca="1">IF(ISNA(C$1), 0, OFFSET(data!$A$1, ROW()-1, C$1-1))</f>
        <v>2030-02-06-08:00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1276.2518667792101</v>
      </c>
      <c r="L295">
        <f ca="1">IF(ISNA(L$1), 0, OFFSET(data!$A$1, ROW()-1, L$1-1))</f>
        <v>0</v>
      </c>
      <c r="M295">
        <f ca="1">IF(ISNA(M$1), 0, OFFSET(data!$A$1, ROW()-1, M$1-1))</f>
        <v>149.573206167801</v>
      </c>
      <c r="N295">
        <f ca="1">IF(ISNA(N$1), 0, OFFSET(data!$A$1, ROW()-1, N$1-1))</f>
        <v>395.18479958282802</v>
      </c>
      <c r="O295">
        <f ca="1">IF(ISNA(O$1), 0, OFFSET(data!$A$1, ROW()-1, O$1-1))</f>
        <v>57.599999999999902</v>
      </c>
      <c r="P295">
        <f ca="1">IF(ISNA(P$1), 0, OFFSET(data!$A$1, ROW()-1, P$1-1))</f>
        <v>0</v>
      </c>
      <c r="Q295">
        <f ca="1">IF(ISNA(Q$1), 0, OFFSET(data!$A$1, ROW()-1, Q$1-1))</f>
        <v>1425.8250729470101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958.55959619099997</v>
      </c>
      <c r="U295">
        <f ca="1">IF(ISNA(U$1), 0, OFFSET(data!$A$1, ROW()-1, U$1-1))</f>
        <v>0</v>
      </c>
      <c r="V295">
        <f ca="1">IF(ISNA(V$1), 0, OFFSET(data!$A$1, ROW()-1, V$1-1))</f>
        <v>404.83335561331899</v>
      </c>
      <c r="W295">
        <f ca="1">IF(ISNA(W$1), 0, OFFSET(data!$A$1, ROW()-1, W$1-1))</f>
        <v>-287.5678788573</v>
      </c>
      <c r="X295">
        <f ca="1">IF(ISNA(X$1), 0, OFFSET(data!$A$1, ROW()-1, X$1-1))</f>
        <v>0</v>
      </c>
      <c r="Y295">
        <f ca="1">IF(ISNA(Y$1), 0, OFFSET(data!$A$1, ROW()-1, Y$1-1))</f>
        <v>350</v>
      </c>
      <c r="Z295">
        <f ca="1">IF(ISNA(Z$1), 0, OFFSET(data!$A$1, ROW()-1, Z$1-1))</f>
        <v>-511.87047618349402</v>
      </c>
      <c r="AA295" t="str">
        <f ca="1">IF(ISNA(AA$1), #N/A, OFFSET(data!$A$1, ROW()-1, AA$1-1))</f>
        <v>peak</v>
      </c>
      <c r="AB295">
        <f t="shared" ca="1" si="46"/>
        <v>2030</v>
      </c>
      <c r="AC295">
        <f t="shared" ca="1" si="47"/>
        <v>2</v>
      </c>
      <c r="AD295" t="str">
        <f t="shared" ca="1" si="48"/>
        <v>02/06/2030</v>
      </c>
      <c r="AE295" t="str">
        <f t="shared" ca="1" si="49"/>
        <v/>
      </c>
      <c r="AF295" s="6">
        <f t="shared" ca="1" si="50"/>
        <v>-0.51187047618349402</v>
      </c>
      <c r="AG295">
        <f t="shared" ca="1" si="51"/>
        <v>670.99171733369997</v>
      </c>
      <c r="AH295">
        <f t="shared" ca="1" si="52"/>
        <v>350</v>
      </c>
      <c r="AI295">
        <f t="shared" ca="1" si="53"/>
        <v>404.83335561331899</v>
      </c>
      <c r="AJ295">
        <f t="shared" ca="1" si="54"/>
        <v>1671.4366663620381</v>
      </c>
      <c r="AK295">
        <f t="shared" ca="1" si="55"/>
        <v>57.599999999999902</v>
      </c>
      <c r="AL295">
        <f t="shared" ca="1" si="56"/>
        <v>149.573206167801</v>
      </c>
    </row>
    <row r="296" spans="1:38" hidden="1">
      <c r="A296" t="str">
        <f ca="1">IF(ISNA(A$1), 0, OFFSET(data!$A$1, ROW()-1, A$1-1))</f>
        <v>Oahu</v>
      </c>
      <c r="B296">
        <f ca="1">IF(ISNA(B$1), 0, OFFSET(data!$A$1, ROW()-1, B$1-1))</f>
        <v>2030</v>
      </c>
      <c r="C296" t="str">
        <f ca="1">IF(ISNA(C$1), 0, OFFSET(data!$A$1, ROW()-1, C$1-1))</f>
        <v>2030-02-06-10:00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2052.1382332991998</v>
      </c>
      <c r="L296">
        <f ca="1">IF(ISNA(L$1), 0, OFFSET(data!$A$1, ROW()-1, L$1-1))</f>
        <v>0</v>
      </c>
      <c r="M296">
        <f ca="1">IF(ISNA(M$1), 0, OFFSET(data!$A$1, ROW()-1, M$1-1))</f>
        <v>128.984640260746</v>
      </c>
      <c r="N296">
        <f ca="1">IF(ISNA(N$1), 0, OFFSET(data!$A$1, ROW()-1, N$1-1))</f>
        <v>359.31382829134702</v>
      </c>
      <c r="O296">
        <f ca="1">IF(ISNA(O$1), 0, OFFSET(data!$A$1, ROW()-1, O$1-1))</f>
        <v>57.599999999999902</v>
      </c>
      <c r="P296">
        <f ca="1">IF(ISNA(P$1), 0, OFFSET(data!$A$1, ROW()-1, P$1-1))</f>
        <v>0</v>
      </c>
      <c r="Q296">
        <f ca="1">IF(ISNA(Q$1), 0, OFFSET(data!$A$1, ROW()-1, Q$1-1))</f>
        <v>2181.1228735599502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1036.8143477599999</v>
      </c>
      <c r="U296">
        <f ca="1">IF(ISNA(U$1), 0, OFFSET(data!$A$1, ROW()-1, U$1-1))</f>
        <v>0</v>
      </c>
      <c r="V296">
        <f ca="1">IF(ISNA(V$1), 0, OFFSET(data!$A$1, ROW()-1, V$1-1))</f>
        <v>404.83335561331899</v>
      </c>
      <c r="W296">
        <f ca="1">IF(ISNA(W$1), 0, OFFSET(data!$A$1, ROW()-1, W$1-1))</f>
        <v>389.47517018663302</v>
      </c>
      <c r="X296">
        <f ca="1">IF(ISNA(X$1), 0, OFFSET(data!$A$1, ROW()-1, X$1-1))</f>
        <v>0</v>
      </c>
      <c r="Y296">
        <f ca="1">IF(ISNA(Y$1), 0, OFFSET(data!$A$1, ROW()-1, Y$1-1))</f>
        <v>350</v>
      </c>
      <c r="Z296">
        <f ca="1">IF(ISNA(Z$1), 0, OFFSET(data!$A$1, ROW()-1, Z$1-1))</f>
        <v>-511.87047618349402</v>
      </c>
      <c r="AA296" t="str">
        <f ca="1">IF(ISNA(AA$1), #N/A, OFFSET(data!$A$1, ROW()-1, AA$1-1))</f>
        <v>peak</v>
      </c>
      <c r="AB296">
        <f t="shared" ca="1" si="46"/>
        <v>2030</v>
      </c>
      <c r="AC296">
        <f t="shared" ca="1" si="47"/>
        <v>2</v>
      </c>
      <c r="AD296" t="str">
        <f t="shared" ca="1" si="48"/>
        <v>02/06/2030</v>
      </c>
      <c r="AE296" t="str">
        <f t="shared" ca="1" si="49"/>
        <v/>
      </c>
      <c r="AF296" s="6">
        <f t="shared" ca="1" si="50"/>
        <v>-0.51187047618349402</v>
      </c>
      <c r="AG296">
        <f t="shared" ca="1" si="51"/>
        <v>1426.2895179466329</v>
      </c>
      <c r="AH296">
        <f t="shared" ca="1" si="52"/>
        <v>350</v>
      </c>
      <c r="AI296">
        <f t="shared" ca="1" si="53"/>
        <v>404.83335561331899</v>
      </c>
      <c r="AJ296">
        <f t="shared" ca="1" si="54"/>
        <v>2411.4520615905467</v>
      </c>
      <c r="AK296">
        <f t="shared" ca="1" si="55"/>
        <v>57.599999999999902</v>
      </c>
      <c r="AL296">
        <f t="shared" ca="1" si="56"/>
        <v>128.984640260746</v>
      </c>
    </row>
    <row r="297" spans="1:38" hidden="1">
      <c r="A297" t="str">
        <f ca="1">IF(ISNA(A$1), 0, OFFSET(data!$A$1, ROW()-1, A$1-1))</f>
        <v>Oahu</v>
      </c>
      <c r="B297">
        <f ca="1">IF(ISNA(B$1), 0, OFFSET(data!$A$1, ROW()-1, B$1-1))</f>
        <v>2030</v>
      </c>
      <c r="C297" t="str">
        <f ca="1">IF(ISNA(C$1), 0, OFFSET(data!$A$1, ROW()-1, C$1-1))</f>
        <v>2030-02-06-12:00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2373.4254763208801</v>
      </c>
      <c r="L297">
        <f ca="1">IF(ISNA(L$1), 0, OFFSET(data!$A$1, ROW()-1, L$1-1))</f>
        <v>0</v>
      </c>
      <c r="M297">
        <f ca="1">IF(ISNA(M$1), 0, OFFSET(data!$A$1, ROW()-1, M$1-1))</f>
        <v>105.97018924115601</v>
      </c>
      <c r="N297">
        <f ca="1">IF(ISNA(N$1), 0, OFFSET(data!$A$1, ROW()-1, N$1-1))</f>
        <v>282.06063713965898</v>
      </c>
      <c r="O297">
        <f ca="1">IF(ISNA(O$1), 0, OFFSET(data!$A$1, ROW()-1, O$1-1))</f>
        <v>57.599999999999902</v>
      </c>
      <c r="P297">
        <f ca="1">IF(ISNA(P$1), 0, OFFSET(data!$A$1, ROW()-1, P$1-1))</f>
        <v>0</v>
      </c>
      <c r="Q297">
        <f ca="1">IF(ISNA(Q$1), 0, OFFSET(data!$A$1, ROW()-1, Q$1-1))</f>
        <v>2479.39566556203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1044.2920155100001</v>
      </c>
      <c r="U297">
        <f ca="1">IF(ISNA(U$1), 0, OFFSET(data!$A$1, ROW()-1, U$1-1))</f>
        <v>0</v>
      </c>
      <c r="V297">
        <f ca="1">IF(ISNA(V$1), 0, OFFSET(data!$A$1, ROW()-1, V$1-1))</f>
        <v>404.83335561331899</v>
      </c>
      <c r="W297">
        <f ca="1">IF(ISNA(W$1), 0, OFFSET(data!$A$1, ROW()-1, W$1-1))</f>
        <v>680.27029443871697</v>
      </c>
      <c r="X297">
        <f ca="1">IF(ISNA(X$1), 0, OFFSET(data!$A$1, ROW()-1, X$1-1))</f>
        <v>0</v>
      </c>
      <c r="Y297">
        <f ca="1">IF(ISNA(Y$1), 0, OFFSET(data!$A$1, ROW()-1, Y$1-1))</f>
        <v>350</v>
      </c>
      <c r="Z297">
        <f ca="1">IF(ISNA(Z$1), 0, OFFSET(data!$A$1, ROW()-1, Z$1-1))</f>
        <v>-511.87047618349402</v>
      </c>
      <c r="AA297" t="str">
        <f ca="1">IF(ISNA(AA$1), #N/A, OFFSET(data!$A$1, ROW()-1, AA$1-1))</f>
        <v>peak</v>
      </c>
      <c r="AB297">
        <f t="shared" ca="1" si="46"/>
        <v>2030</v>
      </c>
      <c r="AC297">
        <f t="shared" ca="1" si="47"/>
        <v>2</v>
      </c>
      <c r="AD297" t="str">
        <f t="shared" ca="1" si="48"/>
        <v>02/06/2030</v>
      </c>
      <c r="AE297" t="str">
        <f t="shared" ca="1" si="49"/>
        <v>02/06/2030</v>
      </c>
      <c r="AF297" s="6">
        <f t="shared" ca="1" si="50"/>
        <v>-0.51187047618349402</v>
      </c>
      <c r="AG297">
        <f t="shared" ca="1" si="51"/>
        <v>1724.562309948717</v>
      </c>
      <c r="AH297">
        <f t="shared" ca="1" si="52"/>
        <v>350</v>
      </c>
      <c r="AI297">
        <f t="shared" ca="1" si="53"/>
        <v>404.83335561331899</v>
      </c>
      <c r="AJ297">
        <f t="shared" ca="1" si="54"/>
        <v>2655.4861134605389</v>
      </c>
      <c r="AK297">
        <f t="shared" ca="1" si="55"/>
        <v>57.599999999999902</v>
      </c>
      <c r="AL297">
        <f t="shared" ca="1" si="56"/>
        <v>105.97018924115601</v>
      </c>
    </row>
    <row r="298" spans="1:38" hidden="1">
      <c r="A298" t="str">
        <f ca="1">IF(ISNA(A$1), 0, OFFSET(data!$A$1, ROW()-1, A$1-1))</f>
        <v>Oahu</v>
      </c>
      <c r="B298">
        <f ca="1">IF(ISNA(B$1), 0, OFFSET(data!$A$1, ROW()-1, B$1-1))</f>
        <v>2030</v>
      </c>
      <c r="C298" t="str">
        <f ca="1">IF(ISNA(C$1), 0, OFFSET(data!$A$1, ROW()-1, C$1-1))</f>
        <v>2030-02-06-14:00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2188.1609993975899</v>
      </c>
      <c r="L298">
        <f ca="1">IF(ISNA(L$1), 0, OFFSET(data!$A$1, ROW()-1, L$1-1))</f>
        <v>0</v>
      </c>
      <c r="M298">
        <f ca="1">IF(ISNA(M$1), 0, OFFSET(data!$A$1, ROW()-1, M$1-1))</f>
        <v>108.577715067466</v>
      </c>
      <c r="N298">
        <f ca="1">IF(ISNA(N$1), 0, OFFSET(data!$A$1, ROW()-1, N$1-1))</f>
        <v>258.24209563424301</v>
      </c>
      <c r="O298">
        <f ca="1">IF(ISNA(O$1), 0, OFFSET(data!$A$1, ROW()-1, O$1-1))</f>
        <v>57.599999999999902</v>
      </c>
      <c r="P298">
        <f ca="1">IF(ISNA(P$1), 0, OFFSET(data!$A$1, ROW()-1, P$1-1))</f>
        <v>0</v>
      </c>
      <c r="Q298">
        <f ca="1">IF(ISNA(Q$1), 0, OFFSET(data!$A$1, ROW()-1, Q$1-1))</f>
        <v>2296.7387144650602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1056.5453100100001</v>
      </c>
      <c r="U298">
        <f ca="1">IF(ISNA(U$1), 0, OFFSET(data!$A$1, ROW()-1, U$1-1))</f>
        <v>0</v>
      </c>
      <c r="V298">
        <f ca="1">IF(ISNA(V$1), 0, OFFSET(data!$A$1, ROW()-1, V$1-1))</f>
        <v>404.83335561331899</v>
      </c>
      <c r="W298">
        <f ca="1">IF(ISNA(W$1), 0, OFFSET(data!$A$1, ROW()-1, W$1-1))</f>
        <v>485.36004884174503</v>
      </c>
      <c r="X298">
        <f ca="1">IF(ISNA(X$1), 0, OFFSET(data!$A$1, ROW()-1, X$1-1))</f>
        <v>0</v>
      </c>
      <c r="Y298">
        <f ca="1">IF(ISNA(Y$1), 0, OFFSET(data!$A$1, ROW()-1, Y$1-1))</f>
        <v>350</v>
      </c>
      <c r="Z298">
        <f ca="1">IF(ISNA(Z$1), 0, OFFSET(data!$A$1, ROW()-1, Z$1-1))</f>
        <v>-511.87047618349402</v>
      </c>
      <c r="AA298" t="str">
        <f ca="1">IF(ISNA(AA$1), #N/A, OFFSET(data!$A$1, ROW()-1, AA$1-1))</f>
        <v>peak</v>
      </c>
      <c r="AB298">
        <f t="shared" ca="1" si="46"/>
        <v>2030</v>
      </c>
      <c r="AC298">
        <f t="shared" ca="1" si="47"/>
        <v>2</v>
      </c>
      <c r="AD298" t="str">
        <f t="shared" ca="1" si="48"/>
        <v>02/06/2030</v>
      </c>
      <c r="AE298" t="str">
        <f t="shared" ca="1" si="49"/>
        <v/>
      </c>
      <c r="AF298" s="6">
        <f t="shared" ca="1" si="50"/>
        <v>-0.51187047618349402</v>
      </c>
      <c r="AG298">
        <f t="shared" ca="1" si="51"/>
        <v>1541.9053588517452</v>
      </c>
      <c r="AH298">
        <f t="shared" ca="1" si="52"/>
        <v>350</v>
      </c>
      <c r="AI298">
        <f t="shared" ca="1" si="53"/>
        <v>404.83335561331899</v>
      </c>
      <c r="AJ298">
        <f t="shared" ca="1" si="54"/>
        <v>2446.4030950318329</v>
      </c>
      <c r="AK298">
        <f t="shared" ca="1" si="55"/>
        <v>57.599999999999902</v>
      </c>
      <c r="AL298">
        <f t="shared" ca="1" si="56"/>
        <v>108.577715067466</v>
      </c>
    </row>
    <row r="299" spans="1:38" hidden="1">
      <c r="A299" t="str">
        <f ca="1">IF(ISNA(A$1), 0, OFFSET(data!$A$1, ROW()-1, A$1-1))</f>
        <v>Oahu</v>
      </c>
      <c r="B299">
        <f ca="1">IF(ISNA(B$1), 0, OFFSET(data!$A$1, ROW()-1, B$1-1))</f>
        <v>2030</v>
      </c>
      <c r="C299" t="str">
        <f ca="1">IF(ISNA(C$1), 0, OFFSET(data!$A$1, ROW()-1, C$1-1))</f>
        <v>2030-02-06-16:00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2029.7012223546601</v>
      </c>
      <c r="L299">
        <f ca="1">IF(ISNA(L$1), 0, OFFSET(data!$A$1, ROW()-1, L$1-1))</f>
        <v>0</v>
      </c>
      <c r="M299">
        <f ca="1">IF(ISNA(M$1), 0, OFFSET(data!$A$1, ROW()-1, M$1-1))</f>
        <v>83.587108022557402</v>
      </c>
      <c r="N299">
        <f ca="1">IF(ISNA(N$1), 0, OFFSET(data!$A$1, ROW()-1, N$1-1))</f>
        <v>326.63677246382099</v>
      </c>
      <c r="O299">
        <f ca="1">IF(ISNA(O$1), 0, OFFSET(data!$A$1, ROW()-1, O$1-1))</f>
        <v>57.599999999999902</v>
      </c>
      <c r="P299">
        <f ca="1">IF(ISNA(P$1), 0, OFFSET(data!$A$1, ROW()-1, P$1-1))</f>
        <v>0</v>
      </c>
      <c r="Q299">
        <f ca="1">IF(ISNA(Q$1), 0, OFFSET(data!$A$1, ROW()-1, Q$1-1))</f>
        <v>2113.2883303772201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1049.69543122</v>
      </c>
      <c r="U299">
        <f ca="1">IF(ISNA(U$1), 0, OFFSET(data!$A$1, ROW()-1, U$1-1))</f>
        <v>0</v>
      </c>
      <c r="V299">
        <f ca="1">IF(ISNA(V$1), 0, OFFSET(data!$A$1, ROW()-1, V$1-1))</f>
        <v>404.83335561331899</v>
      </c>
      <c r="W299">
        <f ca="1">IF(ISNA(W$1), 0, OFFSET(data!$A$1, ROW()-1, W$1-1))</f>
        <v>308.75954354390302</v>
      </c>
      <c r="X299">
        <f ca="1">IF(ISNA(X$1), 0, OFFSET(data!$A$1, ROW()-1, X$1-1))</f>
        <v>0</v>
      </c>
      <c r="Y299">
        <f ca="1">IF(ISNA(Y$1), 0, OFFSET(data!$A$1, ROW()-1, Y$1-1))</f>
        <v>350</v>
      </c>
      <c r="Z299">
        <f ca="1">IF(ISNA(Z$1), 0, OFFSET(data!$A$1, ROW()-1, Z$1-1))</f>
        <v>-511.87047618349402</v>
      </c>
      <c r="AA299" t="str">
        <f ca="1">IF(ISNA(AA$1), #N/A, OFFSET(data!$A$1, ROW()-1, AA$1-1))</f>
        <v>peak</v>
      </c>
      <c r="AB299">
        <f t="shared" ca="1" si="46"/>
        <v>2030</v>
      </c>
      <c r="AC299">
        <f t="shared" ca="1" si="47"/>
        <v>2</v>
      </c>
      <c r="AD299" t="str">
        <f t="shared" ca="1" si="48"/>
        <v>02/06/2030</v>
      </c>
      <c r="AE299" t="str">
        <f t="shared" ca="1" si="49"/>
        <v/>
      </c>
      <c r="AF299" s="6">
        <f t="shared" ca="1" si="50"/>
        <v>-0.51187047618349402</v>
      </c>
      <c r="AG299">
        <f t="shared" ca="1" si="51"/>
        <v>1358.454974763903</v>
      </c>
      <c r="AH299">
        <f t="shared" ca="1" si="52"/>
        <v>350</v>
      </c>
      <c r="AI299">
        <f t="shared" ca="1" si="53"/>
        <v>404.83335561331899</v>
      </c>
      <c r="AJ299">
        <f t="shared" ca="1" si="54"/>
        <v>2356.3379948184811</v>
      </c>
      <c r="AK299">
        <f t="shared" ca="1" si="55"/>
        <v>57.599999999999902</v>
      </c>
      <c r="AL299">
        <f t="shared" ca="1" si="56"/>
        <v>83.587108022557402</v>
      </c>
    </row>
    <row r="300" spans="1:38" hidden="1">
      <c r="A300" t="str">
        <f ca="1">IF(ISNA(A$1), 0, OFFSET(data!$A$1, ROW()-1, A$1-1))</f>
        <v>Oahu</v>
      </c>
      <c r="B300">
        <f ca="1">IF(ISNA(B$1), 0, OFFSET(data!$A$1, ROW()-1, B$1-1))</f>
        <v>2030</v>
      </c>
      <c r="C300" t="str">
        <f ca="1">IF(ISNA(C$1), 0, OFFSET(data!$A$1, ROW()-1, C$1-1))</f>
        <v>2030-02-06-18:00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6.0338113830843803</v>
      </c>
      <c r="L300">
        <f ca="1">IF(ISNA(L$1), 0, OFFSET(data!$A$1, ROW()-1, L$1-1))</f>
        <v>57.599999999999902</v>
      </c>
      <c r="M300">
        <f ca="1">IF(ISNA(M$1), 0, OFFSET(data!$A$1, ROW()-1, M$1-1))</f>
        <v>123.34008108340601</v>
      </c>
      <c r="N300">
        <f ca="1">IF(ISNA(N$1), 0, OFFSET(data!$A$1, ROW()-1, N$1-1))</f>
        <v>-2.7755575615628901E-17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186.97389246649101</v>
      </c>
      <c r="R300">
        <f ca="1">IF(ISNA(R$1), 0, OFFSET(data!$A$1, ROW()-1, R$1-1))</f>
        <v>404.83335561331899</v>
      </c>
      <c r="S300">
        <f ca="1">IF(ISNA(S$1), 0, OFFSET(data!$A$1, ROW()-1, S$1-1))</f>
        <v>211.71273397518701</v>
      </c>
      <c r="T300">
        <f ca="1">IF(ISNA(T$1), 0, OFFSET(data!$A$1, ROW()-1, T$1-1))</f>
        <v>1147.88568865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-344.36570659500001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0</v>
      </c>
      <c r="AA300" t="str">
        <f ca="1">IF(ISNA(AA$1), #N/A, OFFSET(data!$A$1, ROW()-1, AA$1-1))</f>
        <v>peak</v>
      </c>
      <c r="AB300">
        <f t="shared" ca="1" si="46"/>
        <v>2030</v>
      </c>
      <c r="AC300">
        <f t="shared" ca="1" si="47"/>
        <v>2</v>
      </c>
      <c r="AD300" t="str">
        <f t="shared" ca="1" si="48"/>
        <v>02/06/2030</v>
      </c>
      <c r="AE300" t="str">
        <f t="shared" ca="1" si="49"/>
        <v/>
      </c>
      <c r="AF300" s="6">
        <f t="shared" ca="1" si="50"/>
        <v>0</v>
      </c>
      <c r="AG300">
        <f t="shared" ca="1" si="51"/>
        <v>803.51998205500001</v>
      </c>
      <c r="AH300">
        <f t="shared" ca="1" si="52"/>
        <v>211.71273397518701</v>
      </c>
      <c r="AI300">
        <f t="shared" ca="1" si="53"/>
        <v>404.83335561331899</v>
      </c>
      <c r="AJ300">
        <f t="shared" ca="1" si="54"/>
        <v>6.0338113830843803</v>
      </c>
      <c r="AK300">
        <f t="shared" ca="1" si="55"/>
        <v>57.599999999999902</v>
      </c>
      <c r="AL300">
        <f t="shared" ca="1" si="56"/>
        <v>123.34008108340601</v>
      </c>
    </row>
    <row r="301" spans="1:38" hidden="1">
      <c r="A301" t="str">
        <f ca="1">IF(ISNA(A$1), 0, OFFSET(data!$A$1, ROW()-1, A$1-1))</f>
        <v>Oahu</v>
      </c>
      <c r="B301">
        <f ca="1">IF(ISNA(B$1), 0, OFFSET(data!$A$1, ROW()-1, B$1-1))</f>
        <v>2030</v>
      </c>
      <c r="C301" t="str">
        <f ca="1">IF(ISNA(C$1), 0, OFFSET(data!$A$1, ROW()-1, C$1-1))</f>
        <v>2030-02-06-20:00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93.919376654042594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151.51937665404199</v>
      </c>
      <c r="R301">
        <f ca="1">IF(ISNA(R$1), 0, OFFSET(data!$A$1, ROW()-1, R$1-1))</f>
        <v>404.83335561331899</v>
      </c>
      <c r="S301">
        <f ca="1">IF(ISNA(S$1), 0, OFFSET(data!$A$1, ROW()-1, S$1-1))</f>
        <v>158.356615805638</v>
      </c>
      <c r="T301">
        <f ca="1">IF(ISNA(T$1), 0, OFFSET(data!$A$1, ROW()-1, T$1-1))</f>
        <v>1021.01335439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-306.30400631700002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0</v>
      </c>
      <c r="AA301" t="str">
        <f ca="1">IF(ISNA(AA$1), #N/A, OFFSET(data!$A$1, ROW()-1, AA$1-1))</f>
        <v>peak</v>
      </c>
      <c r="AB301">
        <f t="shared" ca="1" si="46"/>
        <v>2030</v>
      </c>
      <c r="AC301">
        <f t="shared" ca="1" si="47"/>
        <v>2</v>
      </c>
      <c r="AD301" t="str">
        <f t="shared" ca="1" si="48"/>
        <v>02/06/2030</v>
      </c>
      <c r="AE301" t="str">
        <f t="shared" ca="1" si="49"/>
        <v/>
      </c>
      <c r="AF301" s="6">
        <f t="shared" ca="1" si="50"/>
        <v>0</v>
      </c>
      <c r="AG301">
        <f t="shared" ca="1" si="51"/>
        <v>714.709348073</v>
      </c>
      <c r="AH301">
        <f t="shared" ca="1" si="52"/>
        <v>158.356615805638</v>
      </c>
      <c r="AI301">
        <f t="shared" ca="1" si="53"/>
        <v>404.83335561331899</v>
      </c>
      <c r="AJ301">
        <f t="shared" ca="1" si="54"/>
        <v>0</v>
      </c>
      <c r="AK301">
        <f t="shared" ca="1" si="55"/>
        <v>57.599999999999902</v>
      </c>
      <c r="AL301">
        <f t="shared" ca="1" si="56"/>
        <v>93.919376654042594</v>
      </c>
    </row>
    <row r="302" spans="1:38" hidden="1">
      <c r="A302" t="str">
        <f ca="1">IF(ISNA(A$1), 0, OFFSET(data!$A$1, ROW()-1, A$1-1))</f>
        <v>Oahu</v>
      </c>
      <c r="B302">
        <f ca="1">IF(ISNA(B$1), 0, OFFSET(data!$A$1, ROW()-1, B$1-1))</f>
        <v>2030</v>
      </c>
      <c r="C302" t="str">
        <f ca="1">IF(ISNA(C$1), 0, OFFSET(data!$A$1, ROW()-1, C$1-1))</f>
        <v>2030-02-06-22:00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111.526598805427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169.12659880542699</v>
      </c>
      <c r="R302">
        <f ca="1">IF(ISNA(R$1), 0, OFFSET(data!$A$1, ROW()-1, R$1-1))</f>
        <v>404.83335561331899</v>
      </c>
      <c r="S302">
        <f ca="1">IF(ISNA(S$1), 0, OFFSET(data!$A$1, ROW()-1, S$1-1))</f>
        <v>250</v>
      </c>
      <c r="T302">
        <f ca="1">IF(ISNA(T$1), 0, OFFSET(data!$A$1, ROW()-1, T$1-1))</f>
        <v>742.69380460800005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-222.80814138240001</v>
      </c>
      <c r="X302">
        <f ca="1">IF(ISNA(X$1), 0, OFFSET(data!$A$1, ROW()-1, X$1-1))</f>
        <v>0</v>
      </c>
      <c r="Y302">
        <f ca="1">IF(ISNA(Y$1), 0, OFFSET(data!$A$1, ROW()-1, Y$1-1))</f>
        <v>304.07429119314702</v>
      </c>
      <c r="Z302">
        <f ca="1">IF(ISNA(Z$1), 0, OFFSET(data!$A$1, ROW()-1, Z$1-1))</f>
        <v>0</v>
      </c>
      <c r="AA302" t="str">
        <f ca="1">IF(ISNA(AA$1), #N/A, OFFSET(data!$A$1, ROW()-1, AA$1-1))</f>
        <v>peak</v>
      </c>
      <c r="AB302">
        <f t="shared" ca="1" si="46"/>
        <v>2030</v>
      </c>
      <c r="AC302">
        <f t="shared" ca="1" si="47"/>
        <v>2</v>
      </c>
      <c r="AD302" t="str">
        <f t="shared" ca="1" si="48"/>
        <v>02/06/2030</v>
      </c>
      <c r="AE302" t="str">
        <f t="shared" ca="1" si="49"/>
        <v/>
      </c>
      <c r="AF302" s="6">
        <f t="shared" ca="1" si="50"/>
        <v>0</v>
      </c>
      <c r="AG302">
        <f t="shared" ca="1" si="51"/>
        <v>519.88566322560007</v>
      </c>
      <c r="AH302">
        <f t="shared" ca="1" si="52"/>
        <v>304.07429119314702</v>
      </c>
      <c r="AI302">
        <f t="shared" ca="1" si="53"/>
        <v>404.83335561331899</v>
      </c>
      <c r="AJ302">
        <f t="shared" ca="1" si="54"/>
        <v>0</v>
      </c>
      <c r="AK302">
        <f t="shared" ca="1" si="55"/>
        <v>57.599999999999902</v>
      </c>
      <c r="AL302">
        <f t="shared" ca="1" si="56"/>
        <v>111.526598805427</v>
      </c>
    </row>
    <row r="303" spans="1:38" hidden="1">
      <c r="A303" t="str">
        <f ca="1">IF(ISNA(A$1), 0, OFFSET(data!$A$1, ROW()-1, A$1-1))</f>
        <v>Oahu</v>
      </c>
      <c r="B303">
        <f ca="1">IF(ISNA(B$1), 0, OFFSET(data!$A$1, ROW()-1, B$1-1))</f>
        <v>2030</v>
      </c>
      <c r="C303" t="str">
        <f ca="1">IF(ISNA(C$1), 0, OFFSET(data!$A$1, ROW()-1, C$1-1))</f>
        <v>2030-02-09-00:00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73.995721161668598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131.595721161668</v>
      </c>
      <c r="R303">
        <f ca="1">IF(ISNA(R$1), 0, OFFSET(data!$A$1, ROW()-1, R$1-1))</f>
        <v>0</v>
      </c>
      <c r="S303">
        <f ca="1">IF(ISNA(S$1), 0, OFFSET(data!$A$1, ROW()-1, S$1-1))</f>
        <v>168.69983688613101</v>
      </c>
      <c r="T303">
        <f ca="1">IF(ISNA(T$1), 0, OFFSET(data!$A$1, ROW()-1, T$1-1))</f>
        <v>428.993654354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-128.6980963062</v>
      </c>
      <c r="X303">
        <f ca="1">IF(ISNA(X$1), 0, OFFSET(data!$A$1, ROW()-1, X$1-1))</f>
        <v>0</v>
      </c>
      <c r="Y303">
        <f ca="1">IF(ISNA(Y$1), 0, OFFSET(data!$A$1, ROW()-1, Y$1-1))</f>
        <v>0</v>
      </c>
      <c r="Z303">
        <f ca="1">IF(ISNA(Z$1), 0, OFFSET(data!$A$1, ROW()-1, Z$1-1))</f>
        <v>65.839599663930002</v>
      </c>
      <c r="AA303" t="str">
        <f ca="1">IF(ISNA(AA$1), #N/A, OFFSET(data!$A$1, ROW()-1, AA$1-1))</f>
        <v>typical</v>
      </c>
      <c r="AB303">
        <f t="shared" ca="1" si="46"/>
        <v>2030</v>
      </c>
      <c r="AC303">
        <f t="shared" ca="1" si="47"/>
        <v>2</v>
      </c>
      <c r="AD303" t="str">
        <f t="shared" ca="1" si="48"/>
        <v>02/09/2030</v>
      </c>
      <c r="AE303" t="str">
        <f t="shared" ca="1" si="49"/>
        <v/>
      </c>
      <c r="AF303" s="6">
        <f t="shared" ca="1" si="50"/>
        <v>6.5839599663930007E-2</v>
      </c>
      <c r="AG303">
        <f t="shared" ca="1" si="51"/>
        <v>300.2955580478</v>
      </c>
      <c r="AH303">
        <f t="shared" ca="1" si="52"/>
        <v>168.69983688613101</v>
      </c>
      <c r="AI303">
        <f t="shared" ca="1" si="53"/>
        <v>0</v>
      </c>
      <c r="AJ303">
        <f t="shared" ca="1" si="54"/>
        <v>0</v>
      </c>
      <c r="AK303">
        <f t="shared" ca="1" si="55"/>
        <v>57.599999999999902</v>
      </c>
      <c r="AL303">
        <f t="shared" ca="1" si="56"/>
        <v>73.995721161668598</v>
      </c>
    </row>
    <row r="304" spans="1:38" hidden="1">
      <c r="A304" t="str">
        <f ca="1">IF(ISNA(A$1), 0, OFFSET(data!$A$1, ROW()-1, A$1-1))</f>
        <v>Oahu</v>
      </c>
      <c r="B304">
        <f ca="1">IF(ISNA(B$1), 0, OFFSET(data!$A$1, ROW()-1, B$1-1))</f>
        <v>2030</v>
      </c>
      <c r="C304" t="str">
        <f ca="1">IF(ISNA(C$1), 0, OFFSET(data!$A$1, ROW()-1, C$1-1))</f>
        <v>2030-02-09-02:00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73.157940189801806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130.75794018980099</v>
      </c>
      <c r="R304">
        <f ca="1">IF(ISNA(R$1), 0, OFFSET(data!$A$1, ROW()-1, R$1-1))</f>
        <v>0</v>
      </c>
      <c r="S304">
        <f ca="1">IF(ISNA(S$1), 0, OFFSET(data!$A$1, ROW()-1, S$1-1))</f>
        <v>126.74869320749799</v>
      </c>
      <c r="T304">
        <f ca="1">IF(ISNA(T$1), 0, OFFSET(data!$A$1, ROW()-1, T$1-1))</f>
        <v>367.86661913900002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-110.3599857417</v>
      </c>
      <c r="X304">
        <f ca="1">IF(ISNA(X$1), 0, OFFSET(data!$A$1, ROW()-1, X$1-1))</f>
        <v>0</v>
      </c>
      <c r="Y304">
        <f ca="1">IF(ISNA(Y$1), 0, OFFSET(data!$A$1, ROW()-1, Y$1-1))</f>
        <v>0</v>
      </c>
      <c r="Z304">
        <f ca="1">IF(ISNA(Z$1), 0, OFFSET(data!$A$1, ROW()-1, Z$1-1))</f>
        <v>65.839599663930002</v>
      </c>
      <c r="AA304" t="str">
        <f ca="1">IF(ISNA(AA$1), #N/A, OFFSET(data!$A$1, ROW()-1, AA$1-1))</f>
        <v>typical</v>
      </c>
      <c r="AB304">
        <f t="shared" ca="1" si="46"/>
        <v>2030</v>
      </c>
      <c r="AC304">
        <f t="shared" ca="1" si="47"/>
        <v>2</v>
      </c>
      <c r="AD304" t="str">
        <f t="shared" ca="1" si="48"/>
        <v>02/09/2030</v>
      </c>
      <c r="AE304" t="str">
        <f t="shared" ca="1" si="49"/>
        <v/>
      </c>
      <c r="AF304" s="6">
        <f t="shared" ca="1" si="50"/>
        <v>6.5839599663930007E-2</v>
      </c>
      <c r="AG304">
        <f t="shared" ca="1" si="51"/>
        <v>257.50663339729999</v>
      </c>
      <c r="AH304">
        <f t="shared" ca="1" si="52"/>
        <v>126.74869320749799</v>
      </c>
      <c r="AI304">
        <f t="shared" ca="1" si="53"/>
        <v>0</v>
      </c>
      <c r="AJ304">
        <f t="shared" ca="1" si="54"/>
        <v>0</v>
      </c>
      <c r="AK304">
        <f t="shared" ca="1" si="55"/>
        <v>57.599999999999902</v>
      </c>
      <c r="AL304">
        <f t="shared" ca="1" si="56"/>
        <v>73.157940189801806</v>
      </c>
    </row>
    <row r="305" spans="1:38" hidden="1">
      <c r="A305" t="str">
        <f ca="1">IF(ISNA(A$1), 0, OFFSET(data!$A$1, ROW()-1, A$1-1))</f>
        <v>Oahu</v>
      </c>
      <c r="B305">
        <f ca="1">IF(ISNA(B$1), 0, OFFSET(data!$A$1, ROW()-1, B$1-1))</f>
        <v>2030</v>
      </c>
      <c r="C305" t="str">
        <f ca="1">IF(ISNA(C$1), 0, OFFSET(data!$A$1, ROW()-1, C$1-1))</f>
        <v>2030-02-09-04:00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37.524389662161099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95.124389662160993</v>
      </c>
      <c r="R305">
        <f ca="1">IF(ISNA(R$1), 0, OFFSET(data!$A$1, ROW()-1, R$1-1))</f>
        <v>0</v>
      </c>
      <c r="S305">
        <f ca="1">IF(ISNA(S$1), 0, OFFSET(data!$A$1, ROW()-1, S$1-1))</f>
        <v>226.59378856333799</v>
      </c>
      <c r="T305">
        <f ca="1">IF(ISNA(T$1), 0, OFFSET(data!$A$1, ROW()-1, T$1-1))</f>
        <v>459.59739746499997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-137.87921923949901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65.839599663930002</v>
      </c>
      <c r="AA305" t="str">
        <f ca="1">IF(ISNA(AA$1), #N/A, OFFSET(data!$A$1, ROW()-1, AA$1-1))</f>
        <v>typical</v>
      </c>
      <c r="AB305">
        <f t="shared" ca="1" si="46"/>
        <v>2030</v>
      </c>
      <c r="AC305">
        <f t="shared" ca="1" si="47"/>
        <v>2</v>
      </c>
      <c r="AD305" t="str">
        <f t="shared" ca="1" si="48"/>
        <v>02/09/2030</v>
      </c>
      <c r="AE305" t="str">
        <f t="shared" ca="1" si="49"/>
        <v/>
      </c>
      <c r="AF305" s="6">
        <f t="shared" ca="1" si="50"/>
        <v>6.5839599663930007E-2</v>
      </c>
      <c r="AG305">
        <f t="shared" ca="1" si="51"/>
        <v>321.71817822550099</v>
      </c>
      <c r="AH305">
        <f t="shared" ca="1" si="52"/>
        <v>226.59378856333799</v>
      </c>
      <c r="AI305">
        <f t="shared" ca="1" si="53"/>
        <v>0</v>
      </c>
      <c r="AJ305">
        <f t="shared" ca="1" si="54"/>
        <v>0</v>
      </c>
      <c r="AK305">
        <f t="shared" ca="1" si="55"/>
        <v>57.599999999999902</v>
      </c>
      <c r="AL305">
        <f t="shared" ca="1" si="56"/>
        <v>37.524389662161099</v>
      </c>
    </row>
    <row r="306" spans="1:38" hidden="1">
      <c r="A306" t="str">
        <f ca="1">IF(ISNA(A$1), 0, OFFSET(data!$A$1, ROW()-1, A$1-1))</f>
        <v>Oahu</v>
      </c>
      <c r="B306">
        <f ca="1">IF(ISNA(B$1), 0, OFFSET(data!$A$1, ROW()-1, B$1-1))</f>
        <v>2030</v>
      </c>
      <c r="C306" t="str">
        <f ca="1">IF(ISNA(C$1), 0, OFFSET(data!$A$1, ROW()-1, C$1-1))</f>
        <v>2030-02-09-06:00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47.141024065691298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104.74102406569099</v>
      </c>
      <c r="R306">
        <f ca="1">IF(ISNA(R$1), 0, OFFSET(data!$A$1, ROW()-1, R$1-1))</f>
        <v>110.14280366840801</v>
      </c>
      <c r="S306">
        <f ca="1">IF(ISNA(S$1), 0, OFFSET(data!$A$1, ROW()-1, S$1-1))</f>
        <v>350</v>
      </c>
      <c r="T306">
        <f ca="1">IF(ISNA(T$1), 0, OFFSET(data!$A$1, ROW()-1, T$1-1))</f>
        <v>806.97689676300001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-242.0930690289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65.839599663930002</v>
      </c>
      <c r="AA306" t="str">
        <f ca="1">IF(ISNA(AA$1), #N/A, OFFSET(data!$A$1, ROW()-1, AA$1-1))</f>
        <v>typical</v>
      </c>
      <c r="AB306">
        <f t="shared" ca="1" si="46"/>
        <v>2030</v>
      </c>
      <c r="AC306">
        <f t="shared" ca="1" si="47"/>
        <v>2</v>
      </c>
      <c r="AD306" t="str">
        <f t="shared" ca="1" si="48"/>
        <v>02/09/2030</v>
      </c>
      <c r="AE306" t="str">
        <f t="shared" ca="1" si="49"/>
        <v/>
      </c>
      <c r="AF306" s="6">
        <f t="shared" ca="1" si="50"/>
        <v>6.5839599663930007E-2</v>
      </c>
      <c r="AG306">
        <f t="shared" ca="1" si="51"/>
        <v>564.88382773410001</v>
      </c>
      <c r="AH306">
        <f t="shared" ca="1" si="52"/>
        <v>350</v>
      </c>
      <c r="AI306">
        <f t="shared" ca="1" si="53"/>
        <v>110.14280366840801</v>
      </c>
      <c r="AJ306">
        <f t="shared" ca="1" si="54"/>
        <v>0</v>
      </c>
      <c r="AK306">
        <f t="shared" ca="1" si="55"/>
        <v>57.599999999999902</v>
      </c>
      <c r="AL306">
        <f t="shared" ca="1" si="56"/>
        <v>47.141024065691298</v>
      </c>
    </row>
    <row r="307" spans="1:38" hidden="1">
      <c r="A307" t="str">
        <f ca="1">IF(ISNA(A$1), 0, OFFSET(data!$A$1, ROW()-1, A$1-1))</f>
        <v>Oahu</v>
      </c>
      <c r="B307">
        <f ca="1">IF(ISNA(B$1), 0, OFFSET(data!$A$1, ROW()-1, B$1-1))</f>
        <v>2030</v>
      </c>
      <c r="C307" t="str">
        <f ca="1">IF(ISNA(C$1), 0, OFFSET(data!$A$1, ROW()-1, C$1-1))</f>
        <v>2030-02-09-08:00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1833.88856845393</v>
      </c>
      <c r="L307">
        <f ca="1">IF(ISNA(L$1), 0, OFFSET(data!$A$1, ROW()-1, L$1-1))</f>
        <v>0</v>
      </c>
      <c r="M307">
        <f ca="1">IF(ISNA(M$1), 0, OFFSET(data!$A$1, ROW()-1, M$1-1))</f>
        <v>30.181240588640801</v>
      </c>
      <c r="N307">
        <f ca="1">IF(ISNA(N$1), 0, OFFSET(data!$A$1, ROW()-1, N$1-1))</f>
        <v>211.18437043293301</v>
      </c>
      <c r="O307">
        <f ca="1">IF(ISNA(O$1), 0, OFFSET(data!$A$1, ROW()-1, O$1-1))</f>
        <v>57.599999999999902</v>
      </c>
      <c r="P307">
        <f ca="1">IF(ISNA(P$1), 0, OFFSET(data!$A$1, ROW()-1, P$1-1))</f>
        <v>0</v>
      </c>
      <c r="Q307">
        <f ca="1">IF(ISNA(Q$1), 0, OFFSET(data!$A$1, ROW()-1, Q$1-1))</f>
        <v>1864.0698090425699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897.24456457500003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616.82524446757202</v>
      </c>
      <c r="X307">
        <f ca="1">IF(ISNA(X$1), 0, OFFSET(data!$A$1, ROW()-1, X$1-1))</f>
        <v>0</v>
      </c>
      <c r="Y307">
        <f ca="1">IF(ISNA(Y$1), 0, OFFSET(data!$A$1, ROW()-1, Y$1-1))</f>
        <v>350</v>
      </c>
      <c r="Z307">
        <f ca="1">IF(ISNA(Z$1), 0, OFFSET(data!$A$1, ROW()-1, Z$1-1))</f>
        <v>-17.960367585385701</v>
      </c>
      <c r="AA307" t="str">
        <f ca="1">IF(ISNA(AA$1), #N/A, OFFSET(data!$A$1, ROW()-1, AA$1-1))</f>
        <v>typical</v>
      </c>
      <c r="AB307">
        <f t="shared" ca="1" si="46"/>
        <v>2030</v>
      </c>
      <c r="AC307">
        <f t="shared" ca="1" si="47"/>
        <v>2</v>
      </c>
      <c r="AD307" t="str">
        <f t="shared" ca="1" si="48"/>
        <v>02/09/2030</v>
      </c>
      <c r="AE307" t="str">
        <f t="shared" ca="1" si="49"/>
        <v/>
      </c>
      <c r="AF307" s="6">
        <f t="shared" ca="1" si="50"/>
        <v>-1.79603675853857E-2</v>
      </c>
      <c r="AG307">
        <f t="shared" ca="1" si="51"/>
        <v>1514.0698090425722</v>
      </c>
      <c r="AH307">
        <f t="shared" ca="1" si="52"/>
        <v>350</v>
      </c>
      <c r="AI307">
        <f t="shared" ca="1" si="53"/>
        <v>0</v>
      </c>
      <c r="AJ307">
        <f t="shared" ca="1" si="54"/>
        <v>2045.0729388868631</v>
      </c>
      <c r="AK307">
        <f t="shared" ca="1" si="55"/>
        <v>57.599999999999902</v>
      </c>
      <c r="AL307">
        <f t="shared" ca="1" si="56"/>
        <v>30.181240588640801</v>
      </c>
    </row>
    <row r="308" spans="1:38" hidden="1">
      <c r="A308" t="str">
        <f ca="1">IF(ISNA(A$1), 0, OFFSET(data!$A$1, ROW()-1, A$1-1))</f>
        <v>Oahu</v>
      </c>
      <c r="B308">
        <f ca="1">IF(ISNA(B$1), 0, OFFSET(data!$A$1, ROW()-1, B$1-1))</f>
        <v>2030</v>
      </c>
      <c r="C308" t="str">
        <f ca="1">IF(ISNA(C$1), 0, OFFSET(data!$A$1, ROW()-1, C$1-1))</f>
        <v>2030-02-09-10:00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2082.14072440575</v>
      </c>
      <c r="L308">
        <f ca="1">IF(ISNA(L$1), 0, OFFSET(data!$A$1, ROW()-1, L$1-1))</f>
        <v>0</v>
      </c>
      <c r="M308">
        <f ca="1">IF(ISNA(M$1), 0, OFFSET(data!$A$1, ROW()-1, M$1-1))</f>
        <v>1.9633972396125601</v>
      </c>
      <c r="N308">
        <f ca="1">IF(ISNA(N$1), 0, OFFSET(data!$A$1, ROW()-1, N$1-1))</f>
        <v>495.66058771111398</v>
      </c>
      <c r="O308">
        <f ca="1">IF(ISNA(O$1), 0, OFFSET(data!$A$1, ROW()-1, O$1-1))</f>
        <v>57.599999999999902</v>
      </c>
      <c r="P308">
        <f ca="1">IF(ISNA(P$1), 0, OFFSET(data!$A$1, ROW()-1, P$1-1))</f>
        <v>8.84909395181805</v>
      </c>
      <c r="Q308">
        <f ca="1">IF(ISNA(Q$1), 0, OFFSET(data!$A$1, ROW()-1, Q$1-1))</f>
        <v>2084.10412164536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950.57301347700002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783.53110816836897</v>
      </c>
      <c r="X308">
        <f ca="1">IF(ISNA(X$1), 0, OFFSET(data!$A$1, ROW()-1, X$1-1))</f>
        <v>0</v>
      </c>
      <c r="Y308">
        <f ca="1">IF(ISNA(Y$1), 0, OFFSET(data!$A$1, ROW()-1, Y$1-1))</f>
        <v>350</v>
      </c>
      <c r="Z308">
        <f ca="1">IF(ISNA(Z$1), 0, OFFSET(data!$A$1, ROW()-1, Z$1-1))</f>
        <v>-17.960367585385701</v>
      </c>
      <c r="AA308" t="str">
        <f ca="1">IF(ISNA(AA$1), #N/A, OFFSET(data!$A$1, ROW()-1, AA$1-1))</f>
        <v>typical</v>
      </c>
      <c r="AB308">
        <f t="shared" ca="1" si="46"/>
        <v>2030</v>
      </c>
      <c r="AC308">
        <f t="shared" ca="1" si="47"/>
        <v>2</v>
      </c>
      <c r="AD308" t="str">
        <f t="shared" ca="1" si="48"/>
        <v>02/09/2030</v>
      </c>
      <c r="AE308" t="str">
        <f t="shared" ca="1" si="49"/>
        <v/>
      </c>
      <c r="AF308" s="6">
        <f t="shared" ca="1" si="50"/>
        <v>-1.79603675853857E-2</v>
      </c>
      <c r="AG308">
        <f t="shared" ca="1" si="51"/>
        <v>1734.1041216453691</v>
      </c>
      <c r="AH308">
        <f t="shared" ca="1" si="52"/>
        <v>350</v>
      </c>
      <c r="AI308">
        <f t="shared" ca="1" si="53"/>
        <v>0</v>
      </c>
      <c r="AJ308">
        <f t="shared" ca="1" si="54"/>
        <v>2577.8013121168642</v>
      </c>
      <c r="AK308">
        <f t="shared" ca="1" si="55"/>
        <v>57.599999999999902</v>
      </c>
      <c r="AL308">
        <f t="shared" ca="1" si="56"/>
        <v>10.81249119143061</v>
      </c>
    </row>
    <row r="309" spans="1:38" hidden="1">
      <c r="A309" t="str">
        <f ca="1">IF(ISNA(A$1), 0, OFFSET(data!$A$1, ROW()-1, A$1-1))</f>
        <v>Oahu</v>
      </c>
      <c r="B309">
        <f ca="1">IF(ISNA(B$1), 0, OFFSET(data!$A$1, ROW()-1, B$1-1))</f>
        <v>2030</v>
      </c>
      <c r="C309" t="str">
        <f ca="1">IF(ISNA(C$1), 0, OFFSET(data!$A$1, ROW()-1, C$1-1))</f>
        <v>2030-02-09-12:00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1516.22209439171</v>
      </c>
      <c r="L309">
        <f ca="1">IF(ISNA(L$1), 0, OFFSET(data!$A$1, ROW()-1, L$1-1))</f>
        <v>0</v>
      </c>
      <c r="M309">
        <f ca="1">IF(ISNA(M$1), 0, OFFSET(data!$A$1, ROW()-1, M$1-1))</f>
        <v>13.9068443190243</v>
      </c>
      <c r="N309">
        <f ca="1">IF(ISNA(N$1), 0, OFFSET(data!$A$1, ROW()-1, N$1-1))</f>
        <v>645.716525065366</v>
      </c>
      <c r="O309">
        <f ca="1">IF(ISNA(O$1), 0, OFFSET(data!$A$1, ROW()-1, O$1-1))</f>
        <v>57.599999999999902</v>
      </c>
      <c r="P309">
        <f ca="1">IF(ISNA(P$1), 0, OFFSET(data!$A$1, ROW()-1, P$1-1))</f>
        <v>1.51044221872352</v>
      </c>
      <c r="Q309">
        <f ca="1">IF(ISNA(Q$1), 0, OFFSET(data!$A$1, ROW()-1, Q$1-1))</f>
        <v>1530.1289387107399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941.67375580600003</v>
      </c>
      <c r="U309">
        <f ca="1">IF(ISNA(U$1), 0, OFFSET(data!$A$1, ROW()-1, U$1-1))</f>
        <v>0</v>
      </c>
      <c r="V309">
        <f ca="1">IF(ISNA(V$1), 0, OFFSET(data!$A$1, ROW()-1, V$1-1))</f>
        <v>404.83335561331899</v>
      </c>
      <c r="W309">
        <f ca="1">IF(ISNA(W$1), 0, OFFSET(data!$A$1, ROW()-1, W$1-1))</f>
        <v>-166.37817270857499</v>
      </c>
      <c r="X309">
        <f ca="1">IF(ISNA(X$1), 0, OFFSET(data!$A$1, ROW()-1, X$1-1))</f>
        <v>0</v>
      </c>
      <c r="Y309">
        <f ca="1">IF(ISNA(Y$1), 0, OFFSET(data!$A$1, ROW()-1, Y$1-1))</f>
        <v>350</v>
      </c>
      <c r="Z309">
        <f ca="1">IF(ISNA(Z$1), 0, OFFSET(data!$A$1, ROW()-1, Z$1-1))</f>
        <v>-17.960367585385701</v>
      </c>
      <c r="AA309" t="str">
        <f ca="1">IF(ISNA(AA$1), #N/A, OFFSET(data!$A$1, ROW()-1, AA$1-1))</f>
        <v>typical</v>
      </c>
      <c r="AB309">
        <f t="shared" ca="1" si="46"/>
        <v>2030</v>
      </c>
      <c r="AC309">
        <f t="shared" ca="1" si="47"/>
        <v>2</v>
      </c>
      <c r="AD309" t="str">
        <f t="shared" ca="1" si="48"/>
        <v>02/09/2030</v>
      </c>
      <c r="AE309" t="str">
        <f t="shared" ca="1" si="49"/>
        <v>02/09/2030</v>
      </c>
      <c r="AF309" s="6">
        <f t="shared" ca="1" si="50"/>
        <v>-1.79603675853857E-2</v>
      </c>
      <c r="AG309">
        <f t="shared" ca="1" si="51"/>
        <v>775.29558309742504</v>
      </c>
      <c r="AH309">
        <f t="shared" ca="1" si="52"/>
        <v>350</v>
      </c>
      <c r="AI309">
        <f t="shared" ca="1" si="53"/>
        <v>404.83335561331899</v>
      </c>
      <c r="AJ309">
        <f t="shared" ca="1" si="54"/>
        <v>2161.9386194570761</v>
      </c>
      <c r="AK309">
        <f t="shared" ca="1" si="55"/>
        <v>57.599999999999902</v>
      </c>
      <c r="AL309">
        <f t="shared" ca="1" si="56"/>
        <v>15.41728653774782</v>
      </c>
    </row>
    <row r="310" spans="1:38" hidden="1">
      <c r="A310" t="str">
        <f ca="1">IF(ISNA(A$1), 0, OFFSET(data!$A$1, ROW()-1, A$1-1))</f>
        <v>Oahu</v>
      </c>
      <c r="B310">
        <f ca="1">IF(ISNA(B$1), 0, OFFSET(data!$A$1, ROW()-1, B$1-1))</f>
        <v>2030</v>
      </c>
      <c r="C310" t="str">
        <f ca="1">IF(ISNA(C$1), 0, OFFSET(data!$A$1, ROW()-1, C$1-1))</f>
        <v>2030-02-09-14:00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2043.01441095634</v>
      </c>
      <c r="L310">
        <f ca="1">IF(ISNA(L$1), 0, OFFSET(data!$A$1, ROW()-1, L$1-1))</f>
        <v>0</v>
      </c>
      <c r="M310">
        <f ca="1">IF(ISNA(M$1), 0, OFFSET(data!$A$1, ROW()-1, M$1-1))</f>
        <v>18.0445488540038</v>
      </c>
      <c r="N310">
        <f ca="1">IF(ISNA(N$1), 0, OFFSET(data!$A$1, ROW()-1, N$1-1))</f>
        <v>51.723900262737502</v>
      </c>
      <c r="O310">
        <f ca="1">IF(ISNA(O$1), 0, OFFSET(data!$A$1, ROW()-1, O$1-1))</f>
        <v>57.599999999999902</v>
      </c>
      <c r="P310">
        <f ca="1">IF(ISNA(P$1), 0, OFFSET(data!$A$1, ROW()-1, P$1-1))</f>
        <v>3.5251432417183502E-2</v>
      </c>
      <c r="Q310">
        <f ca="1">IF(ISNA(Q$1), 0, OFFSET(data!$A$1, ROW()-1, Q$1-1))</f>
        <v>2061.0589598103502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913.33837060600001</v>
      </c>
      <c r="U310">
        <f ca="1">IF(ISNA(U$1), 0, OFFSET(data!$A$1, ROW()-1, U$1-1))</f>
        <v>0</v>
      </c>
      <c r="V310">
        <f ca="1">IF(ISNA(V$1), 0, OFFSET(data!$A$1, ROW()-1, V$1-1))</f>
        <v>404.83335561331899</v>
      </c>
      <c r="W310">
        <f ca="1">IF(ISNA(W$1), 0, OFFSET(data!$A$1, ROW()-1, W$1-1))</f>
        <v>392.88723359103199</v>
      </c>
      <c r="X310">
        <f ca="1">IF(ISNA(X$1), 0, OFFSET(data!$A$1, ROW()-1, X$1-1))</f>
        <v>0</v>
      </c>
      <c r="Y310">
        <f ca="1">IF(ISNA(Y$1), 0, OFFSET(data!$A$1, ROW()-1, Y$1-1))</f>
        <v>350</v>
      </c>
      <c r="Z310">
        <f ca="1">IF(ISNA(Z$1), 0, OFFSET(data!$A$1, ROW()-1, Z$1-1))</f>
        <v>-17.960367585385701</v>
      </c>
      <c r="AA310" t="str">
        <f ca="1">IF(ISNA(AA$1), #N/A, OFFSET(data!$A$1, ROW()-1, AA$1-1))</f>
        <v>typical</v>
      </c>
      <c r="AB310">
        <f t="shared" ca="1" si="46"/>
        <v>2030</v>
      </c>
      <c r="AC310">
        <f t="shared" ca="1" si="47"/>
        <v>2</v>
      </c>
      <c r="AD310" t="str">
        <f t="shared" ca="1" si="48"/>
        <v>02/09/2030</v>
      </c>
      <c r="AE310" t="str">
        <f t="shared" ca="1" si="49"/>
        <v/>
      </c>
      <c r="AF310" s="6">
        <f t="shared" ca="1" si="50"/>
        <v>-1.79603675853857E-2</v>
      </c>
      <c r="AG310">
        <f t="shared" ca="1" si="51"/>
        <v>1306.225604197032</v>
      </c>
      <c r="AH310">
        <f t="shared" ca="1" si="52"/>
        <v>350</v>
      </c>
      <c r="AI310">
        <f t="shared" ca="1" si="53"/>
        <v>404.83335561331899</v>
      </c>
      <c r="AJ310">
        <f t="shared" ca="1" si="54"/>
        <v>2094.7383112190773</v>
      </c>
      <c r="AK310">
        <f t="shared" ca="1" si="55"/>
        <v>57.599999999999902</v>
      </c>
      <c r="AL310">
        <f t="shared" ca="1" si="56"/>
        <v>18.079800286420983</v>
      </c>
    </row>
    <row r="311" spans="1:38" hidden="1">
      <c r="A311" t="str">
        <f ca="1">IF(ISNA(A$1), 0, OFFSET(data!$A$1, ROW()-1, A$1-1))</f>
        <v>Oahu</v>
      </c>
      <c r="B311">
        <f ca="1">IF(ISNA(B$1), 0, OFFSET(data!$A$1, ROW()-1, B$1-1))</f>
        <v>2030</v>
      </c>
      <c r="C311" t="str">
        <f ca="1">IF(ISNA(C$1), 0, OFFSET(data!$A$1, ROW()-1, C$1-1))</f>
        <v>2030-02-09-16:00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1052.9984373408099</v>
      </c>
      <c r="L311">
        <f ca="1">IF(ISNA(L$1), 0, OFFSET(data!$A$1, ROW()-1, L$1-1))</f>
        <v>0</v>
      </c>
      <c r="M311">
        <f ca="1">IF(ISNA(M$1), 0, OFFSET(data!$A$1, ROW()-1, M$1-1))</f>
        <v>21.932822506574102</v>
      </c>
      <c r="N311">
        <f ca="1">IF(ISNA(N$1), 0, OFFSET(data!$A$1, ROW()-1, N$1-1))</f>
        <v>357.24128282465801</v>
      </c>
      <c r="O311">
        <f ca="1">IF(ISNA(O$1), 0, OFFSET(data!$A$1, ROW()-1, O$1-1))</f>
        <v>57.599999999999902</v>
      </c>
      <c r="P311">
        <f ca="1">IF(ISNA(P$1), 0, OFFSET(data!$A$1, ROW()-1, P$1-1))</f>
        <v>2.56140914039555E-2</v>
      </c>
      <c r="Q311">
        <f ca="1">IF(ISNA(Q$1), 0, OFFSET(data!$A$1, ROW()-1, Q$1-1))</f>
        <v>1074.93125984739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892.26479473899997</v>
      </c>
      <c r="U311">
        <f ca="1">IF(ISNA(U$1), 0, OFFSET(data!$A$1, ROW()-1, U$1-1))</f>
        <v>0</v>
      </c>
      <c r="V311">
        <f ca="1">IF(ISNA(V$1), 0, OFFSET(data!$A$1, ROW()-1, V$1-1))</f>
        <v>100.345903530093</v>
      </c>
      <c r="W311">
        <f ca="1">IF(ISNA(W$1), 0, OFFSET(data!$A$1, ROW()-1, W$1-1))</f>
        <v>-267.67943842169899</v>
      </c>
      <c r="X311">
        <f ca="1">IF(ISNA(X$1), 0, OFFSET(data!$A$1, ROW()-1, X$1-1))</f>
        <v>0</v>
      </c>
      <c r="Y311">
        <f ca="1">IF(ISNA(Y$1), 0, OFFSET(data!$A$1, ROW()-1, Y$1-1))</f>
        <v>350</v>
      </c>
      <c r="Z311">
        <f ca="1">IF(ISNA(Z$1), 0, OFFSET(data!$A$1, ROW()-1, Z$1-1))</f>
        <v>-17.960367585385701</v>
      </c>
      <c r="AA311" t="str">
        <f ca="1">IF(ISNA(AA$1), #N/A, OFFSET(data!$A$1, ROW()-1, AA$1-1))</f>
        <v>typical</v>
      </c>
      <c r="AB311">
        <f t="shared" ca="1" si="46"/>
        <v>2030</v>
      </c>
      <c r="AC311">
        <f t="shared" ca="1" si="47"/>
        <v>2</v>
      </c>
      <c r="AD311" t="str">
        <f t="shared" ca="1" si="48"/>
        <v>02/09/2030</v>
      </c>
      <c r="AE311" t="str">
        <f t="shared" ca="1" si="49"/>
        <v/>
      </c>
      <c r="AF311" s="6">
        <f t="shared" ca="1" si="50"/>
        <v>-1.79603675853857E-2</v>
      </c>
      <c r="AG311">
        <f t="shared" ca="1" si="51"/>
        <v>624.58535631730092</v>
      </c>
      <c r="AH311">
        <f t="shared" ca="1" si="52"/>
        <v>350</v>
      </c>
      <c r="AI311">
        <f t="shared" ca="1" si="53"/>
        <v>100.345903530093</v>
      </c>
      <c r="AJ311">
        <f t="shared" ca="1" si="54"/>
        <v>1410.239720165468</v>
      </c>
      <c r="AK311">
        <f t="shared" ca="1" si="55"/>
        <v>57.599999999999902</v>
      </c>
      <c r="AL311">
        <f t="shared" ca="1" si="56"/>
        <v>21.958436597978057</v>
      </c>
    </row>
    <row r="312" spans="1:38" hidden="1">
      <c r="A312" t="str">
        <f ca="1">IF(ISNA(A$1), 0, OFFSET(data!$A$1, ROW()-1, A$1-1))</f>
        <v>Oahu</v>
      </c>
      <c r="B312">
        <f ca="1">IF(ISNA(B$1), 0, OFFSET(data!$A$1, ROW()-1, B$1-1))</f>
        <v>2030</v>
      </c>
      <c r="C312" t="str">
        <f ca="1">IF(ISNA(C$1), 0, OFFSET(data!$A$1, ROW()-1, C$1-1))</f>
        <v>2030-02-09-18:00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218.080457545494</v>
      </c>
      <c r="L312">
        <f ca="1">IF(ISNA(L$1), 0, OFFSET(data!$A$1, ROW()-1, L$1-1))</f>
        <v>57.599999999999902</v>
      </c>
      <c r="M312">
        <f ca="1">IF(ISNA(M$1), 0, OFFSET(data!$A$1, ROW()-1, M$1-1))</f>
        <v>53.030940846355698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328.71139839185003</v>
      </c>
      <c r="R312">
        <f ca="1">IF(ISNA(R$1), 0, OFFSET(data!$A$1, ROW()-1, R$1-1))</f>
        <v>221.052149761838</v>
      </c>
      <c r="S312">
        <f ca="1">IF(ISNA(S$1), 0, OFFSET(data!$A$1, ROW()-1, S$1-1))</f>
        <v>136.05481423141001</v>
      </c>
      <c r="T312">
        <f ca="1">IF(ISNA(T$1), 0, OFFSET(data!$A$1, ROW()-1, T$1-1))</f>
        <v>979.74051769300002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-293.922155307899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65.839599663930002</v>
      </c>
      <c r="AA312" t="str">
        <f ca="1">IF(ISNA(AA$1), #N/A, OFFSET(data!$A$1, ROW()-1, AA$1-1))</f>
        <v>typical</v>
      </c>
      <c r="AB312">
        <f t="shared" ca="1" si="46"/>
        <v>2030</v>
      </c>
      <c r="AC312">
        <f t="shared" ca="1" si="47"/>
        <v>2</v>
      </c>
      <c r="AD312" t="str">
        <f t="shared" ca="1" si="48"/>
        <v>02/09/2030</v>
      </c>
      <c r="AE312" t="str">
        <f t="shared" ca="1" si="49"/>
        <v/>
      </c>
      <c r="AF312" s="6">
        <f t="shared" ca="1" si="50"/>
        <v>6.5839599663930007E-2</v>
      </c>
      <c r="AG312">
        <f t="shared" ca="1" si="51"/>
        <v>685.81836238510095</v>
      </c>
      <c r="AH312">
        <f t="shared" ca="1" si="52"/>
        <v>136.05481423141001</v>
      </c>
      <c r="AI312">
        <f t="shared" ca="1" si="53"/>
        <v>221.052149761838</v>
      </c>
      <c r="AJ312">
        <f t="shared" ca="1" si="54"/>
        <v>218.080457545494</v>
      </c>
      <c r="AK312">
        <f t="shared" ca="1" si="55"/>
        <v>57.599999999999902</v>
      </c>
      <c r="AL312">
        <f t="shared" ca="1" si="56"/>
        <v>53.030940846355698</v>
      </c>
    </row>
    <row r="313" spans="1:38" hidden="1">
      <c r="A313" t="str">
        <f ca="1">IF(ISNA(A$1), 0, OFFSET(data!$A$1, ROW()-1, A$1-1))</f>
        <v>Oahu</v>
      </c>
      <c r="B313">
        <f ca="1">IF(ISNA(B$1), 0, OFFSET(data!$A$1, ROW()-1, B$1-1))</f>
        <v>2030</v>
      </c>
      <c r="C313" t="str">
        <f ca="1">IF(ISNA(C$1), 0, OFFSET(data!$A$1, ROW()-1, C$1-1))</f>
        <v>2030-02-09-20:00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65.674937834637007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123.274937834637</v>
      </c>
      <c r="R313">
        <f ca="1">IF(ISNA(R$1), 0, OFFSET(data!$A$1, ROW()-1, R$1-1))</f>
        <v>351.31450763730101</v>
      </c>
      <c r="S313">
        <f ca="1">IF(ISNA(S$1), 0, OFFSET(data!$A$1, ROW()-1, S$1-1))</f>
        <v>120.906211436661</v>
      </c>
      <c r="T313">
        <f ca="1">IF(ISNA(T$1), 0, OFFSET(data!$A$1, ROW()-1, T$1-1))</f>
        <v>850.70808129800002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-255.21242438939899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65.839599663930002</v>
      </c>
      <c r="AA313" t="str">
        <f ca="1">IF(ISNA(AA$1), #N/A, OFFSET(data!$A$1, ROW()-1, AA$1-1))</f>
        <v>typical</v>
      </c>
      <c r="AB313">
        <f t="shared" ca="1" si="46"/>
        <v>2030</v>
      </c>
      <c r="AC313">
        <f t="shared" ca="1" si="47"/>
        <v>2</v>
      </c>
      <c r="AD313" t="str">
        <f t="shared" ca="1" si="48"/>
        <v>02/09/2030</v>
      </c>
      <c r="AE313" t="str">
        <f t="shared" ca="1" si="49"/>
        <v/>
      </c>
      <c r="AF313" s="6">
        <f t="shared" ca="1" si="50"/>
        <v>6.5839599663930007E-2</v>
      </c>
      <c r="AG313">
        <f t="shared" ca="1" si="51"/>
        <v>595.49565690860106</v>
      </c>
      <c r="AH313">
        <f t="shared" ca="1" si="52"/>
        <v>120.906211436661</v>
      </c>
      <c r="AI313">
        <f t="shared" ca="1" si="53"/>
        <v>351.31450763730101</v>
      </c>
      <c r="AJ313">
        <f t="shared" ca="1" si="54"/>
        <v>0</v>
      </c>
      <c r="AK313">
        <f t="shared" ca="1" si="55"/>
        <v>57.599999999999902</v>
      </c>
      <c r="AL313">
        <f t="shared" ca="1" si="56"/>
        <v>65.674937834637007</v>
      </c>
    </row>
    <row r="314" spans="1:38" hidden="1">
      <c r="A314" t="str">
        <f ca="1">IF(ISNA(A$1), 0, OFFSET(data!$A$1, ROW()-1, A$1-1))</f>
        <v>Oahu</v>
      </c>
      <c r="B314">
        <f ca="1">IF(ISNA(B$1), 0, OFFSET(data!$A$1, ROW()-1, B$1-1))</f>
        <v>2030</v>
      </c>
      <c r="C314" t="str">
        <f ca="1">IF(ISNA(C$1), 0, OFFSET(data!$A$1, ROW()-1, C$1-1))</f>
        <v>2030-02-09-22:00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49.6190695189404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107.21906951894</v>
      </c>
      <c r="R314">
        <f ca="1">IF(ISNA(R$1), 0, OFFSET(data!$A$1, ROW()-1, R$1-1))</f>
        <v>0</v>
      </c>
      <c r="S314">
        <f ca="1">IF(ISNA(S$1), 0, OFFSET(data!$A$1, ROW()-1, S$1-1))</f>
        <v>338.49665567495902</v>
      </c>
      <c r="T314">
        <f ca="1">IF(ISNA(T$1), 0, OFFSET(data!$A$1, ROW()-1, T$1-1))</f>
        <v>636.73675027700006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-191.0210250831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65.839599663930002</v>
      </c>
      <c r="AA314" t="str">
        <f ca="1">IF(ISNA(AA$1), #N/A, OFFSET(data!$A$1, ROW()-1, AA$1-1))</f>
        <v>typical</v>
      </c>
      <c r="AB314">
        <f t="shared" ca="1" si="46"/>
        <v>2030</v>
      </c>
      <c r="AC314">
        <f t="shared" ca="1" si="47"/>
        <v>2</v>
      </c>
      <c r="AD314" t="str">
        <f t="shared" ca="1" si="48"/>
        <v>02/09/2030</v>
      </c>
      <c r="AE314" t="str">
        <f t="shared" ca="1" si="49"/>
        <v/>
      </c>
      <c r="AF314" s="6">
        <f t="shared" ca="1" si="50"/>
        <v>6.5839599663930007E-2</v>
      </c>
      <c r="AG314">
        <f t="shared" ca="1" si="51"/>
        <v>445.71572519390008</v>
      </c>
      <c r="AH314">
        <f t="shared" ca="1" si="52"/>
        <v>338.49665567495902</v>
      </c>
      <c r="AI314">
        <f t="shared" ca="1" si="53"/>
        <v>0</v>
      </c>
      <c r="AJ314">
        <f t="shared" ca="1" si="54"/>
        <v>0</v>
      </c>
      <c r="AK314">
        <f t="shared" ca="1" si="55"/>
        <v>57.599999999999902</v>
      </c>
      <c r="AL314">
        <f t="shared" ca="1" si="56"/>
        <v>49.6190695189404</v>
      </c>
    </row>
    <row r="315" spans="1:38" hidden="1">
      <c r="A315" t="str">
        <f ca="1">IF(ISNA(A$1), 0, OFFSET(data!$A$1, ROW()-1, A$1-1))</f>
        <v>Oahu</v>
      </c>
      <c r="B315">
        <f ca="1">IF(ISNA(B$1), 0, OFFSET(data!$A$1, ROW()-1, B$1-1))</f>
        <v>2030</v>
      </c>
      <c r="C315" t="str">
        <f ca="1">IF(ISNA(C$1), 0, OFFSET(data!$A$1, ROW()-1, C$1-1))</f>
        <v>2030-04-09-00:00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48.758166804818899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106.358166804818</v>
      </c>
      <c r="R315">
        <f ca="1">IF(ISNA(R$1), 0, OFFSET(data!$A$1, ROW()-1, R$1-1))</f>
        <v>266.51227351835598</v>
      </c>
      <c r="S315">
        <f ca="1">IF(ISNA(S$1), 0, OFFSET(data!$A$1, ROW()-1, S$1-1))</f>
        <v>150</v>
      </c>
      <c r="T315">
        <f ca="1">IF(ISNA(T$1), 0, OFFSET(data!$A$1, ROW()-1, T$1-1))</f>
        <v>462.08056447899997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-138.62416934369901</v>
      </c>
      <c r="X315">
        <f ca="1">IF(ISNA(X$1), 0, OFFSET(data!$A$1, ROW()-1, X$1-1))</f>
        <v>0</v>
      </c>
      <c r="Y315">
        <f ca="1">IF(ISNA(Y$1), 0, OFFSET(data!$A$1, ROW()-1, Y$1-1))</f>
        <v>199.41404518787499</v>
      </c>
      <c r="Z315">
        <f ca="1">IF(ISNA(Z$1), 0, OFFSET(data!$A$1, ROW()-1, Z$1-1))</f>
        <v>0</v>
      </c>
      <c r="AA315" t="str">
        <f ca="1">IF(ISNA(AA$1), #N/A, OFFSET(data!$A$1, ROW()-1, AA$1-1))</f>
        <v>peak</v>
      </c>
      <c r="AB315">
        <f t="shared" ca="1" si="46"/>
        <v>2030</v>
      </c>
      <c r="AC315">
        <f t="shared" ca="1" si="47"/>
        <v>4</v>
      </c>
      <c r="AD315" t="str">
        <f t="shared" ca="1" si="48"/>
        <v>04/09/2030</v>
      </c>
      <c r="AE315" t="str">
        <f t="shared" ca="1" si="49"/>
        <v/>
      </c>
      <c r="AF315" s="6">
        <f t="shared" ca="1" si="50"/>
        <v>0</v>
      </c>
      <c r="AG315">
        <f t="shared" ca="1" si="51"/>
        <v>323.45639513530097</v>
      </c>
      <c r="AH315">
        <f t="shared" ca="1" si="52"/>
        <v>199.41404518787499</v>
      </c>
      <c r="AI315">
        <f t="shared" ca="1" si="53"/>
        <v>266.51227351835598</v>
      </c>
      <c r="AJ315">
        <f t="shared" ca="1" si="54"/>
        <v>0</v>
      </c>
      <c r="AK315">
        <f t="shared" ca="1" si="55"/>
        <v>57.599999999999902</v>
      </c>
      <c r="AL315">
        <f t="shared" ca="1" si="56"/>
        <v>48.758166804818899</v>
      </c>
    </row>
    <row r="316" spans="1:38" hidden="1">
      <c r="A316" t="str">
        <f ca="1">IF(ISNA(A$1), 0, OFFSET(data!$A$1, ROW()-1, A$1-1))</f>
        <v>Oahu</v>
      </c>
      <c r="B316">
        <f ca="1">IF(ISNA(B$1), 0, OFFSET(data!$A$1, ROW()-1, B$1-1))</f>
        <v>2030</v>
      </c>
      <c r="C316" t="str">
        <f ca="1">IF(ISNA(C$1), 0, OFFSET(data!$A$1, ROW()-1, C$1-1))</f>
        <v>2030-04-09-02:00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51.548940384827198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109.148940384827</v>
      </c>
      <c r="R316">
        <f ca="1">IF(ISNA(R$1), 0, OFFSET(data!$A$1, ROW()-1, R$1-1))</f>
        <v>0</v>
      </c>
      <c r="S316">
        <f ca="1">IF(ISNA(S$1), 0, OFFSET(data!$A$1, ROW()-1, S$1-1))</f>
        <v>200</v>
      </c>
      <c r="T316">
        <f ca="1">IF(ISNA(T$1), 0, OFFSET(data!$A$1, ROW()-1, T$1-1))</f>
        <v>407.14145693400002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-122.1424370802</v>
      </c>
      <c r="X316">
        <f ca="1">IF(ISNA(X$1), 0, OFFSET(data!$A$1, ROW()-1, X$1-1))</f>
        <v>0</v>
      </c>
      <c r="Y316">
        <f ca="1">IF(ISNA(Y$1), 0, OFFSET(data!$A$1, ROW()-1, Y$1-1))</f>
        <v>24.149920531027099</v>
      </c>
      <c r="Z316">
        <f ca="1">IF(ISNA(Z$1), 0, OFFSET(data!$A$1, ROW()-1, Z$1-1))</f>
        <v>0</v>
      </c>
      <c r="AA316" t="str">
        <f ca="1">IF(ISNA(AA$1), #N/A, OFFSET(data!$A$1, ROW()-1, AA$1-1))</f>
        <v>peak</v>
      </c>
      <c r="AB316">
        <f t="shared" ca="1" si="46"/>
        <v>2030</v>
      </c>
      <c r="AC316">
        <f t="shared" ca="1" si="47"/>
        <v>4</v>
      </c>
      <c r="AD316" t="str">
        <f t="shared" ca="1" si="48"/>
        <v>04/09/2030</v>
      </c>
      <c r="AE316" t="str">
        <f t="shared" ca="1" si="49"/>
        <v/>
      </c>
      <c r="AF316" s="6">
        <f t="shared" ca="1" si="50"/>
        <v>0</v>
      </c>
      <c r="AG316">
        <f t="shared" ca="1" si="51"/>
        <v>284.99901985380001</v>
      </c>
      <c r="AH316">
        <f t="shared" ca="1" si="52"/>
        <v>200</v>
      </c>
      <c r="AI316">
        <f t="shared" ca="1" si="53"/>
        <v>0</v>
      </c>
      <c r="AJ316">
        <f t="shared" ca="1" si="54"/>
        <v>0</v>
      </c>
      <c r="AK316">
        <f t="shared" ca="1" si="55"/>
        <v>57.599999999999902</v>
      </c>
      <c r="AL316">
        <f t="shared" ca="1" si="56"/>
        <v>51.548940384827198</v>
      </c>
    </row>
    <row r="317" spans="1:38" hidden="1">
      <c r="A317" t="str">
        <f ca="1">IF(ISNA(A$1), 0, OFFSET(data!$A$1, ROW()-1, A$1-1))</f>
        <v>Oahu</v>
      </c>
      <c r="B317">
        <f ca="1">IF(ISNA(B$1), 0, OFFSET(data!$A$1, ROW()-1, B$1-1))</f>
        <v>2030</v>
      </c>
      <c r="C317" t="str">
        <f ca="1">IF(ISNA(C$1), 0, OFFSET(data!$A$1, ROW()-1, C$1-1))</f>
        <v>2030-04-09-04:00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25.537735395918599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83.137735395918597</v>
      </c>
      <c r="R317">
        <f ca="1">IF(ISNA(R$1), 0, OFFSET(data!$A$1, ROW()-1, R$1-1))</f>
        <v>0</v>
      </c>
      <c r="S317">
        <f ca="1">IF(ISNA(S$1), 0, OFFSET(data!$A$1, ROW()-1, S$1-1))</f>
        <v>350</v>
      </c>
      <c r="T317">
        <f ca="1">IF(ISNA(T$1), 0, OFFSET(data!$A$1, ROW()-1, T$1-1))</f>
        <v>499.90580949399998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-149.97174284819999</v>
      </c>
      <c r="X317">
        <f ca="1">IF(ISNA(X$1), 0, OFFSET(data!$A$1, ROW()-1, X$1-1))</f>
        <v>0</v>
      </c>
      <c r="Y317">
        <f ca="1">IF(ISNA(Y$1), 0, OFFSET(data!$A$1, ROW()-1, Y$1-1))</f>
        <v>83.203668750118695</v>
      </c>
      <c r="Z317">
        <f ca="1">IF(ISNA(Z$1), 0, OFFSET(data!$A$1, ROW()-1, Z$1-1))</f>
        <v>0</v>
      </c>
      <c r="AA317" t="str">
        <f ca="1">IF(ISNA(AA$1), #N/A, OFFSET(data!$A$1, ROW()-1, AA$1-1))</f>
        <v>peak</v>
      </c>
      <c r="AB317">
        <f t="shared" ca="1" si="46"/>
        <v>2030</v>
      </c>
      <c r="AC317">
        <f t="shared" ca="1" si="47"/>
        <v>4</v>
      </c>
      <c r="AD317" t="str">
        <f t="shared" ca="1" si="48"/>
        <v>04/09/2030</v>
      </c>
      <c r="AE317" t="str">
        <f t="shared" ca="1" si="49"/>
        <v/>
      </c>
      <c r="AF317" s="6">
        <f t="shared" ca="1" si="50"/>
        <v>0</v>
      </c>
      <c r="AG317">
        <f t="shared" ca="1" si="51"/>
        <v>349.93406664579999</v>
      </c>
      <c r="AH317">
        <f t="shared" ca="1" si="52"/>
        <v>350</v>
      </c>
      <c r="AI317">
        <f t="shared" ca="1" si="53"/>
        <v>0</v>
      </c>
      <c r="AJ317">
        <f t="shared" ca="1" si="54"/>
        <v>0</v>
      </c>
      <c r="AK317">
        <f t="shared" ca="1" si="55"/>
        <v>57.599999999999902</v>
      </c>
      <c r="AL317">
        <f t="shared" ca="1" si="56"/>
        <v>25.537735395918599</v>
      </c>
    </row>
    <row r="318" spans="1:38" hidden="1">
      <c r="A318" t="str">
        <f ca="1">IF(ISNA(A$1), 0, OFFSET(data!$A$1, ROW()-1, A$1-1))</f>
        <v>Oahu</v>
      </c>
      <c r="B318">
        <f ca="1">IF(ISNA(B$1), 0, OFFSET(data!$A$1, ROW()-1, B$1-1))</f>
        <v>2030</v>
      </c>
      <c r="C318" t="str">
        <f ca="1">IF(ISNA(C$1), 0, OFFSET(data!$A$1, ROW()-1, C$1-1))</f>
        <v>2030-04-09-06:00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90.438782579541893</v>
      </c>
      <c r="L318">
        <f ca="1">IF(ISNA(L$1), 0, OFFSET(data!$A$1, ROW()-1, L$1-1))</f>
        <v>57.599999999999902</v>
      </c>
      <c r="M318">
        <f ca="1">IF(ISNA(M$1), 0, OFFSET(data!$A$1, ROW()-1, M$1-1))</f>
        <v>41.702658015124499</v>
      </c>
      <c r="N318">
        <f ca="1">IF(ISNA(N$1), 0, OFFSET(data!$A$1, ROW()-1, N$1-1))</f>
        <v>-2.2204460492503101E-16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189.74144059466599</v>
      </c>
      <c r="R318">
        <f ca="1">IF(ISNA(R$1), 0, OFFSET(data!$A$1, ROW()-1, R$1-1))</f>
        <v>37.112743191632703</v>
      </c>
      <c r="S318">
        <f ca="1">IF(ISNA(S$1), 0, OFFSET(data!$A$1, ROW()-1, S$1-1))</f>
        <v>350</v>
      </c>
      <c r="T318">
        <f ca="1">IF(ISNA(T$1), 0, OFFSET(data!$A$1, ROW()-1, T$1-1))</f>
        <v>824.07740540899999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-247.22322162269899</v>
      </c>
      <c r="X318">
        <f ca="1">IF(ISNA(X$1), 0, OFFSET(data!$A$1, ROW()-1, X$1-1))</f>
        <v>0</v>
      </c>
      <c r="Y318">
        <f ca="1">IF(ISNA(Y$1), 0, OFFSET(data!$A$1, ROW()-1, Y$1-1))</f>
        <v>0</v>
      </c>
      <c r="Z318">
        <f ca="1">IF(ISNA(Z$1), 0, OFFSET(data!$A$1, ROW()-1, Z$1-1))</f>
        <v>0</v>
      </c>
      <c r="AA318" t="str">
        <f ca="1">IF(ISNA(AA$1), #N/A, OFFSET(data!$A$1, ROW()-1, AA$1-1))</f>
        <v>peak</v>
      </c>
      <c r="AB318">
        <f t="shared" ca="1" si="46"/>
        <v>2030</v>
      </c>
      <c r="AC318">
        <f t="shared" ca="1" si="47"/>
        <v>4</v>
      </c>
      <c r="AD318" t="str">
        <f t="shared" ca="1" si="48"/>
        <v>04/09/2030</v>
      </c>
      <c r="AE318" t="str">
        <f t="shared" ca="1" si="49"/>
        <v/>
      </c>
      <c r="AF318" s="6">
        <f t="shared" ca="1" si="50"/>
        <v>0</v>
      </c>
      <c r="AG318">
        <f t="shared" ca="1" si="51"/>
        <v>576.85418378630106</v>
      </c>
      <c r="AH318">
        <f t="shared" ca="1" si="52"/>
        <v>350</v>
      </c>
      <c r="AI318">
        <f t="shared" ca="1" si="53"/>
        <v>37.112743191632703</v>
      </c>
      <c r="AJ318">
        <f t="shared" ca="1" si="54"/>
        <v>90.438782579541893</v>
      </c>
      <c r="AK318">
        <f t="shared" ca="1" si="55"/>
        <v>57.599999999999902</v>
      </c>
      <c r="AL318">
        <f t="shared" ca="1" si="56"/>
        <v>41.702658015124499</v>
      </c>
    </row>
    <row r="319" spans="1:38" hidden="1">
      <c r="A319" t="str">
        <f ca="1">IF(ISNA(A$1), 0, OFFSET(data!$A$1, ROW()-1, A$1-1))</f>
        <v>Oahu</v>
      </c>
      <c r="B319">
        <f ca="1">IF(ISNA(B$1), 0, OFFSET(data!$A$1, ROW()-1, B$1-1))</f>
        <v>2030</v>
      </c>
      <c r="C319" t="str">
        <f ca="1">IF(ISNA(C$1), 0, OFFSET(data!$A$1, ROW()-1, C$1-1))</f>
        <v>2030-04-09-08:00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1418.37146161909</v>
      </c>
      <c r="L319">
        <f ca="1">IF(ISNA(L$1), 0, OFFSET(data!$A$1, ROW()-1, L$1-1))</f>
        <v>0</v>
      </c>
      <c r="M319">
        <f ca="1">IF(ISNA(M$1), 0, OFFSET(data!$A$1, ROW()-1, M$1-1))</f>
        <v>19.780917238419502</v>
      </c>
      <c r="N319">
        <f ca="1">IF(ISNA(N$1), 0, OFFSET(data!$A$1, ROW()-1, N$1-1))</f>
        <v>796.30332577138404</v>
      </c>
      <c r="O319">
        <f ca="1">IF(ISNA(O$1), 0, OFFSET(data!$A$1, ROW()-1, O$1-1))</f>
        <v>57.599999999999902</v>
      </c>
      <c r="P319">
        <f ca="1">IF(ISNA(P$1), 0, OFFSET(data!$A$1, ROW()-1, P$1-1))</f>
        <v>20.482991069060599</v>
      </c>
      <c r="Q319">
        <f ca="1">IF(ISNA(Q$1), 0, OFFSET(data!$A$1, ROW()-1, Q$1-1))</f>
        <v>1438.15237885751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976.17003320599997</v>
      </c>
      <c r="U319">
        <f ca="1">IF(ISNA(U$1), 0, OFFSET(data!$A$1, ROW()-1, U$1-1))</f>
        <v>0</v>
      </c>
      <c r="V319">
        <f ca="1">IF(ISNA(V$1), 0, OFFSET(data!$A$1, ROW()-1, V$1-1))</f>
        <v>404.83335561331899</v>
      </c>
      <c r="W319">
        <f ca="1">IF(ISNA(W$1), 0, OFFSET(data!$A$1, ROW()-1, W$1-1))</f>
        <v>-292.8510099618</v>
      </c>
      <c r="X319">
        <f ca="1">IF(ISNA(X$1), 0, OFFSET(data!$A$1, ROW()-1, X$1-1))</f>
        <v>0</v>
      </c>
      <c r="Y319">
        <f ca="1">IF(ISNA(Y$1), 0, OFFSET(data!$A$1, ROW()-1, Y$1-1))</f>
        <v>350</v>
      </c>
      <c r="Z319">
        <f ca="1">IF(ISNA(Z$1), 0, OFFSET(data!$A$1, ROW()-1, Z$1-1))</f>
        <v>-511.87047618349402</v>
      </c>
      <c r="AA319" t="str">
        <f ca="1">IF(ISNA(AA$1), #N/A, OFFSET(data!$A$1, ROW()-1, AA$1-1))</f>
        <v>peak</v>
      </c>
      <c r="AB319">
        <f t="shared" ca="1" si="46"/>
        <v>2030</v>
      </c>
      <c r="AC319">
        <f t="shared" ca="1" si="47"/>
        <v>4</v>
      </c>
      <c r="AD319" t="str">
        <f t="shared" ca="1" si="48"/>
        <v>04/09/2030</v>
      </c>
      <c r="AE319" t="str">
        <f t="shared" ca="1" si="49"/>
        <v/>
      </c>
      <c r="AF319" s="6">
        <f t="shared" ca="1" si="50"/>
        <v>-0.51187047618349402</v>
      </c>
      <c r="AG319">
        <f t="shared" ca="1" si="51"/>
        <v>683.31902324420003</v>
      </c>
      <c r="AH319">
        <f t="shared" ca="1" si="52"/>
        <v>350</v>
      </c>
      <c r="AI319">
        <f t="shared" ca="1" si="53"/>
        <v>404.83335561331899</v>
      </c>
      <c r="AJ319">
        <f t="shared" ca="1" si="54"/>
        <v>2214.6747873904742</v>
      </c>
      <c r="AK319">
        <f t="shared" ca="1" si="55"/>
        <v>57.599999999999902</v>
      </c>
      <c r="AL319">
        <f t="shared" ca="1" si="56"/>
        <v>40.263908307480101</v>
      </c>
    </row>
    <row r="320" spans="1:38" hidden="1">
      <c r="A320" t="str">
        <f ca="1">IF(ISNA(A$1), 0, OFFSET(data!$A$1, ROW()-1, A$1-1))</f>
        <v>Oahu</v>
      </c>
      <c r="B320">
        <f ca="1">IF(ISNA(B$1), 0, OFFSET(data!$A$1, ROW()-1, B$1-1))</f>
        <v>2030</v>
      </c>
      <c r="C320" t="str">
        <f ca="1">IF(ISNA(C$1), 0, OFFSET(data!$A$1, ROW()-1, C$1-1))</f>
        <v>2030-04-09-10:00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2196.8885804240799</v>
      </c>
      <c r="L320">
        <f ca="1">IF(ISNA(L$1), 0, OFFSET(data!$A$1, ROW()-1, L$1-1))</f>
        <v>0</v>
      </c>
      <c r="M320">
        <f ca="1">IF(ISNA(M$1), 0, OFFSET(data!$A$1, ROW()-1, M$1-1))</f>
        <v>23.653926379799699</v>
      </c>
      <c r="N320">
        <f ca="1">IF(ISNA(N$1), 0, OFFSET(data!$A$1, ROW()-1, N$1-1))</f>
        <v>1005.43556138449</v>
      </c>
      <c r="O320">
        <f ca="1">IF(ISNA(O$1), 0, OFFSET(data!$A$1, ROW()-1, O$1-1))</f>
        <v>57.599999999999902</v>
      </c>
      <c r="P320">
        <f ca="1">IF(ISNA(P$1), 0, OFFSET(data!$A$1, ROW()-1, P$1-1))</f>
        <v>25.098571128921201</v>
      </c>
      <c r="Q320">
        <f ca="1">IF(ISNA(Q$1), 0, OFFSET(data!$A$1, ROW()-1, Q$1-1))</f>
        <v>2220.5425068038799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1058.1156916100001</v>
      </c>
      <c r="U320">
        <f ca="1">IF(ISNA(U$1), 0, OFFSET(data!$A$1, ROW()-1, U$1-1))</f>
        <v>0</v>
      </c>
      <c r="V320">
        <f ca="1">IF(ISNA(V$1), 0, OFFSET(data!$A$1, ROW()-1, V$1-1))</f>
        <v>404.83335561331899</v>
      </c>
      <c r="W320">
        <f ca="1">IF(ISNA(W$1), 0, OFFSET(data!$A$1, ROW()-1, W$1-1))</f>
        <v>407.59345958056701</v>
      </c>
      <c r="X320">
        <f ca="1">IF(ISNA(X$1), 0, OFFSET(data!$A$1, ROW()-1, X$1-1))</f>
        <v>0</v>
      </c>
      <c r="Y320">
        <f ca="1">IF(ISNA(Y$1), 0, OFFSET(data!$A$1, ROW()-1, Y$1-1))</f>
        <v>350</v>
      </c>
      <c r="Z320">
        <f ca="1">IF(ISNA(Z$1), 0, OFFSET(data!$A$1, ROW()-1, Z$1-1))</f>
        <v>-511.87047618349402</v>
      </c>
      <c r="AA320" t="str">
        <f ca="1">IF(ISNA(AA$1), #N/A, OFFSET(data!$A$1, ROW()-1, AA$1-1))</f>
        <v>peak</v>
      </c>
      <c r="AB320">
        <f t="shared" ca="1" si="46"/>
        <v>2030</v>
      </c>
      <c r="AC320">
        <f t="shared" ca="1" si="47"/>
        <v>4</v>
      </c>
      <c r="AD320" t="str">
        <f t="shared" ca="1" si="48"/>
        <v>04/09/2030</v>
      </c>
      <c r="AE320" t="str">
        <f t="shared" ca="1" si="49"/>
        <v/>
      </c>
      <c r="AF320" s="6">
        <f t="shared" ca="1" si="50"/>
        <v>-0.51187047618349402</v>
      </c>
      <c r="AG320">
        <f t="shared" ca="1" si="51"/>
        <v>1465.7091511905671</v>
      </c>
      <c r="AH320">
        <f t="shared" ca="1" si="52"/>
        <v>350</v>
      </c>
      <c r="AI320">
        <f t="shared" ca="1" si="53"/>
        <v>404.83335561331899</v>
      </c>
      <c r="AJ320">
        <f t="shared" ca="1" si="54"/>
        <v>3202.3241418085699</v>
      </c>
      <c r="AK320">
        <f t="shared" ca="1" si="55"/>
        <v>57.599999999999902</v>
      </c>
      <c r="AL320">
        <f t="shared" ca="1" si="56"/>
        <v>48.7524975087209</v>
      </c>
    </row>
    <row r="321" spans="1:38" hidden="1">
      <c r="A321" t="str">
        <f ca="1">IF(ISNA(A$1), 0, OFFSET(data!$A$1, ROW()-1, A$1-1))</f>
        <v>Oahu</v>
      </c>
      <c r="B321">
        <f ca="1">IF(ISNA(B$1), 0, OFFSET(data!$A$1, ROW()-1, B$1-1))</f>
        <v>2030</v>
      </c>
      <c r="C321" t="str">
        <f ca="1">IF(ISNA(C$1), 0, OFFSET(data!$A$1, ROW()-1, C$1-1))</f>
        <v>2030-04-09-12:00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1489.93982818826</v>
      </c>
      <c r="L321">
        <f ca="1">IF(ISNA(L$1), 0, OFFSET(data!$A$1, ROW()-1, L$1-1))</f>
        <v>0</v>
      </c>
      <c r="M321">
        <f ca="1">IF(ISNA(M$1), 0, OFFSET(data!$A$1, ROW()-1, M$1-1))</f>
        <v>25.568995285049901</v>
      </c>
      <c r="N321">
        <f ca="1">IF(ISNA(N$1), 0, OFFSET(data!$A$1, ROW()-1, N$1-1))</f>
        <v>1746.14327925515</v>
      </c>
      <c r="O321">
        <f ca="1">IF(ISNA(O$1), 0, OFFSET(data!$A$1, ROW()-1, O$1-1))</f>
        <v>57.599999999999902</v>
      </c>
      <c r="P321">
        <f ca="1">IF(ISNA(P$1), 0, OFFSET(data!$A$1, ROW()-1, P$1-1))</f>
        <v>31.501329407593701</v>
      </c>
      <c r="Q321">
        <f ca="1">IF(ISNA(Q$1), 0, OFFSET(data!$A$1, ROW()-1, Q$1-1))</f>
        <v>1515.50882347331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1086.6792398</v>
      </c>
      <c r="U321">
        <f ca="1">IF(ISNA(U$1), 0, OFFSET(data!$A$1, ROW()-1, U$1-1))</f>
        <v>0</v>
      </c>
      <c r="V321">
        <f ca="1">IF(ISNA(V$1), 0, OFFSET(data!$A$1, ROW()-1, V$1-1))</f>
        <v>404.83335561331899</v>
      </c>
      <c r="W321">
        <f ca="1">IF(ISNA(W$1), 0, OFFSET(data!$A$1, ROW()-1, W$1-1))</f>
        <v>-326.00377193999998</v>
      </c>
      <c r="X321">
        <f ca="1">IF(ISNA(X$1), 0, OFFSET(data!$A$1, ROW()-1, X$1-1))</f>
        <v>0</v>
      </c>
      <c r="Y321">
        <f ca="1">IF(ISNA(Y$1), 0, OFFSET(data!$A$1, ROW()-1, Y$1-1))</f>
        <v>350</v>
      </c>
      <c r="Z321">
        <f ca="1">IF(ISNA(Z$1), 0, OFFSET(data!$A$1, ROW()-1, Z$1-1))</f>
        <v>-511.87047618349402</v>
      </c>
      <c r="AA321" t="str">
        <f ca="1">IF(ISNA(AA$1), #N/A, OFFSET(data!$A$1, ROW()-1, AA$1-1))</f>
        <v>peak</v>
      </c>
      <c r="AB321">
        <f t="shared" ca="1" si="46"/>
        <v>2030</v>
      </c>
      <c r="AC321">
        <f t="shared" ca="1" si="47"/>
        <v>4</v>
      </c>
      <c r="AD321" t="str">
        <f t="shared" ca="1" si="48"/>
        <v>04/09/2030</v>
      </c>
      <c r="AE321" t="str">
        <f t="shared" ca="1" si="49"/>
        <v>04/09/2030</v>
      </c>
      <c r="AF321" s="6">
        <f t="shared" ca="1" si="50"/>
        <v>-0.51187047618349402</v>
      </c>
      <c r="AG321">
        <f t="shared" ca="1" si="51"/>
        <v>760.67546786000003</v>
      </c>
      <c r="AH321">
        <f t="shared" ca="1" si="52"/>
        <v>350</v>
      </c>
      <c r="AI321">
        <f t="shared" ca="1" si="53"/>
        <v>404.83335561331899</v>
      </c>
      <c r="AJ321">
        <f t="shared" ca="1" si="54"/>
        <v>3236.08310744341</v>
      </c>
      <c r="AK321">
        <f t="shared" ca="1" si="55"/>
        <v>57.599999999999902</v>
      </c>
      <c r="AL321">
        <f t="shared" ca="1" si="56"/>
        <v>57.070324692643602</v>
      </c>
    </row>
    <row r="322" spans="1:38" hidden="1">
      <c r="A322" t="str">
        <f ca="1">IF(ISNA(A$1), 0, OFFSET(data!$A$1, ROW()-1, A$1-1))</f>
        <v>Oahu</v>
      </c>
      <c r="B322">
        <f ca="1">IF(ISNA(B$1), 0, OFFSET(data!$A$1, ROW()-1, B$1-1))</f>
        <v>2030</v>
      </c>
      <c r="C322" t="str">
        <f ca="1">IF(ISNA(C$1), 0, OFFSET(data!$A$1, ROW()-1, C$1-1))</f>
        <v>2030-04-09-14:00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2759.3189849282999</v>
      </c>
      <c r="L322">
        <f ca="1">IF(ISNA(L$1), 0, OFFSET(data!$A$1, ROW()-1, L$1-1))</f>
        <v>0</v>
      </c>
      <c r="M322">
        <f ca="1">IF(ISNA(M$1), 0, OFFSET(data!$A$1, ROW()-1, M$1-1))</f>
        <v>63.840392699461198</v>
      </c>
      <c r="N322">
        <f ca="1">IF(ISNA(N$1), 0, OFFSET(data!$A$1, ROW()-1, N$1-1))</f>
        <v>495.05486310749001</v>
      </c>
      <c r="O322">
        <f ca="1">IF(ISNA(O$1), 0, OFFSET(data!$A$1, ROW()-1, O$1-1))</f>
        <v>57.599999999999902</v>
      </c>
      <c r="P322">
        <f ca="1">IF(ISNA(P$1), 0, OFFSET(data!$A$1, ROW()-1, P$1-1))</f>
        <v>0</v>
      </c>
      <c r="Q322">
        <f ca="1">IF(ISNA(Q$1), 0, OFFSET(data!$A$1, ROW()-1, Q$1-1))</f>
        <v>2823.15937762776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1083.01470464</v>
      </c>
      <c r="U322">
        <f ca="1">IF(ISNA(U$1), 0, OFFSET(data!$A$1, ROW()-1, U$1-1))</f>
        <v>0</v>
      </c>
      <c r="V322">
        <f ca="1">IF(ISNA(V$1), 0, OFFSET(data!$A$1, ROW()-1, V$1-1))</f>
        <v>404.83335561331899</v>
      </c>
      <c r="W322">
        <f ca="1">IF(ISNA(W$1), 0, OFFSET(data!$A$1, ROW()-1, W$1-1))</f>
        <v>985.311317374444</v>
      </c>
      <c r="X322">
        <f ca="1">IF(ISNA(X$1), 0, OFFSET(data!$A$1, ROW()-1, X$1-1))</f>
        <v>0</v>
      </c>
      <c r="Y322">
        <f ca="1">IF(ISNA(Y$1), 0, OFFSET(data!$A$1, ROW()-1, Y$1-1))</f>
        <v>350</v>
      </c>
      <c r="Z322">
        <f ca="1">IF(ISNA(Z$1), 0, OFFSET(data!$A$1, ROW()-1, Z$1-1))</f>
        <v>-511.87047618349402</v>
      </c>
      <c r="AA322" t="str">
        <f ca="1">IF(ISNA(AA$1), #N/A, OFFSET(data!$A$1, ROW()-1, AA$1-1))</f>
        <v>peak</v>
      </c>
      <c r="AB322">
        <f t="shared" ca="1" si="46"/>
        <v>2030</v>
      </c>
      <c r="AC322">
        <f t="shared" ca="1" si="47"/>
        <v>4</v>
      </c>
      <c r="AD322" t="str">
        <f t="shared" ca="1" si="48"/>
        <v>04/09/2030</v>
      </c>
      <c r="AE322" t="str">
        <f t="shared" ca="1" si="49"/>
        <v/>
      </c>
      <c r="AF322" s="6">
        <f t="shared" ca="1" si="50"/>
        <v>-0.51187047618349402</v>
      </c>
      <c r="AG322">
        <f t="shared" ca="1" si="51"/>
        <v>2068.3260220144439</v>
      </c>
      <c r="AH322">
        <f t="shared" ca="1" si="52"/>
        <v>350</v>
      </c>
      <c r="AI322">
        <f t="shared" ca="1" si="53"/>
        <v>404.83335561331899</v>
      </c>
      <c r="AJ322">
        <f t="shared" ca="1" si="54"/>
        <v>3254.3738480357897</v>
      </c>
      <c r="AK322">
        <f t="shared" ca="1" si="55"/>
        <v>57.599999999999902</v>
      </c>
      <c r="AL322">
        <f t="shared" ca="1" si="56"/>
        <v>63.840392699461198</v>
      </c>
    </row>
    <row r="323" spans="1:38" hidden="1">
      <c r="A323" t="str">
        <f ca="1">IF(ISNA(A$1), 0, OFFSET(data!$A$1, ROW()-1, A$1-1))</f>
        <v>Oahu</v>
      </c>
      <c r="B323">
        <f ca="1">IF(ISNA(B$1), 0, OFFSET(data!$A$1, ROW()-1, B$1-1))</f>
        <v>2030</v>
      </c>
      <c r="C323" t="str">
        <f ca="1">IF(ISNA(C$1), 0, OFFSET(data!$A$1, ROW()-1, C$1-1))</f>
        <v>2030-04-09-16:00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2492.5959436645398</v>
      </c>
      <c r="L323">
        <f ca="1">IF(ISNA(L$1), 0, OFFSET(data!$A$1, ROW()-1, L$1-1))</f>
        <v>0</v>
      </c>
      <c r="M323">
        <f ca="1">IF(ISNA(M$1), 0, OFFSET(data!$A$1, ROW()-1, M$1-1))</f>
        <v>41.290439928860401</v>
      </c>
      <c r="N323">
        <f ca="1">IF(ISNA(N$1), 0, OFFSET(data!$A$1, ROW()-1, N$1-1))</f>
        <v>438.990454766504</v>
      </c>
      <c r="O323">
        <f ca="1">IF(ISNA(O$1), 0, OFFSET(data!$A$1, ROW()-1, O$1-1))</f>
        <v>57.599999999999902</v>
      </c>
      <c r="P323">
        <f ca="1">IF(ISNA(P$1), 0, OFFSET(data!$A$1, ROW()-1, P$1-1))</f>
        <v>6.4537478731354696</v>
      </c>
      <c r="Q323">
        <f ca="1">IF(ISNA(Q$1), 0, OFFSET(data!$A$1, ROW()-1, Q$1-1))</f>
        <v>2533.8863835933998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1053.1357579200001</v>
      </c>
      <c r="U323">
        <f ca="1">IF(ISNA(U$1), 0, OFFSET(data!$A$1, ROW()-1, U$1-1))</f>
        <v>0</v>
      </c>
      <c r="V323">
        <f ca="1">IF(ISNA(V$1), 0, OFFSET(data!$A$1, ROW()-1, V$1-1))</f>
        <v>404.83335561331899</v>
      </c>
      <c r="W323">
        <f ca="1">IF(ISNA(W$1), 0, OFFSET(data!$A$1, ROW()-1, W$1-1))</f>
        <v>725.91727006008705</v>
      </c>
      <c r="X323">
        <f ca="1">IF(ISNA(X$1), 0, OFFSET(data!$A$1, ROW()-1, X$1-1))</f>
        <v>0</v>
      </c>
      <c r="Y323">
        <f ca="1">IF(ISNA(Y$1), 0, OFFSET(data!$A$1, ROW()-1, Y$1-1))</f>
        <v>350</v>
      </c>
      <c r="Z323">
        <f ca="1">IF(ISNA(Z$1), 0, OFFSET(data!$A$1, ROW()-1, Z$1-1))</f>
        <v>-511.87047618349402</v>
      </c>
      <c r="AA323" t="str">
        <f ca="1">IF(ISNA(AA$1), #N/A, OFFSET(data!$A$1, ROW()-1, AA$1-1))</f>
        <v>peak</v>
      </c>
      <c r="AB323">
        <f t="shared" ref="AB323:AB386" ca="1" si="57">VALUE(LEFT(C323, 4))</f>
        <v>2030</v>
      </c>
      <c r="AC323">
        <f t="shared" ref="AC323:AC386" ca="1" si="58">VALUE(MID(C323, 6, 2))</f>
        <v>4</v>
      </c>
      <c r="AD323" t="str">
        <f t="shared" ref="AD323:AD386" ca="1" si="59">SUBSTITUTE(MID(C323,6,6)&amp;LEFT(C323,4), "-", "/")</f>
        <v>04/09/2030</v>
      </c>
      <c r="AE323" t="str">
        <f t="shared" ref="AE323:AE386" ca="1" si="60">IF(RIGHT(C323, 5)="12:00", AD323, "")</f>
        <v/>
      </c>
      <c r="AF323" s="6">
        <f t="shared" ref="AF323:AF386" ca="1" si="61">Z323/1000</f>
        <v>-0.51187047618349402</v>
      </c>
      <c r="AG323">
        <f t="shared" ref="AG323:AG386" ca="1" si="62">T323+W323</f>
        <v>1779.0530279800871</v>
      </c>
      <c r="AH323">
        <f t="shared" ca="1" si="52"/>
        <v>350</v>
      </c>
      <c r="AI323">
        <f t="shared" ca="1" si="53"/>
        <v>404.83335561331899</v>
      </c>
      <c r="AJ323">
        <f t="shared" ca="1" si="54"/>
        <v>2931.586398431044</v>
      </c>
      <c r="AK323">
        <f t="shared" ca="1" si="55"/>
        <v>57.599999999999902</v>
      </c>
      <c r="AL323">
        <f t="shared" ca="1" si="56"/>
        <v>47.744187801995871</v>
      </c>
    </row>
    <row r="324" spans="1:38" hidden="1">
      <c r="A324" t="str">
        <f ca="1">IF(ISNA(A$1), 0, OFFSET(data!$A$1, ROW()-1, A$1-1))</f>
        <v>Oahu</v>
      </c>
      <c r="B324">
        <f ca="1">IF(ISNA(B$1), 0, OFFSET(data!$A$1, ROW()-1, B$1-1))</f>
        <v>2030</v>
      </c>
      <c r="C324" t="str">
        <f ca="1">IF(ISNA(C$1), 0, OFFSET(data!$A$1, ROW()-1, C$1-1))</f>
        <v>2030-04-09-18:00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307.889234220003</v>
      </c>
      <c r="L324">
        <f ca="1">IF(ISNA(L$1), 0, OFFSET(data!$A$1, ROW()-1, L$1-1))</f>
        <v>57.599999999999902</v>
      </c>
      <c r="M324">
        <f ca="1">IF(ISNA(M$1), 0, OFFSET(data!$A$1, ROW()-1, M$1-1))</f>
        <v>79.792514254339096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445.28174847434201</v>
      </c>
      <c r="R324">
        <f ca="1">IF(ISNA(R$1), 0, OFFSET(data!$A$1, ROW()-1, R$1-1))</f>
        <v>404.83335561331899</v>
      </c>
      <c r="S324">
        <f ca="1">IF(ISNA(S$1), 0, OFFSET(data!$A$1, ROW()-1, S$1-1))</f>
        <v>250</v>
      </c>
      <c r="T324">
        <f ca="1">IF(ISNA(T$1), 0, OFFSET(data!$A$1, ROW()-1, T$1-1))</f>
        <v>1097.2964787400001</v>
      </c>
      <c r="U324">
        <f ca="1">IF(ISNA(U$1), 0, OFFSET(data!$A$1, ROW()-1, U$1-1))</f>
        <v>0</v>
      </c>
      <c r="V324">
        <f ca="1">IF(ISNA(V$1), 0, OFFSET(data!$A$1, ROW()-1, V$1-1))</f>
        <v>0</v>
      </c>
      <c r="W324">
        <f ca="1">IF(ISNA(W$1), 0, OFFSET(data!$A$1, ROW()-1, W$1-1))</f>
        <v>-329.18894362200001</v>
      </c>
      <c r="X324">
        <f ca="1">IF(ISNA(X$1), 0, OFFSET(data!$A$1, ROW()-1, X$1-1))</f>
        <v>0</v>
      </c>
      <c r="Y324">
        <f ca="1">IF(ISNA(Y$1), 0, OFFSET(data!$A$1, ROW()-1, Y$1-1))</f>
        <v>332.00756896966197</v>
      </c>
      <c r="Z324">
        <f ca="1">IF(ISNA(Z$1), 0, OFFSET(data!$A$1, ROW()-1, Z$1-1))</f>
        <v>0</v>
      </c>
      <c r="AA324" t="str">
        <f ca="1">IF(ISNA(AA$1), #N/A, OFFSET(data!$A$1, ROW()-1, AA$1-1))</f>
        <v>peak</v>
      </c>
      <c r="AB324">
        <f t="shared" ca="1" si="57"/>
        <v>2030</v>
      </c>
      <c r="AC324">
        <f t="shared" ca="1" si="58"/>
        <v>4</v>
      </c>
      <c r="AD324" t="str">
        <f t="shared" ca="1" si="59"/>
        <v>04/09/2030</v>
      </c>
      <c r="AE324" t="str">
        <f t="shared" ca="1" si="60"/>
        <v/>
      </c>
      <c r="AF324" s="6">
        <f t="shared" ca="1" si="61"/>
        <v>0</v>
      </c>
      <c r="AG324">
        <f t="shared" ca="1" si="62"/>
        <v>768.1075351180001</v>
      </c>
      <c r="AH324">
        <f t="shared" ref="AH324:AH387" ca="1" si="63">MAX(S324,Y324)</f>
        <v>332.00756896966197</v>
      </c>
      <c r="AI324">
        <f t="shared" ref="AI324:AI387" ca="1" si="64">MAX(R324,V324)</f>
        <v>404.83335561331899</v>
      </c>
      <c r="AJ324">
        <f t="shared" ref="AJ324:AJ387" ca="1" si="65">K324+N324</f>
        <v>307.889234220003</v>
      </c>
      <c r="AK324">
        <f t="shared" ref="AK324:AK387" ca="1" si="66">L324+O324</f>
        <v>57.599999999999902</v>
      </c>
      <c r="AL324">
        <f t="shared" ref="AL324:AL387" ca="1" si="67">M324+P324</f>
        <v>79.792514254339096</v>
      </c>
    </row>
    <row r="325" spans="1:38" hidden="1">
      <c r="A325" t="str">
        <f ca="1">IF(ISNA(A$1), 0, OFFSET(data!$A$1, ROW()-1, A$1-1))</f>
        <v>Oahu</v>
      </c>
      <c r="B325">
        <f ca="1">IF(ISNA(B$1), 0, OFFSET(data!$A$1, ROW()-1, B$1-1))</f>
        <v>2030</v>
      </c>
      <c r="C325" t="str">
        <f ca="1">IF(ISNA(C$1), 0, OFFSET(data!$A$1, ROW()-1, C$1-1))</f>
        <v>2030-04-09-20:00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91.320499408714298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148.92049940871399</v>
      </c>
      <c r="R325">
        <f ca="1">IF(ISNA(R$1), 0, OFFSET(data!$A$1, ROW()-1, R$1-1))</f>
        <v>404.83335561331899</v>
      </c>
      <c r="S325">
        <f ca="1">IF(ISNA(S$1), 0, OFFSET(data!$A$1, ROW()-1, S$1-1))</f>
        <v>253.16764200796601</v>
      </c>
      <c r="T325">
        <f ca="1">IF(ISNA(T$1), 0, OFFSET(data!$A$1, ROW()-1, T$1-1))</f>
        <v>1009.8878529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-302.96635586999997</v>
      </c>
      <c r="X325">
        <f ca="1">IF(ISNA(X$1), 0, OFFSET(data!$A$1, ROW()-1, X$1-1))</f>
        <v>0</v>
      </c>
      <c r="Y325">
        <f ca="1">IF(ISNA(Y$1), 0, OFFSET(data!$A$1, ROW()-1, Y$1-1))</f>
        <v>100</v>
      </c>
      <c r="Z325">
        <f ca="1">IF(ISNA(Z$1), 0, OFFSET(data!$A$1, ROW()-1, Z$1-1))</f>
        <v>0</v>
      </c>
      <c r="AA325" t="str">
        <f ca="1">IF(ISNA(AA$1), #N/A, OFFSET(data!$A$1, ROW()-1, AA$1-1))</f>
        <v>peak</v>
      </c>
      <c r="AB325">
        <f t="shared" ca="1" si="57"/>
        <v>2030</v>
      </c>
      <c r="AC325">
        <f t="shared" ca="1" si="58"/>
        <v>4</v>
      </c>
      <c r="AD325" t="str">
        <f t="shared" ca="1" si="59"/>
        <v>04/09/2030</v>
      </c>
      <c r="AE325" t="str">
        <f t="shared" ca="1" si="60"/>
        <v/>
      </c>
      <c r="AF325" s="6">
        <f t="shared" ca="1" si="61"/>
        <v>0</v>
      </c>
      <c r="AG325">
        <f t="shared" ca="1" si="62"/>
        <v>706.92149702999995</v>
      </c>
      <c r="AH325">
        <f t="shared" ca="1" si="63"/>
        <v>253.16764200796601</v>
      </c>
      <c r="AI325">
        <f t="shared" ca="1" si="64"/>
        <v>404.83335561331899</v>
      </c>
      <c r="AJ325">
        <f t="shared" ca="1" si="65"/>
        <v>0</v>
      </c>
      <c r="AK325">
        <f t="shared" ca="1" si="66"/>
        <v>57.599999999999902</v>
      </c>
      <c r="AL325">
        <f t="shared" ca="1" si="67"/>
        <v>91.320499408714298</v>
      </c>
    </row>
    <row r="326" spans="1:38" hidden="1">
      <c r="A326" t="str">
        <f ca="1">IF(ISNA(A$1), 0, OFFSET(data!$A$1, ROW()-1, A$1-1))</f>
        <v>Oahu</v>
      </c>
      <c r="B326">
        <f ca="1">IF(ISNA(B$1), 0, OFFSET(data!$A$1, ROW()-1, B$1-1))</f>
        <v>2030</v>
      </c>
      <c r="C326" t="str">
        <f ca="1">IF(ISNA(C$1), 0, OFFSET(data!$A$1, ROW()-1, C$1-1))</f>
        <v>2030-04-09-22:00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102.96010317721399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160.56010317721399</v>
      </c>
      <c r="R326">
        <f ca="1">IF(ISNA(R$1), 0, OFFSET(data!$A$1, ROW()-1, R$1-1))</f>
        <v>404.83335561331899</v>
      </c>
      <c r="S326">
        <f ca="1">IF(ISNA(S$1), 0, OFFSET(data!$A$1, ROW()-1, S$1-1))</f>
        <v>250</v>
      </c>
      <c r="T326">
        <f ca="1">IF(ISNA(T$1), 0, OFFSET(data!$A$1, ROW()-1, T$1-1))</f>
        <v>699.50131575499995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-209.85039472649899</v>
      </c>
      <c r="X326">
        <f ca="1">IF(ISNA(X$1), 0, OFFSET(data!$A$1, ROW()-1, X$1-1))</f>
        <v>0</v>
      </c>
      <c r="Y326">
        <f ca="1">IF(ISNA(Y$1), 0, OFFSET(data!$A$1, ROW()-1, Y$1-1))</f>
        <v>325.74253776203301</v>
      </c>
      <c r="Z326">
        <f ca="1">IF(ISNA(Z$1), 0, OFFSET(data!$A$1, ROW()-1, Z$1-1))</f>
        <v>0</v>
      </c>
      <c r="AA326" t="str">
        <f ca="1">IF(ISNA(AA$1), #N/A, OFFSET(data!$A$1, ROW()-1, AA$1-1))</f>
        <v>peak</v>
      </c>
      <c r="AB326">
        <f t="shared" ca="1" si="57"/>
        <v>2030</v>
      </c>
      <c r="AC326">
        <f t="shared" ca="1" si="58"/>
        <v>4</v>
      </c>
      <c r="AD326" t="str">
        <f t="shared" ca="1" si="59"/>
        <v>04/09/2030</v>
      </c>
      <c r="AE326" t="str">
        <f t="shared" ca="1" si="60"/>
        <v/>
      </c>
      <c r="AF326" s="6">
        <f t="shared" ca="1" si="61"/>
        <v>0</v>
      </c>
      <c r="AG326">
        <f t="shared" ca="1" si="62"/>
        <v>489.65092102850099</v>
      </c>
      <c r="AH326">
        <f t="shared" ca="1" si="63"/>
        <v>325.74253776203301</v>
      </c>
      <c r="AI326">
        <f t="shared" ca="1" si="64"/>
        <v>404.83335561331899</v>
      </c>
      <c r="AJ326">
        <f t="shared" ca="1" si="65"/>
        <v>0</v>
      </c>
      <c r="AK326">
        <f t="shared" ca="1" si="66"/>
        <v>57.599999999999902</v>
      </c>
      <c r="AL326">
        <f t="shared" ca="1" si="67"/>
        <v>102.96010317721399</v>
      </c>
    </row>
    <row r="327" spans="1:38" hidden="1">
      <c r="A327" t="str">
        <f ca="1">IF(ISNA(A$1), 0, OFFSET(data!$A$1, ROW()-1, A$1-1))</f>
        <v>Oahu</v>
      </c>
      <c r="B327">
        <f ca="1">IF(ISNA(B$1), 0, OFFSET(data!$A$1, ROW()-1, B$1-1))</f>
        <v>2030</v>
      </c>
      <c r="C327" t="str">
        <f ca="1">IF(ISNA(C$1), 0, OFFSET(data!$A$1, ROW()-1, C$1-1))</f>
        <v>2030-04-17-00:00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0.104695127808039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57.704695127808002</v>
      </c>
      <c r="R327">
        <f ca="1">IF(ISNA(R$1), 0, OFFSET(data!$A$1, ROW()-1, R$1-1))</f>
        <v>44.025238548991901</v>
      </c>
      <c r="S327">
        <f ca="1">IF(ISNA(S$1), 0, OFFSET(data!$A$1, ROW()-1, S$1-1))</f>
        <v>250</v>
      </c>
      <c r="T327">
        <f ca="1">IF(ISNA(T$1), 0, OFFSET(data!$A$1, ROW()-1, T$1-1))</f>
        <v>502.471333824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-150.74140014719899</v>
      </c>
      <c r="X327">
        <f ca="1">IF(ISNA(X$1), 0, OFFSET(data!$A$1, ROW()-1, X$1-1))</f>
        <v>0</v>
      </c>
      <c r="Y327">
        <f ca="1">IF(ISNA(Y$1), 0, OFFSET(data!$A$1, ROW()-1, Y$1-1))</f>
        <v>0</v>
      </c>
      <c r="Z327">
        <f ca="1">IF(ISNA(Z$1), 0, OFFSET(data!$A$1, ROW()-1, Z$1-1))</f>
        <v>66.651367690388199</v>
      </c>
      <c r="AA327" t="str">
        <f ca="1">IF(ISNA(AA$1), #N/A, OFFSET(data!$A$1, ROW()-1, AA$1-1))</f>
        <v>typical</v>
      </c>
      <c r="AB327">
        <f t="shared" ca="1" si="57"/>
        <v>2030</v>
      </c>
      <c r="AC327">
        <f t="shared" ca="1" si="58"/>
        <v>4</v>
      </c>
      <c r="AD327" t="str">
        <f t="shared" ca="1" si="59"/>
        <v>04/17/2030</v>
      </c>
      <c r="AE327" t="str">
        <f t="shared" ca="1" si="60"/>
        <v/>
      </c>
      <c r="AF327" s="6">
        <f t="shared" ca="1" si="61"/>
        <v>6.6651367690388194E-2</v>
      </c>
      <c r="AG327">
        <f t="shared" ca="1" si="62"/>
        <v>351.72993367680101</v>
      </c>
      <c r="AH327">
        <f t="shared" ca="1" si="63"/>
        <v>250</v>
      </c>
      <c r="AI327">
        <f t="shared" ca="1" si="64"/>
        <v>44.025238548991901</v>
      </c>
      <c r="AJ327">
        <f t="shared" ca="1" si="65"/>
        <v>0</v>
      </c>
      <c r="AK327">
        <f t="shared" ca="1" si="66"/>
        <v>57.599999999999902</v>
      </c>
      <c r="AL327">
        <f t="shared" ca="1" si="67"/>
        <v>0.104695127808039</v>
      </c>
    </row>
    <row r="328" spans="1:38" hidden="1">
      <c r="A328" t="str">
        <f ca="1">IF(ISNA(A$1), 0, OFFSET(data!$A$1, ROW()-1, A$1-1))</f>
        <v>Oahu</v>
      </c>
      <c r="B328">
        <f ca="1">IF(ISNA(B$1), 0, OFFSET(data!$A$1, ROW()-1, B$1-1))</f>
        <v>2030</v>
      </c>
      <c r="C328" t="str">
        <f ca="1">IF(ISNA(C$1), 0, OFFSET(data!$A$1, ROW()-1, C$1-1))</f>
        <v>2030-04-17-02:00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5.7354977915156799E-2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57.657354977915098</v>
      </c>
      <c r="R328">
        <f ca="1">IF(ISNA(R$1), 0, OFFSET(data!$A$1, ROW()-1, R$1-1))</f>
        <v>250.36456717548401</v>
      </c>
      <c r="S328">
        <f ca="1">IF(ISNA(S$1), 0, OFFSET(data!$A$1, ROW()-1, S$1-1))</f>
        <v>0</v>
      </c>
      <c r="T328">
        <f ca="1">IF(ISNA(T$1), 0, OFFSET(data!$A$1, ROW()-1, T$1-1))</f>
        <v>440.03131736199998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-132.00939520859899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66.651367690388199</v>
      </c>
      <c r="AA328" t="str">
        <f ca="1">IF(ISNA(AA$1), #N/A, OFFSET(data!$A$1, ROW()-1, AA$1-1))</f>
        <v>typical</v>
      </c>
      <c r="AB328">
        <f t="shared" ca="1" si="57"/>
        <v>2030</v>
      </c>
      <c r="AC328">
        <f t="shared" ca="1" si="58"/>
        <v>4</v>
      </c>
      <c r="AD328" t="str">
        <f t="shared" ca="1" si="59"/>
        <v>04/17/2030</v>
      </c>
      <c r="AE328" t="str">
        <f t="shared" ca="1" si="60"/>
        <v/>
      </c>
      <c r="AF328" s="6">
        <f t="shared" ca="1" si="61"/>
        <v>6.6651367690388194E-2</v>
      </c>
      <c r="AG328">
        <f t="shared" ca="1" si="62"/>
        <v>308.02192215340096</v>
      </c>
      <c r="AH328">
        <f t="shared" ca="1" si="63"/>
        <v>0</v>
      </c>
      <c r="AI328">
        <f t="shared" ca="1" si="64"/>
        <v>250.36456717548401</v>
      </c>
      <c r="AJ328">
        <f t="shared" ca="1" si="65"/>
        <v>0</v>
      </c>
      <c r="AK328">
        <f t="shared" ca="1" si="66"/>
        <v>57.599999999999902</v>
      </c>
      <c r="AL328">
        <f t="shared" ca="1" si="67"/>
        <v>5.7354977915156799E-2</v>
      </c>
    </row>
    <row r="329" spans="1:38" hidden="1">
      <c r="A329" t="str">
        <f ca="1">IF(ISNA(A$1), 0, OFFSET(data!$A$1, ROW()-1, A$1-1))</f>
        <v>Oahu</v>
      </c>
      <c r="B329">
        <f ca="1">IF(ISNA(B$1), 0, OFFSET(data!$A$1, ROW()-1, B$1-1))</f>
        <v>2030</v>
      </c>
      <c r="C329" t="str">
        <f ca="1">IF(ISNA(C$1), 0, OFFSET(data!$A$1, ROW()-1, C$1-1))</f>
        <v>2030-04-17-04:00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0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57.599999999999902</v>
      </c>
      <c r="R329">
        <f ca="1">IF(ISNA(R$1), 0, OFFSET(data!$A$1, ROW()-1, R$1-1))</f>
        <v>0</v>
      </c>
      <c r="S329">
        <f ca="1">IF(ISNA(S$1), 0, OFFSET(data!$A$1, ROW()-1, S$1-1))</f>
        <v>312.17289484380001</v>
      </c>
      <c r="T329">
        <f ca="1">IF(ISNA(T$1), 0, OFFSET(data!$A$1, ROW()-1, T$1-1))</f>
        <v>528.24699263399998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-158.47409779019901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66.651367690388199</v>
      </c>
      <c r="AA329" t="str">
        <f ca="1">IF(ISNA(AA$1), #N/A, OFFSET(data!$A$1, ROW()-1, AA$1-1))</f>
        <v>typical</v>
      </c>
      <c r="AB329">
        <f t="shared" ca="1" si="57"/>
        <v>2030</v>
      </c>
      <c r="AC329">
        <f t="shared" ca="1" si="58"/>
        <v>4</v>
      </c>
      <c r="AD329" t="str">
        <f t="shared" ca="1" si="59"/>
        <v>04/17/2030</v>
      </c>
      <c r="AE329" t="str">
        <f t="shared" ca="1" si="60"/>
        <v/>
      </c>
      <c r="AF329" s="6">
        <f t="shared" ca="1" si="61"/>
        <v>6.6651367690388194E-2</v>
      </c>
      <c r="AG329">
        <f t="shared" ca="1" si="62"/>
        <v>369.77289484380094</v>
      </c>
      <c r="AH329">
        <f t="shared" ca="1" si="63"/>
        <v>312.17289484380001</v>
      </c>
      <c r="AI329">
        <f t="shared" ca="1" si="64"/>
        <v>0</v>
      </c>
      <c r="AJ329">
        <f t="shared" ca="1" si="65"/>
        <v>0</v>
      </c>
      <c r="AK329">
        <f t="shared" ca="1" si="66"/>
        <v>57.599999999999902</v>
      </c>
      <c r="AL329">
        <f t="shared" ca="1" si="67"/>
        <v>0</v>
      </c>
    </row>
    <row r="330" spans="1:38" hidden="1">
      <c r="A330" t="str">
        <f ca="1">IF(ISNA(A$1), 0, OFFSET(data!$A$1, ROW()-1, A$1-1))</f>
        <v>Oahu</v>
      </c>
      <c r="B330">
        <f ca="1">IF(ISNA(B$1), 0, OFFSET(data!$A$1, ROW()-1, B$1-1))</f>
        <v>2030</v>
      </c>
      <c r="C330" t="str">
        <f ca="1">IF(ISNA(C$1), 0, OFFSET(data!$A$1, ROW()-1, C$1-1))</f>
        <v>2030-04-17-06:00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155.042266769082</v>
      </c>
      <c r="L330">
        <f ca="1">IF(ISNA(L$1), 0, OFFSET(data!$A$1, ROW()-1, L$1-1))</f>
        <v>57.599999999999902</v>
      </c>
      <c r="M330">
        <f ca="1">IF(ISNA(M$1), 0, OFFSET(data!$A$1, ROW()-1, M$1-1))</f>
        <v>5.5862458347292003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218.22851260381199</v>
      </c>
      <c r="R330">
        <f ca="1">IF(ISNA(R$1), 0, OFFSET(data!$A$1, ROW()-1, R$1-1))</f>
        <v>226.88545637648801</v>
      </c>
      <c r="S330">
        <f ca="1">IF(ISNA(S$1), 0, OFFSET(data!$A$1, ROW()-1, S$1-1))</f>
        <v>150</v>
      </c>
      <c r="T330">
        <f ca="1">IF(ISNA(T$1), 0, OFFSET(data!$A$1, ROW()-1, T$1-1))</f>
        <v>850.16281282900002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-255.04884384869999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66.651367690388199</v>
      </c>
      <c r="AA330" t="str">
        <f ca="1">IF(ISNA(AA$1), #N/A, OFFSET(data!$A$1, ROW()-1, AA$1-1))</f>
        <v>typical</v>
      </c>
      <c r="AB330">
        <f t="shared" ca="1" si="57"/>
        <v>2030</v>
      </c>
      <c r="AC330">
        <f t="shared" ca="1" si="58"/>
        <v>4</v>
      </c>
      <c r="AD330" t="str">
        <f t="shared" ca="1" si="59"/>
        <v>04/17/2030</v>
      </c>
      <c r="AE330" t="str">
        <f t="shared" ca="1" si="60"/>
        <v/>
      </c>
      <c r="AF330" s="6">
        <f t="shared" ca="1" si="61"/>
        <v>6.6651367690388194E-2</v>
      </c>
      <c r="AG330">
        <f t="shared" ca="1" si="62"/>
        <v>595.1139689803</v>
      </c>
      <c r="AH330">
        <f t="shared" ca="1" si="63"/>
        <v>150</v>
      </c>
      <c r="AI330">
        <f t="shared" ca="1" si="64"/>
        <v>226.88545637648801</v>
      </c>
      <c r="AJ330">
        <f t="shared" ca="1" si="65"/>
        <v>155.042266769082</v>
      </c>
      <c r="AK330">
        <f t="shared" ca="1" si="66"/>
        <v>57.599999999999902</v>
      </c>
      <c r="AL330">
        <f t="shared" ca="1" si="67"/>
        <v>5.5862458347292003</v>
      </c>
    </row>
    <row r="331" spans="1:38" hidden="1">
      <c r="A331" t="str">
        <f ca="1">IF(ISNA(A$1), 0, OFFSET(data!$A$1, ROW()-1, A$1-1))</f>
        <v>Oahu</v>
      </c>
      <c r="B331">
        <f ca="1">IF(ISNA(B$1), 0, OFFSET(data!$A$1, ROW()-1, B$1-1))</f>
        <v>2030</v>
      </c>
      <c r="C331" t="str">
        <f ca="1">IF(ISNA(C$1), 0, OFFSET(data!$A$1, ROW()-1, C$1-1))</f>
        <v>2030-04-17-08:00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2039.1764247645101</v>
      </c>
      <c r="L331">
        <f ca="1">IF(ISNA(L$1), 0, OFFSET(data!$A$1, ROW()-1, L$1-1))</f>
        <v>0</v>
      </c>
      <c r="M331">
        <f ca="1">IF(ISNA(M$1), 0, OFFSET(data!$A$1, ROW()-1, M$1-1))</f>
        <v>0.232695869043234</v>
      </c>
      <c r="N331">
        <f ca="1">IF(ISNA(N$1), 0, OFFSET(data!$A$1, ROW()-1, N$1-1))</f>
        <v>663.77626779212301</v>
      </c>
      <c r="O331">
        <f ca="1">IF(ISNA(O$1), 0, OFFSET(data!$A$1, ROW()-1, O$1-1))</f>
        <v>57.599999999999902</v>
      </c>
      <c r="P331">
        <f ca="1">IF(ISNA(P$1), 0, OFFSET(data!$A$1, ROW()-1, P$1-1))</f>
        <v>2.3682492618182401E-2</v>
      </c>
      <c r="Q331">
        <f ca="1">IF(ISNA(Q$1), 0, OFFSET(data!$A$1, ROW()-1, Q$1-1))</f>
        <v>2039.4091206335499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971.94554257100003</v>
      </c>
      <c r="U331">
        <f ca="1">IF(ISNA(U$1), 0, OFFSET(data!$A$1, ROW()-1, U$1-1))</f>
        <v>0</v>
      </c>
      <c r="V331">
        <f ca="1">IF(ISNA(V$1), 0, OFFSET(data!$A$1, ROW()-1, V$1-1))</f>
        <v>0</v>
      </c>
      <c r="W331">
        <f ca="1">IF(ISNA(W$1), 0, OFFSET(data!$A$1, ROW()-1, W$1-1))</f>
        <v>717.46357806255901</v>
      </c>
      <c r="X331">
        <f ca="1">IF(ISNA(X$1), 0, OFFSET(data!$A$1, ROW()-1, X$1-1))</f>
        <v>0</v>
      </c>
      <c r="Y331">
        <f ca="1">IF(ISNA(Y$1), 0, OFFSET(data!$A$1, ROW()-1, Y$1-1))</f>
        <v>350</v>
      </c>
      <c r="Z331">
        <f ca="1">IF(ISNA(Z$1), 0, OFFSET(data!$A$1, ROW()-1, Z$1-1))</f>
        <v>-17.351541565542099</v>
      </c>
      <c r="AA331" t="str">
        <f ca="1">IF(ISNA(AA$1), #N/A, OFFSET(data!$A$1, ROW()-1, AA$1-1))</f>
        <v>typical</v>
      </c>
      <c r="AB331">
        <f t="shared" ca="1" si="57"/>
        <v>2030</v>
      </c>
      <c r="AC331">
        <f t="shared" ca="1" si="58"/>
        <v>4</v>
      </c>
      <c r="AD331" t="str">
        <f t="shared" ca="1" si="59"/>
        <v>04/17/2030</v>
      </c>
      <c r="AE331" t="str">
        <f t="shared" ca="1" si="60"/>
        <v/>
      </c>
      <c r="AF331" s="6">
        <f t="shared" ca="1" si="61"/>
        <v>-1.7351541565542101E-2</v>
      </c>
      <c r="AG331">
        <f t="shared" ca="1" si="62"/>
        <v>1689.409120633559</v>
      </c>
      <c r="AH331">
        <f t="shared" ca="1" si="63"/>
        <v>350</v>
      </c>
      <c r="AI331">
        <f t="shared" ca="1" si="64"/>
        <v>0</v>
      </c>
      <c r="AJ331">
        <f t="shared" ca="1" si="65"/>
        <v>2702.9526925566333</v>
      </c>
      <c r="AK331">
        <f t="shared" ca="1" si="66"/>
        <v>57.599999999999902</v>
      </c>
      <c r="AL331">
        <f t="shared" ca="1" si="67"/>
        <v>0.25637836166141642</v>
      </c>
    </row>
    <row r="332" spans="1:38" hidden="1">
      <c r="A332" t="str">
        <f ca="1">IF(ISNA(A$1), 0, OFFSET(data!$A$1, ROW()-1, A$1-1))</f>
        <v>Oahu</v>
      </c>
      <c r="B332">
        <f ca="1">IF(ISNA(B$1), 0, OFFSET(data!$A$1, ROW()-1, B$1-1))</f>
        <v>2030</v>
      </c>
      <c r="C332" t="str">
        <f ca="1">IF(ISNA(C$1), 0, OFFSET(data!$A$1, ROW()-1, C$1-1))</f>
        <v>2030-04-17-10:00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2387.0006426136702</v>
      </c>
      <c r="L332">
        <f ca="1">IF(ISNA(L$1), 0, OFFSET(data!$A$1, ROW()-1, L$1-1))</f>
        <v>0</v>
      </c>
      <c r="M332">
        <f ca="1">IF(ISNA(M$1), 0, OFFSET(data!$A$1, ROW()-1, M$1-1))</f>
        <v>1.11535964420777</v>
      </c>
      <c r="N332">
        <f ca="1">IF(ISNA(N$1), 0, OFFSET(data!$A$1, ROW()-1, N$1-1))</f>
        <v>207.75277174508901</v>
      </c>
      <c r="O332">
        <f ca="1">IF(ISNA(O$1), 0, OFFSET(data!$A$1, ROW()-1, O$1-1))</f>
        <v>57.599999999999902</v>
      </c>
      <c r="P332">
        <f ca="1">IF(ISNA(P$1), 0, OFFSET(data!$A$1, ROW()-1, P$1-1))</f>
        <v>0</v>
      </c>
      <c r="Q332">
        <f ca="1">IF(ISNA(Q$1), 0, OFFSET(data!$A$1, ROW()-1, Q$1-1))</f>
        <v>2388.1160022578802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1029.2960378</v>
      </c>
      <c r="U332">
        <f ca="1">IF(ISNA(U$1), 0, OFFSET(data!$A$1, ROW()-1, U$1-1))</f>
        <v>0</v>
      </c>
      <c r="V332">
        <f ca="1">IF(ISNA(V$1), 0, OFFSET(data!$A$1, ROW()-1, V$1-1))</f>
        <v>404.83335561331899</v>
      </c>
      <c r="W332">
        <f ca="1">IF(ISNA(W$1), 0, OFFSET(data!$A$1, ROW()-1, W$1-1))</f>
        <v>603.98660884456399</v>
      </c>
      <c r="X332">
        <f ca="1">IF(ISNA(X$1), 0, OFFSET(data!$A$1, ROW()-1, X$1-1))</f>
        <v>0</v>
      </c>
      <c r="Y332">
        <f ca="1">IF(ISNA(Y$1), 0, OFFSET(data!$A$1, ROW()-1, Y$1-1))</f>
        <v>350</v>
      </c>
      <c r="Z332">
        <f ca="1">IF(ISNA(Z$1), 0, OFFSET(data!$A$1, ROW()-1, Z$1-1))</f>
        <v>-17.351541565542099</v>
      </c>
      <c r="AA332" t="str">
        <f ca="1">IF(ISNA(AA$1), #N/A, OFFSET(data!$A$1, ROW()-1, AA$1-1))</f>
        <v>typical</v>
      </c>
      <c r="AB332">
        <f t="shared" ca="1" si="57"/>
        <v>2030</v>
      </c>
      <c r="AC332">
        <f t="shared" ca="1" si="58"/>
        <v>4</v>
      </c>
      <c r="AD332" t="str">
        <f t="shared" ca="1" si="59"/>
        <v>04/17/2030</v>
      </c>
      <c r="AE332" t="str">
        <f t="shared" ca="1" si="60"/>
        <v/>
      </c>
      <c r="AF332" s="6">
        <f t="shared" ca="1" si="61"/>
        <v>-1.7351541565542101E-2</v>
      </c>
      <c r="AG332">
        <f t="shared" ca="1" si="62"/>
        <v>1633.282646644564</v>
      </c>
      <c r="AH332">
        <f t="shared" ca="1" si="63"/>
        <v>350</v>
      </c>
      <c r="AI332">
        <f t="shared" ca="1" si="64"/>
        <v>404.83335561331899</v>
      </c>
      <c r="AJ332">
        <f t="shared" ca="1" si="65"/>
        <v>2594.7534143587591</v>
      </c>
      <c r="AK332">
        <f t="shared" ca="1" si="66"/>
        <v>57.599999999999902</v>
      </c>
      <c r="AL332">
        <f t="shared" ca="1" si="67"/>
        <v>1.11535964420777</v>
      </c>
    </row>
    <row r="333" spans="1:38" hidden="1">
      <c r="A333" t="str">
        <f ca="1">IF(ISNA(A$1), 0, OFFSET(data!$A$1, ROW()-1, A$1-1))</f>
        <v>Oahu</v>
      </c>
      <c r="B333">
        <f ca="1">IF(ISNA(B$1), 0, OFFSET(data!$A$1, ROW()-1, B$1-1))</f>
        <v>2030</v>
      </c>
      <c r="C333" t="str">
        <f ca="1">IF(ISNA(C$1), 0, OFFSET(data!$A$1, ROW()-1, C$1-1))</f>
        <v>2030-04-17-12:00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2200.44781884344</v>
      </c>
      <c r="L333">
        <f ca="1">IF(ISNA(L$1), 0, OFFSET(data!$A$1, ROW()-1, L$1-1))</f>
        <v>0</v>
      </c>
      <c r="M333">
        <f ca="1">IF(ISNA(M$1), 0, OFFSET(data!$A$1, ROW()-1, M$1-1))</f>
        <v>1.9216447696550301</v>
      </c>
      <c r="N333">
        <f ca="1">IF(ISNA(N$1), 0, OFFSET(data!$A$1, ROW()-1, N$1-1))</f>
        <v>232.34719338171101</v>
      </c>
      <c r="O333">
        <f ca="1">IF(ISNA(O$1), 0, OFFSET(data!$A$1, ROW()-1, O$1-1))</f>
        <v>57.599999999999902</v>
      </c>
      <c r="P333">
        <f ca="1">IF(ISNA(P$1), 0, OFFSET(data!$A$1, ROW()-1, P$1-1))</f>
        <v>0.82098442489217605</v>
      </c>
      <c r="Q333">
        <f ca="1">IF(ISNA(Q$1), 0, OFFSET(data!$A$1, ROW()-1, Q$1-1))</f>
        <v>2202.3694636130999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1048.7811479699999</v>
      </c>
      <c r="U333">
        <f ca="1">IF(ISNA(U$1), 0, OFFSET(data!$A$1, ROW()-1, U$1-1))</f>
        <v>0</v>
      </c>
      <c r="V333">
        <f ca="1">IF(ISNA(V$1), 0, OFFSET(data!$A$1, ROW()-1, V$1-1))</f>
        <v>404.83335561331899</v>
      </c>
      <c r="W333">
        <f ca="1">IF(ISNA(W$1), 0, OFFSET(data!$A$1, ROW()-1, W$1-1))</f>
        <v>398.75496002978002</v>
      </c>
      <c r="X333">
        <f ca="1">IF(ISNA(X$1), 0, OFFSET(data!$A$1, ROW()-1, X$1-1))</f>
        <v>0</v>
      </c>
      <c r="Y333">
        <f ca="1">IF(ISNA(Y$1), 0, OFFSET(data!$A$1, ROW()-1, Y$1-1))</f>
        <v>350</v>
      </c>
      <c r="Z333">
        <f ca="1">IF(ISNA(Z$1), 0, OFFSET(data!$A$1, ROW()-1, Z$1-1))</f>
        <v>-17.351541565542099</v>
      </c>
      <c r="AA333" t="str">
        <f ca="1">IF(ISNA(AA$1), #N/A, OFFSET(data!$A$1, ROW()-1, AA$1-1))</f>
        <v>typical</v>
      </c>
      <c r="AB333">
        <f t="shared" ca="1" si="57"/>
        <v>2030</v>
      </c>
      <c r="AC333">
        <f t="shared" ca="1" si="58"/>
        <v>4</v>
      </c>
      <c r="AD333" t="str">
        <f t="shared" ca="1" si="59"/>
        <v>04/17/2030</v>
      </c>
      <c r="AE333" t="str">
        <f t="shared" ca="1" si="60"/>
        <v>04/17/2030</v>
      </c>
      <c r="AF333" s="6">
        <f t="shared" ca="1" si="61"/>
        <v>-1.7351541565542101E-2</v>
      </c>
      <c r="AG333">
        <f t="shared" ca="1" si="62"/>
        <v>1447.5361079997799</v>
      </c>
      <c r="AH333">
        <f t="shared" ca="1" si="63"/>
        <v>350</v>
      </c>
      <c r="AI333">
        <f t="shared" ca="1" si="64"/>
        <v>404.83335561331899</v>
      </c>
      <c r="AJ333">
        <f t="shared" ca="1" si="65"/>
        <v>2432.7950122251509</v>
      </c>
      <c r="AK333">
        <f t="shared" ca="1" si="66"/>
        <v>57.599999999999902</v>
      </c>
      <c r="AL333">
        <f t="shared" ca="1" si="67"/>
        <v>2.7426291945472059</v>
      </c>
    </row>
    <row r="334" spans="1:38" hidden="1">
      <c r="A334" t="str">
        <f ca="1">IF(ISNA(A$1), 0, OFFSET(data!$A$1, ROW()-1, A$1-1))</f>
        <v>Oahu</v>
      </c>
      <c r="B334">
        <f ca="1">IF(ISNA(B$1), 0, OFFSET(data!$A$1, ROW()-1, B$1-1))</f>
        <v>2030</v>
      </c>
      <c r="C334" t="str">
        <f ca="1">IF(ISNA(C$1), 0, OFFSET(data!$A$1, ROW()-1, C$1-1))</f>
        <v>2030-04-17-14:00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1762.3653609349201</v>
      </c>
      <c r="L334">
        <f ca="1">IF(ISNA(L$1), 0, OFFSET(data!$A$1, ROW()-1, L$1-1))</f>
        <v>0</v>
      </c>
      <c r="M334">
        <f ca="1">IF(ISNA(M$1), 0, OFFSET(data!$A$1, ROW()-1, M$1-1))</f>
        <v>2.38469977468259</v>
      </c>
      <c r="N334">
        <f ca="1">IF(ISNA(N$1), 0, OFFSET(data!$A$1, ROW()-1, N$1-1))</f>
        <v>221.48218168359901</v>
      </c>
      <c r="O334">
        <f ca="1">IF(ISNA(O$1), 0, OFFSET(data!$A$1, ROW()-1, O$1-1))</f>
        <v>57.599999999999902</v>
      </c>
      <c r="P334">
        <f ca="1">IF(ISNA(P$1), 0, OFFSET(data!$A$1, ROW()-1, P$1-1))</f>
        <v>0.71174935810137197</v>
      </c>
      <c r="Q334">
        <f ca="1">IF(ISNA(Q$1), 0, OFFSET(data!$A$1, ROW()-1, Q$1-1))</f>
        <v>1764.7500607095999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1060.2294268099999</v>
      </c>
      <c r="U334">
        <f ca="1">IF(ISNA(U$1), 0, OFFSET(data!$A$1, ROW()-1, U$1-1))</f>
        <v>0</v>
      </c>
      <c r="V334">
        <f ca="1">IF(ISNA(V$1), 0, OFFSET(data!$A$1, ROW()-1, V$1-1))</f>
        <v>370.66555316005002</v>
      </c>
      <c r="W334">
        <f ca="1">IF(ISNA(W$1), 0, OFFSET(data!$A$1, ROW()-1, W$1-1))</f>
        <v>-16.144919260442201</v>
      </c>
      <c r="X334">
        <f ca="1">IF(ISNA(X$1), 0, OFFSET(data!$A$1, ROW()-1, X$1-1))</f>
        <v>0</v>
      </c>
      <c r="Y334">
        <f ca="1">IF(ISNA(Y$1), 0, OFFSET(data!$A$1, ROW()-1, Y$1-1))</f>
        <v>350</v>
      </c>
      <c r="Z334">
        <f ca="1">IF(ISNA(Z$1), 0, OFFSET(data!$A$1, ROW()-1, Z$1-1))</f>
        <v>-17.351541565542099</v>
      </c>
      <c r="AA334" t="str">
        <f ca="1">IF(ISNA(AA$1), #N/A, OFFSET(data!$A$1, ROW()-1, AA$1-1))</f>
        <v>typical</v>
      </c>
      <c r="AB334">
        <f t="shared" ca="1" si="57"/>
        <v>2030</v>
      </c>
      <c r="AC334">
        <f t="shared" ca="1" si="58"/>
        <v>4</v>
      </c>
      <c r="AD334" t="str">
        <f t="shared" ca="1" si="59"/>
        <v>04/17/2030</v>
      </c>
      <c r="AE334" t="str">
        <f t="shared" ca="1" si="60"/>
        <v/>
      </c>
      <c r="AF334" s="6">
        <f t="shared" ca="1" si="61"/>
        <v>-1.7351541565542101E-2</v>
      </c>
      <c r="AG334">
        <f t="shared" ca="1" si="62"/>
        <v>1044.0845075495577</v>
      </c>
      <c r="AH334">
        <f t="shared" ca="1" si="63"/>
        <v>350</v>
      </c>
      <c r="AI334">
        <f t="shared" ca="1" si="64"/>
        <v>370.66555316005002</v>
      </c>
      <c r="AJ334">
        <f t="shared" ca="1" si="65"/>
        <v>1983.8475426185191</v>
      </c>
      <c r="AK334">
        <f t="shared" ca="1" si="66"/>
        <v>57.599999999999902</v>
      </c>
      <c r="AL334">
        <f t="shared" ca="1" si="67"/>
        <v>3.0964491327839618</v>
      </c>
    </row>
    <row r="335" spans="1:38" hidden="1">
      <c r="A335" t="str">
        <f ca="1">IF(ISNA(A$1), 0, OFFSET(data!$A$1, ROW()-1, A$1-1))</f>
        <v>Oahu</v>
      </c>
      <c r="B335">
        <f ca="1">IF(ISNA(B$1), 0, OFFSET(data!$A$1, ROW()-1, B$1-1))</f>
        <v>2030</v>
      </c>
      <c r="C335" t="str">
        <f ca="1">IF(ISNA(C$1), 0, OFFSET(data!$A$1, ROW()-1, C$1-1))</f>
        <v>2030-04-17-16:00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1614.2310639406101</v>
      </c>
      <c r="L335">
        <f ca="1">IF(ISNA(L$1), 0, OFFSET(data!$A$1, ROW()-1, L$1-1))</f>
        <v>0</v>
      </c>
      <c r="M335">
        <f ca="1">IF(ISNA(M$1), 0, OFFSET(data!$A$1, ROW()-1, M$1-1))</f>
        <v>0.70184992264101598</v>
      </c>
      <c r="N335">
        <f ca="1">IF(ISNA(N$1), 0, OFFSET(data!$A$1, ROW()-1, N$1-1))</f>
        <v>232.334220433387</v>
      </c>
      <c r="O335">
        <f ca="1">IF(ISNA(O$1), 0, OFFSET(data!$A$1, ROW()-1, O$1-1))</f>
        <v>57.599999999999902</v>
      </c>
      <c r="P335">
        <f ca="1">IF(ISNA(P$1), 0, OFFSET(data!$A$1, ROW()-1, P$1-1))</f>
        <v>0</v>
      </c>
      <c r="Q335">
        <f ca="1">IF(ISNA(Q$1), 0, OFFSET(data!$A$1, ROW()-1, Q$1-1))</f>
        <v>1614.93291386325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1029.80090071</v>
      </c>
      <c r="U335">
        <f ca="1">IF(ISNA(U$1), 0, OFFSET(data!$A$1, ROW()-1, U$1-1))</f>
        <v>0</v>
      </c>
      <c r="V335">
        <f ca="1">IF(ISNA(V$1), 0, OFFSET(data!$A$1, ROW()-1, V$1-1))</f>
        <v>404.83335561331899</v>
      </c>
      <c r="W335">
        <f ca="1">IF(ISNA(W$1), 0, OFFSET(data!$A$1, ROW()-1, W$1-1))</f>
        <v>-169.70134246006199</v>
      </c>
      <c r="X335">
        <f ca="1">IF(ISNA(X$1), 0, OFFSET(data!$A$1, ROW()-1, X$1-1))</f>
        <v>0</v>
      </c>
      <c r="Y335">
        <f ca="1">IF(ISNA(Y$1), 0, OFFSET(data!$A$1, ROW()-1, Y$1-1))</f>
        <v>350</v>
      </c>
      <c r="Z335">
        <f ca="1">IF(ISNA(Z$1), 0, OFFSET(data!$A$1, ROW()-1, Z$1-1))</f>
        <v>-17.351541565542099</v>
      </c>
      <c r="AA335" t="str">
        <f ca="1">IF(ISNA(AA$1), #N/A, OFFSET(data!$A$1, ROW()-1, AA$1-1))</f>
        <v>typical</v>
      </c>
      <c r="AB335">
        <f t="shared" ca="1" si="57"/>
        <v>2030</v>
      </c>
      <c r="AC335">
        <f t="shared" ca="1" si="58"/>
        <v>4</v>
      </c>
      <c r="AD335" t="str">
        <f t="shared" ca="1" si="59"/>
        <v>04/17/2030</v>
      </c>
      <c r="AE335" t="str">
        <f t="shared" ca="1" si="60"/>
        <v/>
      </c>
      <c r="AF335" s="6">
        <f t="shared" ca="1" si="61"/>
        <v>-1.7351541565542101E-2</v>
      </c>
      <c r="AG335">
        <f t="shared" ca="1" si="62"/>
        <v>860.0995582499379</v>
      </c>
      <c r="AH335">
        <f t="shared" ca="1" si="63"/>
        <v>350</v>
      </c>
      <c r="AI335">
        <f t="shared" ca="1" si="64"/>
        <v>404.83335561331899</v>
      </c>
      <c r="AJ335">
        <f t="shared" ca="1" si="65"/>
        <v>1846.565284373997</v>
      </c>
      <c r="AK335">
        <f t="shared" ca="1" si="66"/>
        <v>57.599999999999902</v>
      </c>
      <c r="AL335">
        <f t="shared" ca="1" si="67"/>
        <v>0.70184992264101598</v>
      </c>
    </row>
    <row r="336" spans="1:38" hidden="1">
      <c r="A336" t="str">
        <f ca="1">IF(ISNA(A$1), 0, OFFSET(data!$A$1, ROW()-1, A$1-1))</f>
        <v>Oahu</v>
      </c>
      <c r="B336">
        <f ca="1">IF(ISNA(B$1), 0, OFFSET(data!$A$1, ROW()-1, B$1-1))</f>
        <v>2030</v>
      </c>
      <c r="C336" t="str">
        <f ca="1">IF(ISNA(C$1), 0, OFFSET(data!$A$1, ROW()-1, C$1-1))</f>
        <v>2030-04-17-18:00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359.70496196118302</v>
      </c>
      <c r="L336">
        <f ca="1">IF(ISNA(L$1), 0, OFFSET(data!$A$1, ROW()-1, L$1-1))</f>
        <v>57.599999999999902</v>
      </c>
      <c r="M336">
        <f ca="1">IF(ISNA(M$1), 0, OFFSET(data!$A$1, ROW()-1, M$1-1))</f>
        <v>5.4238901632634798E-2</v>
      </c>
      <c r="N336">
        <f ca="1">IF(ISNA(N$1), 0, OFFSET(data!$A$1, ROW()-1, N$1-1))</f>
        <v>-8.8817841970012504E-16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417.35920086281601</v>
      </c>
      <c r="R336">
        <f ca="1">IF(ISNA(R$1), 0, OFFSET(data!$A$1, ROW()-1, R$1-1))</f>
        <v>20.033864705984801</v>
      </c>
      <c r="S336">
        <f ca="1">IF(ISNA(S$1), 0, OFFSET(data!$A$1, ROW()-1, S$1-1))</f>
        <v>320.32710515619999</v>
      </c>
      <c r="T336">
        <f ca="1">IF(ISNA(T$1), 0, OFFSET(data!$A$1, ROW()-1, T$1-1))</f>
        <v>1082.4573867500001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-324.73721602500001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66.651367690388199</v>
      </c>
      <c r="AA336" t="str">
        <f ca="1">IF(ISNA(AA$1), #N/A, OFFSET(data!$A$1, ROW()-1, AA$1-1))</f>
        <v>typical</v>
      </c>
      <c r="AB336">
        <f t="shared" ca="1" si="57"/>
        <v>2030</v>
      </c>
      <c r="AC336">
        <f t="shared" ca="1" si="58"/>
        <v>4</v>
      </c>
      <c r="AD336" t="str">
        <f t="shared" ca="1" si="59"/>
        <v>04/17/2030</v>
      </c>
      <c r="AE336" t="str">
        <f t="shared" ca="1" si="60"/>
        <v/>
      </c>
      <c r="AF336" s="6">
        <f t="shared" ca="1" si="61"/>
        <v>6.6651367690388194E-2</v>
      </c>
      <c r="AG336">
        <f t="shared" ca="1" si="62"/>
        <v>757.72017072500012</v>
      </c>
      <c r="AH336">
        <f t="shared" ca="1" si="63"/>
        <v>320.32710515619999</v>
      </c>
      <c r="AI336">
        <f t="shared" ca="1" si="64"/>
        <v>20.033864705984801</v>
      </c>
      <c r="AJ336">
        <f t="shared" ca="1" si="65"/>
        <v>359.70496196118302</v>
      </c>
      <c r="AK336">
        <f t="shared" ca="1" si="66"/>
        <v>57.599999999999902</v>
      </c>
      <c r="AL336">
        <f t="shared" ca="1" si="67"/>
        <v>5.4238901632634798E-2</v>
      </c>
    </row>
    <row r="337" spans="1:38" hidden="1">
      <c r="A337" t="str">
        <f ca="1">IF(ISNA(A$1), 0, OFFSET(data!$A$1, ROW()-1, A$1-1))</f>
        <v>Oahu</v>
      </c>
      <c r="B337">
        <f ca="1">IF(ISNA(B$1), 0, OFFSET(data!$A$1, ROW()-1, B$1-1))</f>
        <v>2030</v>
      </c>
      <c r="C337" t="str">
        <f ca="1">IF(ISNA(C$1), 0, OFFSET(data!$A$1, ROW()-1, C$1-1))</f>
        <v>2030-04-17-20:00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4.6753599243350402E-2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57.646753599243297</v>
      </c>
      <c r="R337">
        <f ca="1">IF(ISNA(R$1), 0, OFFSET(data!$A$1, ROW()-1, R$1-1))</f>
        <v>291.90423112635602</v>
      </c>
      <c r="S337">
        <f ca="1">IF(ISNA(S$1), 0, OFFSET(data!$A$1, ROW()-1, S$1-1))</f>
        <v>350</v>
      </c>
      <c r="T337">
        <f ca="1">IF(ISNA(T$1), 0, OFFSET(data!$A$1, ROW()-1, T$1-1))</f>
        <v>999.35854960799998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-299.80756488239899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66.651367690388199</v>
      </c>
      <c r="AA337" t="str">
        <f ca="1">IF(ISNA(AA$1), #N/A, OFFSET(data!$A$1, ROW()-1, AA$1-1))</f>
        <v>typical</v>
      </c>
      <c r="AB337">
        <f t="shared" ca="1" si="57"/>
        <v>2030</v>
      </c>
      <c r="AC337">
        <f t="shared" ca="1" si="58"/>
        <v>4</v>
      </c>
      <c r="AD337" t="str">
        <f t="shared" ca="1" si="59"/>
        <v>04/17/2030</v>
      </c>
      <c r="AE337" t="str">
        <f t="shared" ca="1" si="60"/>
        <v/>
      </c>
      <c r="AF337" s="6">
        <f t="shared" ca="1" si="61"/>
        <v>6.6651367690388194E-2</v>
      </c>
      <c r="AG337">
        <f t="shared" ca="1" si="62"/>
        <v>699.55098472560098</v>
      </c>
      <c r="AH337">
        <f t="shared" ca="1" si="63"/>
        <v>350</v>
      </c>
      <c r="AI337">
        <f t="shared" ca="1" si="64"/>
        <v>291.90423112635602</v>
      </c>
      <c r="AJ337">
        <f t="shared" ca="1" si="65"/>
        <v>0</v>
      </c>
      <c r="AK337">
        <f t="shared" ca="1" si="66"/>
        <v>57.599999999999902</v>
      </c>
      <c r="AL337">
        <f t="shared" ca="1" si="67"/>
        <v>4.6753599243350402E-2</v>
      </c>
    </row>
    <row r="338" spans="1:38" hidden="1">
      <c r="A338" t="str">
        <f ca="1">IF(ISNA(A$1), 0, OFFSET(data!$A$1, ROW()-1, A$1-1))</f>
        <v>Oahu</v>
      </c>
      <c r="B338">
        <f ca="1">IF(ISNA(B$1), 0, OFFSET(data!$A$1, ROW()-1, B$1-1))</f>
        <v>2030</v>
      </c>
      <c r="C338" t="str">
        <f ca="1">IF(ISNA(C$1), 0, OFFSET(data!$A$1, ROW()-1, C$1-1))</f>
        <v>2030-04-17-22:00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0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57.599999999999902</v>
      </c>
      <c r="R338">
        <f ca="1">IF(ISNA(R$1), 0, OFFSET(data!$A$1, ROW()-1, R$1-1))</f>
        <v>355.66085706669998</v>
      </c>
      <c r="S338">
        <f ca="1">IF(ISNA(S$1), 0, OFFSET(data!$A$1, ROW()-1, S$1-1))</f>
        <v>85</v>
      </c>
      <c r="T338">
        <f ca="1">IF(ISNA(T$1), 0, OFFSET(data!$A$1, ROW()-1, T$1-1))</f>
        <v>711.801224381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-213.5403673143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66.651367690388199</v>
      </c>
      <c r="AA338" t="str">
        <f ca="1">IF(ISNA(AA$1), #N/A, OFFSET(data!$A$1, ROW()-1, AA$1-1))</f>
        <v>typical</v>
      </c>
      <c r="AB338">
        <f t="shared" ca="1" si="57"/>
        <v>2030</v>
      </c>
      <c r="AC338">
        <f t="shared" ca="1" si="58"/>
        <v>4</v>
      </c>
      <c r="AD338" t="str">
        <f t="shared" ca="1" si="59"/>
        <v>04/17/2030</v>
      </c>
      <c r="AE338" t="str">
        <f t="shared" ca="1" si="60"/>
        <v/>
      </c>
      <c r="AF338" s="6">
        <f t="shared" ca="1" si="61"/>
        <v>6.6651367690388194E-2</v>
      </c>
      <c r="AG338">
        <f t="shared" ca="1" si="62"/>
        <v>498.2608570667</v>
      </c>
      <c r="AH338">
        <f t="shared" ca="1" si="63"/>
        <v>85</v>
      </c>
      <c r="AI338">
        <f t="shared" ca="1" si="64"/>
        <v>355.66085706669998</v>
      </c>
      <c r="AJ338">
        <f t="shared" ca="1" si="65"/>
        <v>0</v>
      </c>
      <c r="AK338">
        <f t="shared" ca="1" si="66"/>
        <v>57.599999999999902</v>
      </c>
      <c r="AL338">
        <f t="shared" ca="1" si="67"/>
        <v>0</v>
      </c>
    </row>
    <row r="339" spans="1:38" hidden="1">
      <c r="A339" t="str">
        <f ca="1">IF(ISNA(A$1), 0, OFFSET(data!$A$1, ROW()-1, A$1-1))</f>
        <v>Oahu</v>
      </c>
      <c r="B339">
        <f ca="1">IF(ISNA(B$1), 0, OFFSET(data!$A$1, ROW()-1, B$1-1))</f>
        <v>2030</v>
      </c>
      <c r="C339" t="str">
        <f ca="1">IF(ISNA(C$1), 0, OFFSET(data!$A$1, ROW()-1, C$1-1))</f>
        <v>2030-06-05-00:00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36.389527825664402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93.989527825664396</v>
      </c>
      <c r="R339">
        <f ca="1">IF(ISNA(R$1), 0, OFFSET(data!$A$1, ROW()-1, R$1-1))</f>
        <v>404.83335561331899</v>
      </c>
      <c r="S339">
        <f ca="1">IF(ISNA(S$1), 0, OFFSET(data!$A$1, ROW()-1, S$1-1))</f>
        <v>30.0599213104163</v>
      </c>
      <c r="T339">
        <f ca="1">IF(ISNA(T$1), 0, OFFSET(data!$A$1, ROW()-1, T$1-1))</f>
        <v>541.26114964199996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-162.37834489259899</v>
      </c>
      <c r="X339">
        <f ca="1">IF(ISNA(X$1), 0, OFFSET(data!$A$1, ROW()-1, X$1-1))</f>
        <v>0</v>
      </c>
      <c r="Y339">
        <f ca="1">IF(ISNA(Y$1), 0, OFFSET(data!$A$1, ROW()-1, Y$1-1))</f>
        <v>150</v>
      </c>
      <c r="Z339">
        <f ca="1">IF(ISNA(Z$1), 0, OFFSET(data!$A$1, ROW()-1, Z$1-1))</f>
        <v>0</v>
      </c>
      <c r="AA339" t="str">
        <f ca="1">IF(ISNA(AA$1), #N/A, OFFSET(data!$A$1, ROW()-1, AA$1-1))</f>
        <v>peak</v>
      </c>
      <c r="AB339">
        <f t="shared" ca="1" si="57"/>
        <v>2030</v>
      </c>
      <c r="AC339">
        <f t="shared" ca="1" si="58"/>
        <v>6</v>
      </c>
      <c r="AD339" t="str">
        <f t="shared" ca="1" si="59"/>
        <v>06/05/2030</v>
      </c>
      <c r="AE339" t="str">
        <f t="shared" ca="1" si="60"/>
        <v/>
      </c>
      <c r="AF339" s="6">
        <f t="shared" ca="1" si="61"/>
        <v>0</v>
      </c>
      <c r="AG339">
        <f t="shared" ca="1" si="62"/>
        <v>378.88280474940098</v>
      </c>
      <c r="AH339">
        <f t="shared" ca="1" si="63"/>
        <v>150</v>
      </c>
      <c r="AI339">
        <f t="shared" ca="1" si="64"/>
        <v>404.83335561331899</v>
      </c>
      <c r="AJ339">
        <f t="shared" ca="1" si="65"/>
        <v>0</v>
      </c>
      <c r="AK339">
        <f t="shared" ca="1" si="66"/>
        <v>57.599999999999902</v>
      </c>
      <c r="AL339">
        <f t="shared" ca="1" si="67"/>
        <v>36.389527825664402</v>
      </c>
    </row>
    <row r="340" spans="1:38" hidden="1">
      <c r="A340" t="str">
        <f ca="1">IF(ISNA(A$1), 0, OFFSET(data!$A$1, ROW()-1, A$1-1))</f>
        <v>Oahu</v>
      </c>
      <c r="B340">
        <f ca="1">IF(ISNA(B$1), 0, OFFSET(data!$A$1, ROW()-1, B$1-1))</f>
        <v>2030</v>
      </c>
      <c r="C340" t="str">
        <f ca="1">IF(ISNA(C$1), 0, OFFSET(data!$A$1, ROW()-1, C$1-1))</f>
        <v>2030-06-05-02:00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48.669259884779301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106.269259884779</v>
      </c>
      <c r="R340">
        <f ca="1">IF(ISNA(R$1), 0, OFFSET(data!$A$1, ROW()-1, R$1-1))</f>
        <v>404.83335561331899</v>
      </c>
      <c r="S340">
        <f ca="1">IF(ISNA(S$1), 0, OFFSET(data!$A$1, ROW()-1, S$1-1))</f>
        <v>189.338808620701</v>
      </c>
      <c r="T340">
        <f ca="1">IF(ISNA(T$1), 0, OFFSET(data!$A$1, ROW()-1, T$1-1))</f>
        <v>500.63060588399998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-150.18918176519901</v>
      </c>
      <c r="X340">
        <f ca="1">IF(ISNA(X$1), 0, OFFSET(data!$A$1, ROW()-1, X$1-1))</f>
        <v>0</v>
      </c>
      <c r="Y340">
        <f ca="1">IF(ISNA(Y$1), 0, OFFSET(data!$A$1, ROW()-1, Y$1-1))</f>
        <v>350</v>
      </c>
      <c r="Z340">
        <f ca="1">IF(ISNA(Z$1), 0, OFFSET(data!$A$1, ROW()-1, Z$1-1))</f>
        <v>0</v>
      </c>
      <c r="AA340" t="str">
        <f ca="1">IF(ISNA(AA$1), #N/A, OFFSET(data!$A$1, ROW()-1, AA$1-1))</f>
        <v>peak</v>
      </c>
      <c r="AB340">
        <f t="shared" ca="1" si="57"/>
        <v>2030</v>
      </c>
      <c r="AC340">
        <f t="shared" ca="1" si="58"/>
        <v>6</v>
      </c>
      <c r="AD340" t="str">
        <f t="shared" ca="1" si="59"/>
        <v>06/05/2030</v>
      </c>
      <c r="AE340" t="str">
        <f t="shared" ca="1" si="60"/>
        <v/>
      </c>
      <c r="AF340" s="6">
        <f t="shared" ca="1" si="61"/>
        <v>0</v>
      </c>
      <c r="AG340">
        <f t="shared" ca="1" si="62"/>
        <v>350.44142411880097</v>
      </c>
      <c r="AH340">
        <f t="shared" ca="1" si="63"/>
        <v>350</v>
      </c>
      <c r="AI340">
        <f t="shared" ca="1" si="64"/>
        <v>404.83335561331899</v>
      </c>
      <c r="AJ340">
        <f t="shared" ca="1" si="65"/>
        <v>0</v>
      </c>
      <c r="AK340">
        <f t="shared" ca="1" si="66"/>
        <v>57.599999999999902</v>
      </c>
      <c r="AL340">
        <f t="shared" ca="1" si="67"/>
        <v>48.669259884779301</v>
      </c>
    </row>
    <row r="341" spans="1:38" hidden="1">
      <c r="A341" t="str">
        <f ca="1">IF(ISNA(A$1), 0, OFFSET(data!$A$1, ROW()-1, A$1-1))</f>
        <v>Oahu</v>
      </c>
      <c r="B341">
        <f ca="1">IF(ISNA(B$1), 0, OFFSET(data!$A$1, ROW()-1, B$1-1))</f>
        <v>2030</v>
      </c>
      <c r="C341" t="str">
        <f ca="1">IF(ISNA(C$1), 0, OFFSET(data!$A$1, ROW()-1, C$1-1))</f>
        <v>2030-06-05-04:00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96.137595429349702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153.737595429349</v>
      </c>
      <c r="R341">
        <f ca="1">IF(ISNA(R$1), 0, OFFSET(data!$A$1, ROW()-1, R$1-1))</f>
        <v>202.41667780665901</v>
      </c>
      <c r="S341">
        <f ca="1">IF(ISNA(S$1), 0, OFFSET(data!$A$1, ROW()-1, S$1-1))</f>
        <v>200</v>
      </c>
      <c r="T341">
        <f ca="1">IF(ISNA(T$1), 0, OFFSET(data!$A$1, ROW()-1, T$1-1))</f>
        <v>590.77743333499996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-177.23323000049999</v>
      </c>
      <c r="X341">
        <f ca="1">IF(ISNA(X$1), 0, OFFSET(data!$A$1, ROW()-1, X$1-1))</f>
        <v>0</v>
      </c>
      <c r="Y341">
        <f ca="1">IF(ISNA(Y$1), 0, OFFSET(data!$A$1, ROW()-1, Y$1-1))</f>
        <v>142.61006990150901</v>
      </c>
      <c r="Z341">
        <f ca="1">IF(ISNA(Z$1), 0, OFFSET(data!$A$1, ROW()-1, Z$1-1))</f>
        <v>0</v>
      </c>
      <c r="AA341" t="str">
        <f ca="1">IF(ISNA(AA$1), #N/A, OFFSET(data!$A$1, ROW()-1, AA$1-1))</f>
        <v>peak</v>
      </c>
      <c r="AB341">
        <f t="shared" ca="1" si="57"/>
        <v>2030</v>
      </c>
      <c r="AC341">
        <f t="shared" ca="1" si="58"/>
        <v>6</v>
      </c>
      <c r="AD341" t="str">
        <f t="shared" ca="1" si="59"/>
        <v>06/05/2030</v>
      </c>
      <c r="AE341" t="str">
        <f t="shared" ca="1" si="60"/>
        <v/>
      </c>
      <c r="AF341" s="6">
        <f t="shared" ca="1" si="61"/>
        <v>0</v>
      </c>
      <c r="AG341">
        <f t="shared" ca="1" si="62"/>
        <v>413.54420333449997</v>
      </c>
      <c r="AH341">
        <f t="shared" ca="1" si="63"/>
        <v>200</v>
      </c>
      <c r="AI341">
        <f t="shared" ca="1" si="64"/>
        <v>202.41667780665901</v>
      </c>
      <c r="AJ341">
        <f t="shared" ca="1" si="65"/>
        <v>0</v>
      </c>
      <c r="AK341">
        <f t="shared" ca="1" si="66"/>
        <v>57.599999999999902</v>
      </c>
      <c r="AL341">
        <f t="shared" ca="1" si="67"/>
        <v>96.137595429349702</v>
      </c>
    </row>
    <row r="342" spans="1:38" hidden="1">
      <c r="A342" t="str">
        <f ca="1">IF(ISNA(A$1), 0, OFFSET(data!$A$1, ROW()-1, A$1-1))</f>
        <v>Oahu</v>
      </c>
      <c r="B342">
        <f ca="1">IF(ISNA(B$1), 0, OFFSET(data!$A$1, ROW()-1, B$1-1))</f>
        <v>2030</v>
      </c>
      <c r="C342" t="str">
        <f ca="1">IF(ISNA(C$1), 0, OFFSET(data!$A$1, ROW()-1, C$1-1))</f>
        <v>2030-06-05-06:00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609.58916544466297</v>
      </c>
      <c r="L342">
        <f ca="1">IF(ISNA(L$1), 0, OFFSET(data!$A$1, ROW()-1, L$1-1))</f>
        <v>57.599999999999902</v>
      </c>
      <c r="M342">
        <f ca="1">IF(ISNA(M$1), 0, OFFSET(data!$A$1, ROW()-1, M$1-1))</f>
        <v>92.903693347285397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760.09285879194795</v>
      </c>
      <c r="R342">
        <f ca="1">IF(ISNA(R$1), 0, OFFSET(data!$A$1, ROW()-1, R$1-1))</f>
        <v>0</v>
      </c>
      <c r="S342">
        <f ca="1">IF(ISNA(S$1), 0, OFFSET(data!$A$1, ROW()-1, S$1-1))</f>
        <v>100</v>
      </c>
      <c r="T342">
        <f ca="1">IF(ISNA(T$1), 0, OFFSET(data!$A$1, ROW()-1, T$1-1))</f>
        <v>907.71425538599999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-272.3142766158</v>
      </c>
      <c r="X342">
        <f ca="1">IF(ISNA(X$1), 0, OFFSET(data!$A$1, ROW()-1, X$1-1))</f>
        <v>0</v>
      </c>
      <c r="Y342">
        <f ca="1">IF(ISNA(Y$1), 0, OFFSET(data!$A$1, ROW()-1, Y$1-1))</f>
        <v>224.69288002174801</v>
      </c>
      <c r="Z342">
        <f ca="1">IF(ISNA(Z$1), 0, OFFSET(data!$A$1, ROW()-1, Z$1-1))</f>
        <v>0</v>
      </c>
      <c r="AA342" t="str">
        <f ca="1">IF(ISNA(AA$1), #N/A, OFFSET(data!$A$1, ROW()-1, AA$1-1))</f>
        <v>peak</v>
      </c>
      <c r="AB342">
        <f t="shared" ca="1" si="57"/>
        <v>2030</v>
      </c>
      <c r="AC342">
        <f t="shared" ca="1" si="58"/>
        <v>6</v>
      </c>
      <c r="AD342" t="str">
        <f t="shared" ca="1" si="59"/>
        <v>06/05/2030</v>
      </c>
      <c r="AE342" t="str">
        <f t="shared" ca="1" si="60"/>
        <v/>
      </c>
      <c r="AF342" s="6">
        <f t="shared" ca="1" si="61"/>
        <v>0</v>
      </c>
      <c r="AG342">
        <f t="shared" ca="1" si="62"/>
        <v>635.39997877020005</v>
      </c>
      <c r="AH342">
        <f t="shared" ca="1" si="63"/>
        <v>224.69288002174801</v>
      </c>
      <c r="AI342">
        <f t="shared" ca="1" si="64"/>
        <v>0</v>
      </c>
      <c r="AJ342">
        <f t="shared" ca="1" si="65"/>
        <v>609.58916544466297</v>
      </c>
      <c r="AK342">
        <f t="shared" ca="1" si="66"/>
        <v>57.599999999999902</v>
      </c>
      <c r="AL342">
        <f t="shared" ca="1" si="67"/>
        <v>92.903693347285397</v>
      </c>
    </row>
    <row r="343" spans="1:38" hidden="1">
      <c r="A343" t="str">
        <f ca="1">IF(ISNA(A$1), 0, OFFSET(data!$A$1, ROW()-1, A$1-1))</f>
        <v>Oahu</v>
      </c>
      <c r="B343">
        <f ca="1">IF(ISNA(B$1), 0, OFFSET(data!$A$1, ROW()-1, B$1-1))</f>
        <v>2030</v>
      </c>
      <c r="C343" t="str">
        <f ca="1">IF(ISNA(C$1), 0, OFFSET(data!$A$1, ROW()-1, C$1-1))</f>
        <v>2030-06-05-08:00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2293.16260520995</v>
      </c>
      <c r="L343">
        <f ca="1">IF(ISNA(L$1), 0, OFFSET(data!$A$1, ROW()-1, L$1-1))</f>
        <v>0</v>
      </c>
      <c r="M343">
        <f ca="1">IF(ISNA(M$1), 0, OFFSET(data!$A$1, ROW()-1, M$1-1))</f>
        <v>68.320069681553605</v>
      </c>
      <c r="N343">
        <f ca="1">IF(ISNA(N$1), 0, OFFSET(data!$A$1, ROW()-1, N$1-1))</f>
        <v>380.90925868977001</v>
      </c>
      <c r="O343">
        <f ca="1">IF(ISNA(O$1), 0, OFFSET(data!$A$1, ROW()-1, O$1-1))</f>
        <v>57.599999999999902</v>
      </c>
      <c r="P343">
        <f ca="1">IF(ISNA(P$1), 0, OFFSET(data!$A$1, ROW()-1, P$1-1))</f>
        <v>0</v>
      </c>
      <c r="Q343">
        <f ca="1">IF(ISNA(Q$1), 0, OFFSET(data!$A$1, ROW()-1, Q$1-1))</f>
        <v>2361.4826748915002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1099.8468247999999</v>
      </c>
      <c r="U343">
        <f ca="1">IF(ISNA(U$1), 0, OFFSET(data!$A$1, ROW()-1, U$1-1))</f>
        <v>0</v>
      </c>
      <c r="V343">
        <f ca="1">IF(ISNA(V$1), 0, OFFSET(data!$A$1, ROW()-1, V$1-1))</f>
        <v>404.83335561331899</v>
      </c>
      <c r="W343">
        <f ca="1">IF(ISNA(W$1), 0, OFFSET(data!$A$1, ROW()-1, W$1-1))</f>
        <v>506.80249447818602</v>
      </c>
      <c r="X343">
        <f ca="1">IF(ISNA(X$1), 0, OFFSET(data!$A$1, ROW()-1, X$1-1))</f>
        <v>0</v>
      </c>
      <c r="Y343">
        <f ca="1">IF(ISNA(Y$1), 0, OFFSET(data!$A$1, ROW()-1, Y$1-1))</f>
        <v>350</v>
      </c>
      <c r="Z343">
        <f ca="1">IF(ISNA(Z$1), 0, OFFSET(data!$A$1, ROW()-1, Z$1-1))</f>
        <v>-511.87047618349402</v>
      </c>
      <c r="AA343" t="str">
        <f ca="1">IF(ISNA(AA$1), #N/A, OFFSET(data!$A$1, ROW()-1, AA$1-1))</f>
        <v>peak</v>
      </c>
      <c r="AB343">
        <f t="shared" ca="1" si="57"/>
        <v>2030</v>
      </c>
      <c r="AC343">
        <f t="shared" ca="1" si="58"/>
        <v>6</v>
      </c>
      <c r="AD343" t="str">
        <f t="shared" ca="1" si="59"/>
        <v>06/05/2030</v>
      </c>
      <c r="AE343" t="str">
        <f t="shared" ca="1" si="60"/>
        <v/>
      </c>
      <c r="AF343" s="6">
        <f t="shared" ca="1" si="61"/>
        <v>-0.51187047618349402</v>
      </c>
      <c r="AG343">
        <f t="shared" ca="1" si="62"/>
        <v>1606.6493192781859</v>
      </c>
      <c r="AH343">
        <f t="shared" ca="1" si="63"/>
        <v>350</v>
      </c>
      <c r="AI343">
        <f t="shared" ca="1" si="64"/>
        <v>404.83335561331899</v>
      </c>
      <c r="AJ343">
        <f t="shared" ca="1" si="65"/>
        <v>2674.07186389972</v>
      </c>
      <c r="AK343">
        <f t="shared" ca="1" si="66"/>
        <v>57.599999999999902</v>
      </c>
      <c r="AL343">
        <f t="shared" ca="1" si="67"/>
        <v>68.320069681553605</v>
      </c>
    </row>
    <row r="344" spans="1:38" hidden="1">
      <c r="A344" t="str">
        <f ca="1">IF(ISNA(A$1), 0, OFFSET(data!$A$1, ROW()-1, A$1-1))</f>
        <v>Oahu</v>
      </c>
      <c r="B344">
        <f ca="1">IF(ISNA(B$1), 0, OFFSET(data!$A$1, ROW()-1, B$1-1))</f>
        <v>2030</v>
      </c>
      <c r="C344" t="str">
        <f ca="1">IF(ISNA(C$1), 0, OFFSET(data!$A$1, ROW()-1, C$1-1))</f>
        <v>2030-06-05-10:00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2484.9912474916</v>
      </c>
      <c r="L344">
        <f ca="1">IF(ISNA(L$1), 0, OFFSET(data!$A$1, ROW()-1, L$1-1))</f>
        <v>0</v>
      </c>
      <c r="M344">
        <f ca="1">IF(ISNA(M$1), 0, OFFSET(data!$A$1, ROW()-1, M$1-1))</f>
        <v>47.416545105576603</v>
      </c>
      <c r="N344">
        <f ca="1">IF(ISNA(N$1), 0, OFFSET(data!$A$1, ROW()-1, N$1-1))</f>
        <v>770.34529192214404</v>
      </c>
      <c r="O344">
        <f ca="1">IF(ISNA(O$1), 0, OFFSET(data!$A$1, ROW()-1, O$1-1))</f>
        <v>57.599999999999902</v>
      </c>
      <c r="P344">
        <f ca="1">IF(ISNA(P$1), 0, OFFSET(data!$A$1, ROW()-1, P$1-1))</f>
        <v>0</v>
      </c>
      <c r="Q344">
        <f ca="1">IF(ISNA(Q$1), 0, OFFSET(data!$A$1, ROW()-1, Q$1-1))</f>
        <v>2532.4077925971701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1176.55759683</v>
      </c>
      <c r="U344">
        <f ca="1">IF(ISNA(U$1), 0, OFFSET(data!$A$1, ROW()-1, U$1-1))</f>
        <v>0</v>
      </c>
      <c r="V344">
        <f ca="1">IF(ISNA(V$1), 0, OFFSET(data!$A$1, ROW()-1, V$1-1))</f>
        <v>404.83335561331899</v>
      </c>
      <c r="W344">
        <f ca="1">IF(ISNA(W$1), 0, OFFSET(data!$A$1, ROW()-1, W$1-1))</f>
        <v>601.01684015385899</v>
      </c>
      <c r="X344">
        <f ca="1">IF(ISNA(X$1), 0, OFFSET(data!$A$1, ROW()-1, X$1-1))</f>
        <v>0</v>
      </c>
      <c r="Y344">
        <f ca="1">IF(ISNA(Y$1), 0, OFFSET(data!$A$1, ROW()-1, Y$1-1))</f>
        <v>350</v>
      </c>
      <c r="Z344">
        <f ca="1">IF(ISNA(Z$1), 0, OFFSET(data!$A$1, ROW()-1, Z$1-1))</f>
        <v>-511.87047618349402</v>
      </c>
      <c r="AA344" t="str">
        <f ca="1">IF(ISNA(AA$1), #N/A, OFFSET(data!$A$1, ROW()-1, AA$1-1))</f>
        <v>peak</v>
      </c>
      <c r="AB344">
        <f t="shared" ca="1" si="57"/>
        <v>2030</v>
      </c>
      <c r="AC344">
        <f t="shared" ca="1" si="58"/>
        <v>6</v>
      </c>
      <c r="AD344" t="str">
        <f t="shared" ca="1" si="59"/>
        <v>06/05/2030</v>
      </c>
      <c r="AE344" t="str">
        <f t="shared" ca="1" si="60"/>
        <v/>
      </c>
      <c r="AF344" s="6">
        <f t="shared" ca="1" si="61"/>
        <v>-0.51187047618349402</v>
      </c>
      <c r="AG344">
        <f t="shared" ca="1" si="62"/>
        <v>1777.574436983859</v>
      </c>
      <c r="AH344">
        <f t="shared" ca="1" si="63"/>
        <v>350</v>
      </c>
      <c r="AI344">
        <f t="shared" ca="1" si="64"/>
        <v>404.83335561331899</v>
      </c>
      <c r="AJ344">
        <f t="shared" ca="1" si="65"/>
        <v>3255.336539413744</v>
      </c>
      <c r="AK344">
        <f t="shared" ca="1" si="66"/>
        <v>57.599999999999902</v>
      </c>
      <c r="AL344">
        <f t="shared" ca="1" si="67"/>
        <v>47.416545105576603</v>
      </c>
    </row>
    <row r="345" spans="1:38" hidden="1">
      <c r="A345" t="str">
        <f ca="1">IF(ISNA(A$1), 0, OFFSET(data!$A$1, ROW()-1, A$1-1))</f>
        <v>Oahu</v>
      </c>
      <c r="B345">
        <f ca="1">IF(ISNA(B$1), 0, OFFSET(data!$A$1, ROW()-1, B$1-1))</f>
        <v>2030</v>
      </c>
      <c r="C345" t="str">
        <f ca="1">IF(ISNA(C$1), 0, OFFSET(data!$A$1, ROW()-1, C$1-1))</f>
        <v>2030-06-05-12:00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1523.9349430197401</v>
      </c>
      <c r="L345">
        <f ca="1">IF(ISNA(L$1), 0, OFFSET(data!$A$1, ROW()-1, L$1-1))</f>
        <v>0</v>
      </c>
      <c r="M345">
        <f ca="1">IF(ISNA(M$1), 0, OFFSET(data!$A$1, ROW()-1, M$1-1))</f>
        <v>74.868363060577295</v>
      </c>
      <c r="N345">
        <f ca="1">IF(ISNA(N$1), 0, OFFSET(data!$A$1, ROW()-1, N$1-1))</f>
        <v>1879.1135301972899</v>
      </c>
      <c r="O345">
        <f ca="1">IF(ISNA(O$1), 0, OFFSET(data!$A$1, ROW()-1, O$1-1))</f>
        <v>57.599999999999902</v>
      </c>
      <c r="P345">
        <f ca="1">IF(ISNA(P$1), 0, OFFSET(data!$A$1, ROW()-1, P$1-1))</f>
        <v>0</v>
      </c>
      <c r="Q345">
        <f ca="1">IF(ISNA(Q$1), 0, OFFSET(data!$A$1, ROW()-1, Q$1-1))</f>
        <v>1598.80330608031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1205.67135781</v>
      </c>
      <c r="U345">
        <f ca="1">IF(ISNA(U$1), 0, OFFSET(data!$A$1, ROW()-1, U$1-1))</f>
        <v>0</v>
      </c>
      <c r="V345">
        <f ca="1">IF(ISNA(V$1), 0, OFFSET(data!$A$1, ROW()-1, V$1-1))</f>
        <v>404.83335561331899</v>
      </c>
      <c r="W345">
        <f ca="1">IF(ISNA(W$1), 0, OFFSET(data!$A$1, ROW()-1, W$1-1))</f>
        <v>-361.701407342999</v>
      </c>
      <c r="X345">
        <f ca="1">IF(ISNA(X$1), 0, OFFSET(data!$A$1, ROW()-1, X$1-1))</f>
        <v>0</v>
      </c>
      <c r="Y345">
        <f ca="1">IF(ISNA(Y$1), 0, OFFSET(data!$A$1, ROW()-1, Y$1-1))</f>
        <v>350</v>
      </c>
      <c r="Z345">
        <f ca="1">IF(ISNA(Z$1), 0, OFFSET(data!$A$1, ROW()-1, Z$1-1))</f>
        <v>-511.87047618349402</v>
      </c>
      <c r="AA345" t="str">
        <f ca="1">IF(ISNA(AA$1), #N/A, OFFSET(data!$A$1, ROW()-1, AA$1-1))</f>
        <v>peak</v>
      </c>
      <c r="AB345">
        <f t="shared" ca="1" si="57"/>
        <v>2030</v>
      </c>
      <c r="AC345">
        <f t="shared" ca="1" si="58"/>
        <v>6</v>
      </c>
      <c r="AD345" t="str">
        <f t="shared" ca="1" si="59"/>
        <v>06/05/2030</v>
      </c>
      <c r="AE345" t="str">
        <f t="shared" ca="1" si="60"/>
        <v>06/05/2030</v>
      </c>
      <c r="AF345" s="6">
        <f t="shared" ca="1" si="61"/>
        <v>-0.51187047618349402</v>
      </c>
      <c r="AG345">
        <f t="shared" ca="1" si="62"/>
        <v>843.96995046700101</v>
      </c>
      <c r="AH345">
        <f t="shared" ca="1" si="63"/>
        <v>350</v>
      </c>
      <c r="AI345">
        <f t="shared" ca="1" si="64"/>
        <v>404.83335561331899</v>
      </c>
      <c r="AJ345">
        <f t="shared" ca="1" si="65"/>
        <v>3403.0484732170298</v>
      </c>
      <c r="AK345">
        <f t="shared" ca="1" si="66"/>
        <v>57.599999999999902</v>
      </c>
      <c r="AL345">
        <f t="shared" ca="1" si="67"/>
        <v>74.868363060577295</v>
      </c>
    </row>
    <row r="346" spans="1:38" hidden="1">
      <c r="A346" t="str">
        <f ca="1">IF(ISNA(A$1), 0, OFFSET(data!$A$1, ROW()-1, A$1-1))</f>
        <v>Oahu</v>
      </c>
      <c r="B346">
        <f ca="1">IF(ISNA(B$1), 0, OFFSET(data!$A$1, ROW()-1, B$1-1))</f>
        <v>2030</v>
      </c>
      <c r="C346" t="str">
        <f ca="1">IF(ISNA(C$1), 0, OFFSET(data!$A$1, ROW()-1, C$1-1))</f>
        <v>2030-06-05-14:00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2901.39889144893</v>
      </c>
      <c r="L346">
        <f ca="1">IF(ISNA(L$1), 0, OFFSET(data!$A$1, ROW()-1, L$1-1))</f>
        <v>0</v>
      </c>
      <c r="M346">
        <f ca="1">IF(ISNA(M$1), 0, OFFSET(data!$A$1, ROW()-1, M$1-1))</f>
        <v>63.186849549910001</v>
      </c>
      <c r="N346">
        <f ca="1">IF(ISNA(N$1), 0, OFFSET(data!$A$1, ROW()-1, N$1-1))</f>
        <v>506.38812434441502</v>
      </c>
      <c r="O346">
        <f ca="1">IF(ISNA(O$1), 0, OFFSET(data!$A$1, ROW()-1, O$1-1))</f>
        <v>57.599999999999902</v>
      </c>
      <c r="P346">
        <f ca="1">IF(ISNA(P$1), 0, OFFSET(data!$A$1, ROW()-1, P$1-1))</f>
        <v>6.7855238284444503</v>
      </c>
      <c r="Q346">
        <f ca="1">IF(ISNA(Q$1), 0, OFFSET(data!$A$1, ROW()-1, Q$1-1))</f>
        <v>2964.5857409988398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1215.7921272000001</v>
      </c>
      <c r="U346">
        <f ca="1">IF(ISNA(U$1), 0, OFFSET(data!$A$1, ROW()-1, U$1-1))</f>
        <v>0</v>
      </c>
      <c r="V346">
        <f ca="1">IF(ISNA(V$1), 0, OFFSET(data!$A$1, ROW()-1, V$1-1))</f>
        <v>404.83335561331899</v>
      </c>
      <c r="W346">
        <f ca="1">IF(ISNA(W$1), 0, OFFSET(data!$A$1, ROW()-1, W$1-1))</f>
        <v>993.960258185523</v>
      </c>
      <c r="X346">
        <f ca="1">IF(ISNA(X$1), 0, OFFSET(data!$A$1, ROW()-1, X$1-1))</f>
        <v>0</v>
      </c>
      <c r="Y346">
        <f ca="1">IF(ISNA(Y$1), 0, OFFSET(data!$A$1, ROW()-1, Y$1-1))</f>
        <v>350</v>
      </c>
      <c r="Z346">
        <f ca="1">IF(ISNA(Z$1), 0, OFFSET(data!$A$1, ROW()-1, Z$1-1))</f>
        <v>-511.87047618349402</v>
      </c>
      <c r="AA346" t="str">
        <f ca="1">IF(ISNA(AA$1), #N/A, OFFSET(data!$A$1, ROW()-1, AA$1-1))</f>
        <v>peak</v>
      </c>
      <c r="AB346">
        <f t="shared" ca="1" si="57"/>
        <v>2030</v>
      </c>
      <c r="AC346">
        <f t="shared" ca="1" si="58"/>
        <v>6</v>
      </c>
      <c r="AD346" t="str">
        <f t="shared" ca="1" si="59"/>
        <v>06/05/2030</v>
      </c>
      <c r="AE346" t="str">
        <f t="shared" ca="1" si="60"/>
        <v/>
      </c>
      <c r="AF346" s="6">
        <f t="shared" ca="1" si="61"/>
        <v>-0.51187047618349402</v>
      </c>
      <c r="AG346">
        <f t="shared" ca="1" si="62"/>
        <v>2209.7523853855232</v>
      </c>
      <c r="AH346">
        <f t="shared" ca="1" si="63"/>
        <v>350</v>
      </c>
      <c r="AI346">
        <f t="shared" ca="1" si="64"/>
        <v>404.83335561331899</v>
      </c>
      <c r="AJ346">
        <f t="shared" ca="1" si="65"/>
        <v>3407.7870157933448</v>
      </c>
      <c r="AK346">
        <f t="shared" ca="1" si="66"/>
        <v>57.599999999999902</v>
      </c>
      <c r="AL346">
        <f t="shared" ca="1" si="67"/>
        <v>69.972373378354447</v>
      </c>
    </row>
    <row r="347" spans="1:38" hidden="1">
      <c r="A347" t="str">
        <f ca="1">IF(ISNA(A$1), 0, OFFSET(data!$A$1, ROW()-1, A$1-1))</f>
        <v>Oahu</v>
      </c>
      <c r="B347">
        <f ca="1">IF(ISNA(B$1), 0, OFFSET(data!$A$1, ROW()-1, B$1-1))</f>
        <v>2030</v>
      </c>
      <c r="C347" t="str">
        <f ca="1">IF(ISNA(C$1), 0, OFFSET(data!$A$1, ROW()-1, C$1-1))</f>
        <v>2030-06-05-16:00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1534.2304448919399</v>
      </c>
      <c r="L347">
        <f ca="1">IF(ISNA(L$1), 0, OFFSET(data!$A$1, ROW()-1, L$1-1))</f>
        <v>0</v>
      </c>
      <c r="M347">
        <f ca="1">IF(ISNA(M$1), 0, OFFSET(data!$A$1, ROW()-1, M$1-1))</f>
        <v>48.947489741375399</v>
      </c>
      <c r="N347">
        <f ca="1">IF(ISNA(N$1), 0, OFFSET(data!$A$1, ROW()-1, N$1-1))</f>
        <v>1648.27766328384</v>
      </c>
      <c r="O347">
        <f ca="1">IF(ISNA(O$1), 0, OFFSET(data!$A$1, ROW()-1, O$1-1))</f>
        <v>57.599999999999902</v>
      </c>
      <c r="P347">
        <f ca="1">IF(ISNA(P$1), 0, OFFSET(data!$A$1, ROW()-1, P$1-1))</f>
        <v>6.3464500063916303</v>
      </c>
      <c r="Q347">
        <f ca="1">IF(ISNA(Q$1), 0, OFFSET(data!$A$1, ROW()-1, Q$1-1))</f>
        <v>1583.1779346333101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1183.3493986000001</v>
      </c>
      <c r="U347">
        <f ca="1">IF(ISNA(U$1), 0, OFFSET(data!$A$1, ROW()-1, U$1-1))</f>
        <v>0</v>
      </c>
      <c r="V347">
        <f ca="1">IF(ISNA(V$1), 0, OFFSET(data!$A$1, ROW()-1, V$1-1))</f>
        <v>404.83335561331899</v>
      </c>
      <c r="W347">
        <f ca="1">IF(ISNA(W$1), 0, OFFSET(data!$A$1, ROW()-1, W$1-1))</f>
        <v>-355.00481958</v>
      </c>
      <c r="X347">
        <f ca="1">IF(ISNA(X$1), 0, OFFSET(data!$A$1, ROW()-1, X$1-1))</f>
        <v>0</v>
      </c>
      <c r="Y347">
        <f ca="1">IF(ISNA(Y$1), 0, OFFSET(data!$A$1, ROW()-1, Y$1-1))</f>
        <v>350</v>
      </c>
      <c r="Z347">
        <f ca="1">IF(ISNA(Z$1), 0, OFFSET(data!$A$1, ROW()-1, Z$1-1))</f>
        <v>-511.87047618349402</v>
      </c>
      <c r="AA347" t="str">
        <f ca="1">IF(ISNA(AA$1), #N/A, OFFSET(data!$A$1, ROW()-1, AA$1-1))</f>
        <v>peak</v>
      </c>
      <c r="AB347">
        <f t="shared" ca="1" si="57"/>
        <v>2030</v>
      </c>
      <c r="AC347">
        <f t="shared" ca="1" si="58"/>
        <v>6</v>
      </c>
      <c r="AD347" t="str">
        <f t="shared" ca="1" si="59"/>
        <v>06/05/2030</v>
      </c>
      <c r="AE347" t="str">
        <f t="shared" ca="1" si="60"/>
        <v/>
      </c>
      <c r="AF347" s="6">
        <f t="shared" ca="1" si="61"/>
        <v>-0.51187047618349402</v>
      </c>
      <c r="AG347">
        <f t="shared" ca="1" si="62"/>
        <v>828.34457902000008</v>
      </c>
      <c r="AH347">
        <f t="shared" ca="1" si="63"/>
        <v>350</v>
      </c>
      <c r="AI347">
        <f t="shared" ca="1" si="64"/>
        <v>404.83335561331899</v>
      </c>
      <c r="AJ347">
        <f t="shared" ca="1" si="65"/>
        <v>3182.5081081757799</v>
      </c>
      <c r="AK347">
        <f t="shared" ca="1" si="66"/>
        <v>57.599999999999902</v>
      </c>
      <c r="AL347">
        <f t="shared" ca="1" si="67"/>
        <v>55.293939747767027</v>
      </c>
    </row>
    <row r="348" spans="1:38" hidden="1">
      <c r="A348" t="str">
        <f ca="1">IF(ISNA(A$1), 0, OFFSET(data!$A$1, ROW()-1, A$1-1))</f>
        <v>Oahu</v>
      </c>
      <c r="B348">
        <f ca="1">IF(ISNA(B$1), 0, OFFSET(data!$A$1, ROW()-1, B$1-1))</f>
        <v>2030</v>
      </c>
      <c r="C348" t="str">
        <f ca="1">IF(ISNA(C$1), 0, OFFSET(data!$A$1, ROW()-1, C$1-1))</f>
        <v>2030-06-05-18:00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1742.2086134941201</v>
      </c>
      <c r="L348">
        <f ca="1">IF(ISNA(L$1), 0, OFFSET(data!$A$1, ROW()-1, L$1-1))</f>
        <v>0</v>
      </c>
      <c r="M348">
        <f ca="1">IF(ISNA(M$1), 0, OFFSET(data!$A$1, ROW()-1, M$1-1))</f>
        <v>74.627322847629401</v>
      </c>
      <c r="N348">
        <f ca="1">IF(ISNA(N$1), 0, OFFSET(data!$A$1, ROW()-1, N$1-1))</f>
        <v>761.775823704142</v>
      </c>
      <c r="O348">
        <f ca="1">IF(ISNA(O$1), 0, OFFSET(data!$A$1, ROW()-1, O$1-1))</f>
        <v>57.599999999999902</v>
      </c>
      <c r="P348">
        <f ca="1">IF(ISNA(P$1), 0, OFFSET(data!$A$1, ROW()-1, P$1-1))</f>
        <v>0</v>
      </c>
      <c r="Q348">
        <f ca="1">IF(ISNA(Q$1), 0, OFFSET(data!$A$1, ROW()-1, Q$1-1))</f>
        <v>1816.8359363417401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1121.7929090299999</v>
      </c>
      <c r="U348">
        <f ca="1">IF(ISNA(U$1), 0, OFFSET(data!$A$1, ROW()-1, U$1-1))</f>
        <v>0</v>
      </c>
      <c r="V348">
        <f ca="1">IF(ISNA(V$1), 0, OFFSET(data!$A$1, ROW()-1, V$1-1))</f>
        <v>404.83335561331899</v>
      </c>
      <c r="W348">
        <f ca="1">IF(ISNA(W$1), 0, OFFSET(data!$A$1, ROW()-1, W$1-1))</f>
        <v>-59.790328301568898</v>
      </c>
      <c r="X348">
        <f ca="1">IF(ISNA(X$1), 0, OFFSET(data!$A$1, ROW()-1, X$1-1))</f>
        <v>0</v>
      </c>
      <c r="Y348">
        <f ca="1">IF(ISNA(Y$1), 0, OFFSET(data!$A$1, ROW()-1, Y$1-1))</f>
        <v>350</v>
      </c>
      <c r="Z348">
        <f ca="1">IF(ISNA(Z$1), 0, OFFSET(data!$A$1, ROW()-1, Z$1-1))</f>
        <v>-511.87047618349402</v>
      </c>
      <c r="AA348" t="str">
        <f ca="1">IF(ISNA(AA$1), #N/A, OFFSET(data!$A$1, ROW()-1, AA$1-1))</f>
        <v>peak</v>
      </c>
      <c r="AB348">
        <f t="shared" ca="1" si="57"/>
        <v>2030</v>
      </c>
      <c r="AC348">
        <f t="shared" ca="1" si="58"/>
        <v>6</v>
      </c>
      <c r="AD348" t="str">
        <f t="shared" ca="1" si="59"/>
        <v>06/05/2030</v>
      </c>
      <c r="AE348" t="str">
        <f t="shared" ca="1" si="60"/>
        <v/>
      </c>
      <c r="AF348" s="6">
        <f t="shared" ca="1" si="61"/>
        <v>-0.51187047618349402</v>
      </c>
      <c r="AG348">
        <f t="shared" ca="1" si="62"/>
        <v>1062.002580728431</v>
      </c>
      <c r="AH348">
        <f t="shared" ca="1" si="63"/>
        <v>350</v>
      </c>
      <c r="AI348">
        <f t="shared" ca="1" si="64"/>
        <v>404.83335561331899</v>
      </c>
      <c r="AJ348">
        <f t="shared" ca="1" si="65"/>
        <v>2503.9844371982622</v>
      </c>
      <c r="AK348">
        <f t="shared" ca="1" si="66"/>
        <v>57.599999999999902</v>
      </c>
      <c r="AL348">
        <f t="shared" ca="1" si="67"/>
        <v>74.627322847629401</v>
      </c>
    </row>
    <row r="349" spans="1:38" hidden="1">
      <c r="A349" t="str">
        <f ca="1">IF(ISNA(A$1), 0, OFFSET(data!$A$1, ROW()-1, A$1-1))</f>
        <v>Oahu</v>
      </c>
      <c r="B349">
        <f ca="1">IF(ISNA(B$1), 0, OFFSET(data!$A$1, ROW()-1, B$1-1))</f>
        <v>2030</v>
      </c>
      <c r="C349" t="str">
        <f ca="1">IF(ISNA(C$1), 0, OFFSET(data!$A$1, ROW()-1, C$1-1))</f>
        <v>2030-06-05-20:00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42.282845335298802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99.882845335298796</v>
      </c>
      <c r="R349">
        <f ca="1">IF(ISNA(R$1), 0, OFFSET(data!$A$1, ROW()-1, R$1-1))</f>
        <v>404.83335561331899</v>
      </c>
      <c r="S349">
        <f ca="1">IF(ISNA(S$1), 0, OFFSET(data!$A$1, ROW()-1, S$1-1))</f>
        <v>250.988803826381</v>
      </c>
      <c r="T349">
        <f ca="1">IF(ISNA(T$1), 0, OFFSET(data!$A$1, ROW()-1, T$1-1))</f>
        <v>1079.57857825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-323.873573475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0</v>
      </c>
      <c r="AA349" t="str">
        <f ca="1">IF(ISNA(AA$1), #N/A, OFFSET(data!$A$1, ROW()-1, AA$1-1))</f>
        <v>peak</v>
      </c>
      <c r="AB349">
        <f t="shared" ca="1" si="57"/>
        <v>2030</v>
      </c>
      <c r="AC349">
        <f t="shared" ca="1" si="58"/>
        <v>6</v>
      </c>
      <c r="AD349" t="str">
        <f t="shared" ca="1" si="59"/>
        <v>06/05/2030</v>
      </c>
      <c r="AE349" t="str">
        <f t="shared" ca="1" si="60"/>
        <v/>
      </c>
      <c r="AF349" s="6">
        <f t="shared" ca="1" si="61"/>
        <v>0</v>
      </c>
      <c r="AG349">
        <f t="shared" ca="1" si="62"/>
        <v>755.70500477499991</v>
      </c>
      <c r="AH349">
        <f t="shared" ca="1" si="63"/>
        <v>250.988803826381</v>
      </c>
      <c r="AI349">
        <f t="shared" ca="1" si="64"/>
        <v>404.83335561331899</v>
      </c>
      <c r="AJ349">
        <f t="shared" ca="1" si="65"/>
        <v>0</v>
      </c>
      <c r="AK349">
        <f t="shared" ca="1" si="66"/>
        <v>57.599999999999902</v>
      </c>
      <c r="AL349">
        <f t="shared" ca="1" si="67"/>
        <v>42.282845335298802</v>
      </c>
    </row>
    <row r="350" spans="1:38" hidden="1">
      <c r="A350" t="str">
        <f ca="1">IF(ISNA(A$1), 0, OFFSET(data!$A$1, ROW()-1, A$1-1))</f>
        <v>Oahu</v>
      </c>
      <c r="B350">
        <f ca="1">IF(ISNA(B$1), 0, OFFSET(data!$A$1, ROW()-1, B$1-1))</f>
        <v>2030</v>
      </c>
      <c r="C350" t="str">
        <f ca="1">IF(ISNA(C$1), 0, OFFSET(data!$A$1, ROW()-1, C$1-1))</f>
        <v>2030-06-05-22:00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47.2304817072201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104.83048170722</v>
      </c>
      <c r="R350">
        <f ca="1">IF(ISNA(R$1), 0, OFFSET(data!$A$1, ROW()-1, R$1-1))</f>
        <v>404.83335561331899</v>
      </c>
      <c r="S350">
        <f ca="1">IF(ISNA(S$1), 0, OFFSET(data!$A$1, ROW()-1, S$1-1))</f>
        <v>148.68983464856001</v>
      </c>
      <c r="T350">
        <f ca="1">IF(ISNA(T$1), 0, OFFSET(data!$A$1, ROW()-1, T$1-1))</f>
        <v>797.64810281300004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-239.29443084389999</v>
      </c>
      <c r="X350">
        <f ca="1">IF(ISNA(X$1), 0, OFFSET(data!$A$1, ROW()-1, X$1-1))</f>
        <v>0</v>
      </c>
      <c r="Y350">
        <f ca="1">IF(ISNA(Y$1), 0, OFFSET(data!$A$1, ROW()-1, Y$1-1))</f>
        <v>100</v>
      </c>
      <c r="Z350">
        <f ca="1">IF(ISNA(Z$1), 0, OFFSET(data!$A$1, ROW()-1, Z$1-1))</f>
        <v>0</v>
      </c>
      <c r="AA350" t="str">
        <f ca="1">IF(ISNA(AA$1), #N/A, OFFSET(data!$A$1, ROW()-1, AA$1-1))</f>
        <v>peak</v>
      </c>
      <c r="AB350">
        <f t="shared" ca="1" si="57"/>
        <v>2030</v>
      </c>
      <c r="AC350">
        <f t="shared" ca="1" si="58"/>
        <v>6</v>
      </c>
      <c r="AD350" t="str">
        <f t="shared" ca="1" si="59"/>
        <v>06/05/2030</v>
      </c>
      <c r="AE350" t="str">
        <f t="shared" ca="1" si="60"/>
        <v/>
      </c>
      <c r="AF350" s="6">
        <f t="shared" ca="1" si="61"/>
        <v>0</v>
      </c>
      <c r="AG350">
        <f t="shared" ca="1" si="62"/>
        <v>558.35367196910011</v>
      </c>
      <c r="AH350">
        <f t="shared" ca="1" si="63"/>
        <v>148.68983464856001</v>
      </c>
      <c r="AI350">
        <f t="shared" ca="1" si="64"/>
        <v>404.83335561331899</v>
      </c>
      <c r="AJ350">
        <f t="shared" ca="1" si="65"/>
        <v>0</v>
      </c>
      <c r="AK350">
        <f t="shared" ca="1" si="66"/>
        <v>57.599999999999902</v>
      </c>
      <c r="AL350">
        <f t="shared" ca="1" si="67"/>
        <v>47.2304817072201</v>
      </c>
    </row>
    <row r="351" spans="1:38" hidden="1">
      <c r="A351" t="str">
        <f ca="1">IF(ISNA(A$1), 0, OFFSET(data!$A$1, ROW()-1, A$1-1))</f>
        <v>Oahu</v>
      </c>
      <c r="B351">
        <f ca="1">IF(ISNA(B$1), 0, OFFSET(data!$A$1, ROW()-1, B$1-1))</f>
        <v>2030</v>
      </c>
      <c r="C351" t="str">
        <f ca="1">IF(ISNA(C$1), 0, OFFSET(data!$A$1, ROW()-1, C$1-1))</f>
        <v>2030-06-26-00:00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48.380591485535099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105.980591485535</v>
      </c>
      <c r="R351">
        <f ca="1">IF(ISNA(R$1), 0, OFFSET(data!$A$1, ROW()-1, R$1-1))</f>
        <v>0</v>
      </c>
      <c r="S351">
        <f ca="1">IF(ISNA(S$1), 0, OFFSET(data!$A$1, ROW()-1, S$1-1))</f>
        <v>350</v>
      </c>
      <c r="T351">
        <f ca="1">IF(ISNA(T$1), 0, OFFSET(data!$A$1, ROW()-1, T$1-1))</f>
        <v>564.36567858800004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-169.30970357640001</v>
      </c>
      <c r="X351">
        <f ca="1">IF(ISNA(X$1), 0, OFFSET(data!$A$1, ROW()-1, X$1-1))</f>
        <v>0</v>
      </c>
      <c r="Y351">
        <f ca="1">IF(ISNA(Y$1), 0, OFFSET(data!$A$1, ROW()-1, Y$1-1))</f>
        <v>60.924616473934996</v>
      </c>
      <c r="Z351">
        <f ca="1">IF(ISNA(Z$1), 0, OFFSET(data!$A$1, ROW()-1, Z$1-1))</f>
        <v>0</v>
      </c>
      <c r="AA351" t="str">
        <f ca="1">IF(ISNA(AA$1), #N/A, OFFSET(data!$A$1, ROW()-1, AA$1-1))</f>
        <v>typical</v>
      </c>
      <c r="AB351">
        <f t="shared" ca="1" si="57"/>
        <v>2030</v>
      </c>
      <c r="AC351">
        <f t="shared" ca="1" si="58"/>
        <v>6</v>
      </c>
      <c r="AD351" t="str">
        <f t="shared" ca="1" si="59"/>
        <v>06/26/2030</v>
      </c>
      <c r="AE351" t="str">
        <f t="shared" ca="1" si="60"/>
        <v/>
      </c>
      <c r="AF351" s="6">
        <f t="shared" ca="1" si="61"/>
        <v>0</v>
      </c>
      <c r="AG351">
        <f t="shared" ca="1" si="62"/>
        <v>395.05597501160003</v>
      </c>
      <c r="AH351">
        <f t="shared" ca="1" si="63"/>
        <v>350</v>
      </c>
      <c r="AI351">
        <f t="shared" ca="1" si="64"/>
        <v>0</v>
      </c>
      <c r="AJ351">
        <f t="shared" ca="1" si="65"/>
        <v>0</v>
      </c>
      <c r="AK351">
        <f t="shared" ca="1" si="66"/>
        <v>57.599999999999902</v>
      </c>
      <c r="AL351">
        <f t="shared" ca="1" si="67"/>
        <v>48.380591485535099</v>
      </c>
    </row>
    <row r="352" spans="1:38" hidden="1">
      <c r="A352" t="str">
        <f ca="1">IF(ISNA(A$1), 0, OFFSET(data!$A$1, ROW()-1, A$1-1))</f>
        <v>Oahu</v>
      </c>
      <c r="B352">
        <f ca="1">IF(ISNA(B$1), 0, OFFSET(data!$A$1, ROW()-1, B$1-1))</f>
        <v>2030</v>
      </c>
      <c r="C352" t="str">
        <f ca="1">IF(ISNA(C$1), 0, OFFSET(data!$A$1, ROW()-1, C$1-1))</f>
        <v>2030-06-26-02:00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74.206969320156006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131.80696932015601</v>
      </c>
      <c r="R352">
        <f ca="1">IF(ISNA(R$1), 0, OFFSET(data!$A$1, ROW()-1, R$1-1))</f>
        <v>0</v>
      </c>
      <c r="S352">
        <f ca="1">IF(ISNA(S$1), 0, OFFSET(data!$A$1, ROW()-1, S$1-1))</f>
        <v>310.31407052224301</v>
      </c>
      <c r="T352">
        <f ca="1">IF(ISNA(T$1), 0, OFFSET(data!$A$1, ROW()-1, T$1-1))</f>
        <v>488.74434263199998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-146.62330278959999</v>
      </c>
      <c r="X352">
        <f ca="1">IF(ISNA(X$1), 0, OFFSET(data!$A$1, ROW()-1, X$1-1))</f>
        <v>0</v>
      </c>
      <c r="Y352">
        <f ca="1">IF(ISNA(Y$1), 0, OFFSET(data!$A$1, ROW()-1, Y$1-1))</f>
        <v>100</v>
      </c>
      <c r="Z352">
        <f ca="1">IF(ISNA(Z$1), 0, OFFSET(data!$A$1, ROW()-1, Z$1-1))</f>
        <v>0</v>
      </c>
      <c r="AA352" t="str">
        <f ca="1">IF(ISNA(AA$1), #N/A, OFFSET(data!$A$1, ROW()-1, AA$1-1))</f>
        <v>typical</v>
      </c>
      <c r="AB352">
        <f t="shared" ca="1" si="57"/>
        <v>2030</v>
      </c>
      <c r="AC352">
        <f t="shared" ca="1" si="58"/>
        <v>6</v>
      </c>
      <c r="AD352" t="str">
        <f t="shared" ca="1" si="59"/>
        <v>06/26/2030</v>
      </c>
      <c r="AE352" t="str">
        <f t="shared" ca="1" si="60"/>
        <v/>
      </c>
      <c r="AF352" s="6">
        <f t="shared" ca="1" si="61"/>
        <v>0</v>
      </c>
      <c r="AG352">
        <f t="shared" ca="1" si="62"/>
        <v>342.12103984240002</v>
      </c>
      <c r="AH352">
        <f t="shared" ca="1" si="63"/>
        <v>310.31407052224301</v>
      </c>
      <c r="AI352">
        <f t="shared" ca="1" si="64"/>
        <v>0</v>
      </c>
      <c r="AJ352">
        <f t="shared" ca="1" si="65"/>
        <v>0</v>
      </c>
      <c r="AK352">
        <f t="shared" ca="1" si="66"/>
        <v>57.599999999999902</v>
      </c>
      <c r="AL352">
        <f t="shared" ca="1" si="67"/>
        <v>74.206969320156006</v>
      </c>
    </row>
    <row r="353" spans="1:38" hidden="1">
      <c r="A353" t="str">
        <f ca="1">IF(ISNA(A$1), 0, OFFSET(data!$A$1, ROW()-1, A$1-1))</f>
        <v>Oahu</v>
      </c>
      <c r="B353">
        <f ca="1">IF(ISNA(B$1), 0, OFFSET(data!$A$1, ROW()-1, B$1-1))</f>
        <v>2030</v>
      </c>
      <c r="C353" t="str">
        <f ca="1">IF(ISNA(C$1), 0, OFFSET(data!$A$1, ROW()-1, C$1-1))</f>
        <v>2030-06-26-04:00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63.248886647553498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120.848886647553</v>
      </c>
      <c r="R353">
        <f ca="1">IF(ISNA(R$1), 0, OFFSET(data!$A$1, ROW()-1, R$1-1))</f>
        <v>0</v>
      </c>
      <c r="S353">
        <f ca="1">IF(ISNA(S$1), 0, OFFSET(data!$A$1, ROW()-1, S$1-1))</f>
        <v>350</v>
      </c>
      <c r="T353">
        <f ca="1">IF(ISNA(T$1), 0, OFFSET(data!$A$1, ROW()-1, T$1-1))</f>
        <v>568.45921572199995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-170.53776471659901</v>
      </c>
      <c r="X353">
        <f ca="1">IF(ISNA(X$1), 0, OFFSET(data!$A$1, ROW()-1, X$1-1))</f>
        <v>0</v>
      </c>
      <c r="Y353">
        <f ca="1">IF(ISNA(Y$1), 0, OFFSET(data!$A$1, ROW()-1, Y$1-1))</f>
        <v>72.927435642153597</v>
      </c>
      <c r="Z353">
        <f ca="1">IF(ISNA(Z$1), 0, OFFSET(data!$A$1, ROW()-1, Z$1-1))</f>
        <v>0</v>
      </c>
      <c r="AA353" t="str">
        <f ca="1">IF(ISNA(AA$1), #N/A, OFFSET(data!$A$1, ROW()-1, AA$1-1))</f>
        <v>typical</v>
      </c>
      <c r="AB353">
        <f t="shared" ca="1" si="57"/>
        <v>2030</v>
      </c>
      <c r="AC353">
        <f t="shared" ca="1" si="58"/>
        <v>6</v>
      </c>
      <c r="AD353" t="str">
        <f t="shared" ca="1" si="59"/>
        <v>06/26/2030</v>
      </c>
      <c r="AE353" t="str">
        <f t="shared" ca="1" si="60"/>
        <v/>
      </c>
      <c r="AF353" s="6">
        <f t="shared" ca="1" si="61"/>
        <v>0</v>
      </c>
      <c r="AG353">
        <f t="shared" ca="1" si="62"/>
        <v>397.92145100540097</v>
      </c>
      <c r="AH353">
        <f t="shared" ca="1" si="63"/>
        <v>350</v>
      </c>
      <c r="AI353">
        <f t="shared" ca="1" si="64"/>
        <v>0</v>
      </c>
      <c r="AJ353">
        <f t="shared" ca="1" si="65"/>
        <v>0</v>
      </c>
      <c r="AK353">
        <f t="shared" ca="1" si="66"/>
        <v>57.599999999999902</v>
      </c>
      <c r="AL353">
        <f t="shared" ca="1" si="67"/>
        <v>63.248886647553498</v>
      </c>
    </row>
    <row r="354" spans="1:38" hidden="1">
      <c r="A354" t="str">
        <f ca="1">IF(ISNA(A$1), 0, OFFSET(data!$A$1, ROW()-1, A$1-1))</f>
        <v>Oahu</v>
      </c>
      <c r="B354">
        <f ca="1">IF(ISNA(B$1), 0, OFFSET(data!$A$1, ROW()-1, B$1-1))</f>
        <v>2030</v>
      </c>
      <c r="C354" t="str">
        <f ca="1">IF(ISNA(C$1), 0, OFFSET(data!$A$1, ROW()-1, C$1-1))</f>
        <v>2030-06-26-06:00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721.68944553173503</v>
      </c>
      <c r="L354">
        <f ca="1">IF(ISNA(L$1), 0, OFFSET(data!$A$1, ROW()-1, L$1-1))</f>
        <v>57.599999999999902</v>
      </c>
      <c r="M354">
        <f ca="1">IF(ISNA(M$1), 0, OFFSET(data!$A$1, ROW()-1, M$1-1))</f>
        <v>59.1239730862182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838.41341861795399</v>
      </c>
      <c r="R354">
        <f ca="1">IF(ISNA(R$1), 0, OFFSET(data!$A$1, ROW()-1, R$1-1))</f>
        <v>0</v>
      </c>
      <c r="S354">
        <f ca="1">IF(ISNA(S$1), 0, OFFSET(data!$A$1, ROW()-1, S$1-1))</f>
        <v>4.66605774274643</v>
      </c>
      <c r="T354">
        <f ca="1">IF(ISNA(T$1), 0, OFFSET(data!$A$1, ROW()-1, T$1-1))</f>
        <v>847.25639480100006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-254.1769184403</v>
      </c>
      <c r="X354">
        <f ca="1">IF(ISNA(X$1), 0, OFFSET(data!$A$1, ROW()-1, X$1-1))</f>
        <v>0</v>
      </c>
      <c r="Y354">
        <f ca="1">IF(ISNA(Y$1), 0, OFFSET(data!$A$1, ROW()-1, Y$1-1))</f>
        <v>250</v>
      </c>
      <c r="Z354">
        <f ca="1">IF(ISNA(Z$1), 0, OFFSET(data!$A$1, ROW()-1, Z$1-1))</f>
        <v>0</v>
      </c>
      <c r="AA354" t="str">
        <f ca="1">IF(ISNA(AA$1), #N/A, OFFSET(data!$A$1, ROW()-1, AA$1-1))</f>
        <v>typical</v>
      </c>
      <c r="AB354">
        <f t="shared" ca="1" si="57"/>
        <v>2030</v>
      </c>
      <c r="AC354">
        <f t="shared" ca="1" si="58"/>
        <v>6</v>
      </c>
      <c r="AD354" t="str">
        <f t="shared" ca="1" si="59"/>
        <v>06/26/2030</v>
      </c>
      <c r="AE354" t="str">
        <f t="shared" ca="1" si="60"/>
        <v/>
      </c>
      <c r="AF354" s="6">
        <f t="shared" ca="1" si="61"/>
        <v>0</v>
      </c>
      <c r="AG354">
        <f t="shared" ca="1" si="62"/>
        <v>593.07947636070003</v>
      </c>
      <c r="AH354">
        <f t="shared" ca="1" si="63"/>
        <v>250</v>
      </c>
      <c r="AI354">
        <f t="shared" ca="1" si="64"/>
        <v>0</v>
      </c>
      <c r="AJ354">
        <f t="shared" ca="1" si="65"/>
        <v>721.68944553173503</v>
      </c>
      <c r="AK354">
        <f t="shared" ca="1" si="66"/>
        <v>57.599999999999902</v>
      </c>
      <c r="AL354">
        <f t="shared" ca="1" si="67"/>
        <v>59.1239730862182</v>
      </c>
    </row>
    <row r="355" spans="1:38" hidden="1">
      <c r="A355" t="str">
        <f ca="1">IF(ISNA(A$1), 0, OFFSET(data!$A$1, ROW()-1, A$1-1))</f>
        <v>Oahu</v>
      </c>
      <c r="B355">
        <f ca="1">IF(ISNA(B$1), 0, OFFSET(data!$A$1, ROW()-1, B$1-1))</f>
        <v>2030</v>
      </c>
      <c r="C355" t="str">
        <f ca="1">IF(ISNA(C$1), 0, OFFSET(data!$A$1, ROW()-1, C$1-1))</f>
        <v>2030-06-26-08:00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1129.64219856823</v>
      </c>
      <c r="L355">
        <f ca="1">IF(ISNA(L$1), 0, OFFSET(data!$A$1, ROW()-1, L$1-1))</f>
        <v>0</v>
      </c>
      <c r="M355">
        <f ca="1">IF(ISNA(M$1), 0, OFFSET(data!$A$1, ROW()-1, M$1-1))</f>
        <v>21.584040844238299</v>
      </c>
      <c r="N355">
        <f ca="1">IF(ISNA(N$1), 0, OFFSET(data!$A$1, ROW()-1, N$1-1))</f>
        <v>1076.5914035675401</v>
      </c>
      <c r="O355">
        <f ca="1">IF(ISNA(O$1), 0, OFFSET(data!$A$1, ROW()-1, O$1-1))</f>
        <v>57.599999999999902</v>
      </c>
      <c r="P355">
        <f ca="1">IF(ISNA(P$1), 0, OFFSET(data!$A$1, ROW()-1, P$1-1))</f>
        <v>18.702001963771</v>
      </c>
      <c r="Q355">
        <f ca="1">IF(ISNA(Q$1), 0, OFFSET(data!$A$1, ROW()-1, Q$1-1))</f>
        <v>1151.22623941247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1044.7695615299999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-243.54332211752299</v>
      </c>
      <c r="X355">
        <f ca="1">IF(ISNA(X$1), 0, OFFSET(data!$A$1, ROW()-1, X$1-1))</f>
        <v>0</v>
      </c>
      <c r="Y355">
        <f ca="1">IF(ISNA(Y$1), 0, OFFSET(data!$A$1, ROW()-1, Y$1-1))</f>
        <v>350</v>
      </c>
      <c r="Z355">
        <f ca="1">IF(ISNA(Z$1), 0, OFFSET(data!$A$1, ROW()-1, Z$1-1))</f>
        <v>-17.351541565542099</v>
      </c>
      <c r="AA355" t="str">
        <f ca="1">IF(ISNA(AA$1), #N/A, OFFSET(data!$A$1, ROW()-1, AA$1-1))</f>
        <v>typical</v>
      </c>
      <c r="AB355">
        <f t="shared" ca="1" si="57"/>
        <v>2030</v>
      </c>
      <c r="AC355">
        <f t="shared" ca="1" si="58"/>
        <v>6</v>
      </c>
      <c r="AD355" t="str">
        <f t="shared" ca="1" si="59"/>
        <v>06/26/2030</v>
      </c>
      <c r="AE355" t="str">
        <f t="shared" ca="1" si="60"/>
        <v/>
      </c>
      <c r="AF355" s="6">
        <f t="shared" ca="1" si="61"/>
        <v>-1.7351541565542101E-2</v>
      </c>
      <c r="AG355">
        <f t="shared" ca="1" si="62"/>
        <v>801.22623941247696</v>
      </c>
      <c r="AH355">
        <f t="shared" ca="1" si="63"/>
        <v>350</v>
      </c>
      <c r="AI355">
        <f t="shared" ca="1" si="64"/>
        <v>0</v>
      </c>
      <c r="AJ355">
        <f t="shared" ca="1" si="65"/>
        <v>2206.2336021357701</v>
      </c>
      <c r="AK355">
        <f t="shared" ca="1" si="66"/>
        <v>57.599999999999902</v>
      </c>
      <c r="AL355">
        <f t="shared" ca="1" si="67"/>
        <v>40.286042808009299</v>
      </c>
    </row>
    <row r="356" spans="1:38" hidden="1">
      <c r="A356" t="str">
        <f ca="1">IF(ISNA(A$1), 0, OFFSET(data!$A$1, ROW()-1, A$1-1))</f>
        <v>Oahu</v>
      </c>
      <c r="B356">
        <f ca="1">IF(ISNA(B$1), 0, OFFSET(data!$A$1, ROW()-1, B$1-1))</f>
        <v>2030</v>
      </c>
      <c r="C356" t="str">
        <f ca="1">IF(ISNA(C$1), 0, OFFSET(data!$A$1, ROW()-1, C$1-1))</f>
        <v>2030-06-26-10:00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1991.4783480849901</v>
      </c>
      <c r="L356">
        <f ca="1">IF(ISNA(L$1), 0, OFFSET(data!$A$1, ROW()-1, L$1-1))</f>
        <v>0</v>
      </c>
      <c r="M356">
        <f ca="1">IF(ISNA(M$1), 0, OFFSET(data!$A$1, ROW()-1, M$1-1))</f>
        <v>22.092031181465</v>
      </c>
      <c r="N356">
        <f ca="1">IF(ISNA(N$1), 0, OFFSET(data!$A$1, ROW()-1, N$1-1))</f>
        <v>1047.7117964613899</v>
      </c>
      <c r="O356">
        <f ca="1">IF(ISNA(O$1), 0, OFFSET(data!$A$1, ROW()-1, O$1-1))</f>
        <v>57.599999999999902</v>
      </c>
      <c r="P356">
        <f ca="1">IF(ISNA(P$1), 0, OFFSET(data!$A$1, ROW()-1, P$1-1))</f>
        <v>21.319573720938202</v>
      </c>
      <c r="Q356">
        <f ca="1">IF(ISNA(Q$1), 0, OFFSET(data!$A$1, ROW()-1, Q$1-1))</f>
        <v>2013.5703792664599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1144.63814252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518.93223674646299</v>
      </c>
      <c r="X356">
        <f ca="1">IF(ISNA(X$1), 0, OFFSET(data!$A$1, ROW()-1, X$1-1))</f>
        <v>0</v>
      </c>
      <c r="Y356">
        <f ca="1">IF(ISNA(Y$1), 0, OFFSET(data!$A$1, ROW()-1, Y$1-1))</f>
        <v>350</v>
      </c>
      <c r="Z356">
        <f ca="1">IF(ISNA(Z$1), 0, OFFSET(data!$A$1, ROW()-1, Z$1-1))</f>
        <v>-17.351541565542099</v>
      </c>
      <c r="AA356" t="str">
        <f ca="1">IF(ISNA(AA$1), #N/A, OFFSET(data!$A$1, ROW()-1, AA$1-1))</f>
        <v>typical</v>
      </c>
      <c r="AB356">
        <f t="shared" ca="1" si="57"/>
        <v>2030</v>
      </c>
      <c r="AC356">
        <f t="shared" ca="1" si="58"/>
        <v>6</v>
      </c>
      <c r="AD356" t="str">
        <f t="shared" ca="1" si="59"/>
        <v>06/26/2030</v>
      </c>
      <c r="AE356" t="str">
        <f t="shared" ca="1" si="60"/>
        <v/>
      </c>
      <c r="AF356" s="6">
        <f t="shared" ca="1" si="61"/>
        <v>-1.7351541565542101E-2</v>
      </c>
      <c r="AG356">
        <f t="shared" ca="1" si="62"/>
        <v>1663.5703792664631</v>
      </c>
      <c r="AH356">
        <f t="shared" ca="1" si="63"/>
        <v>350</v>
      </c>
      <c r="AI356">
        <f t="shared" ca="1" si="64"/>
        <v>0</v>
      </c>
      <c r="AJ356">
        <f t="shared" ca="1" si="65"/>
        <v>3039.19014454638</v>
      </c>
      <c r="AK356">
        <f t="shared" ca="1" si="66"/>
        <v>57.599999999999902</v>
      </c>
      <c r="AL356">
        <f t="shared" ca="1" si="67"/>
        <v>43.411604902403198</v>
      </c>
    </row>
    <row r="357" spans="1:38" hidden="1">
      <c r="A357" t="str">
        <f ca="1">IF(ISNA(A$1), 0, OFFSET(data!$A$1, ROW()-1, A$1-1))</f>
        <v>Oahu</v>
      </c>
      <c r="B357">
        <f ca="1">IF(ISNA(B$1), 0, OFFSET(data!$A$1, ROW()-1, B$1-1))</f>
        <v>2030</v>
      </c>
      <c r="C357" t="str">
        <f ca="1">IF(ISNA(C$1), 0, OFFSET(data!$A$1, ROW()-1, C$1-1))</f>
        <v>2030-06-26-12:00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1143.49519458328</v>
      </c>
      <c r="L357">
        <f ca="1">IF(ISNA(L$1), 0, OFFSET(data!$A$1, ROW()-1, L$1-1))</f>
        <v>0</v>
      </c>
      <c r="M357">
        <f ca="1">IF(ISNA(M$1), 0, OFFSET(data!$A$1, ROW()-1, M$1-1))</f>
        <v>18.391986696717701</v>
      </c>
      <c r="N357">
        <f ca="1">IF(ISNA(N$1), 0, OFFSET(data!$A$1, ROW()-1, N$1-1))</f>
        <v>2077.5481844554402</v>
      </c>
      <c r="O357">
        <f ca="1">IF(ISNA(O$1), 0, OFFSET(data!$A$1, ROW()-1, O$1-1))</f>
        <v>57.599999999999902</v>
      </c>
      <c r="P357">
        <f ca="1">IF(ISNA(P$1), 0, OFFSET(data!$A$1, ROW()-1, P$1-1))</f>
        <v>24.183417669111002</v>
      </c>
      <c r="Q357">
        <f ca="1">IF(ISNA(Q$1), 0, OFFSET(data!$A$1, ROW()-1, Q$1-1))</f>
        <v>1161.88718128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1159.8388304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-347.95164912000001</v>
      </c>
      <c r="X357">
        <f ca="1">IF(ISNA(X$1), 0, OFFSET(data!$A$1, ROW()-1, X$1-1))</f>
        <v>0</v>
      </c>
      <c r="Y357">
        <f ca="1">IF(ISNA(Y$1), 0, OFFSET(data!$A$1, ROW()-1, Y$1-1))</f>
        <v>350</v>
      </c>
      <c r="Z357">
        <f ca="1">IF(ISNA(Z$1), 0, OFFSET(data!$A$1, ROW()-1, Z$1-1))</f>
        <v>-17.351541565542099</v>
      </c>
      <c r="AA357" t="str">
        <f ca="1">IF(ISNA(AA$1), #N/A, OFFSET(data!$A$1, ROW()-1, AA$1-1))</f>
        <v>typical</v>
      </c>
      <c r="AB357">
        <f t="shared" ca="1" si="57"/>
        <v>2030</v>
      </c>
      <c r="AC357">
        <f t="shared" ca="1" si="58"/>
        <v>6</v>
      </c>
      <c r="AD357" t="str">
        <f t="shared" ca="1" si="59"/>
        <v>06/26/2030</v>
      </c>
      <c r="AE357" t="str">
        <f t="shared" ca="1" si="60"/>
        <v>06/26/2030</v>
      </c>
      <c r="AF357" s="6">
        <f t="shared" ca="1" si="61"/>
        <v>-1.7351541565542101E-2</v>
      </c>
      <c r="AG357">
        <f t="shared" ca="1" si="62"/>
        <v>811.88718128000005</v>
      </c>
      <c r="AH357">
        <f t="shared" ca="1" si="63"/>
        <v>350</v>
      </c>
      <c r="AI357">
        <f t="shared" ca="1" si="64"/>
        <v>0</v>
      </c>
      <c r="AJ357">
        <f t="shared" ca="1" si="65"/>
        <v>3221.0433790387201</v>
      </c>
      <c r="AK357">
        <f t="shared" ca="1" si="66"/>
        <v>57.599999999999902</v>
      </c>
      <c r="AL357">
        <f t="shared" ca="1" si="67"/>
        <v>42.575404365828703</v>
      </c>
    </row>
    <row r="358" spans="1:38" hidden="1">
      <c r="A358" t="str">
        <f ca="1">IF(ISNA(A$1), 0, OFFSET(data!$A$1, ROW()-1, A$1-1))</f>
        <v>Oahu</v>
      </c>
      <c r="B358">
        <f ca="1">IF(ISNA(B$1), 0, OFFSET(data!$A$1, ROW()-1, B$1-1))</f>
        <v>2030</v>
      </c>
      <c r="C358" t="str">
        <f ca="1">IF(ISNA(C$1), 0, OFFSET(data!$A$1, ROW()-1, C$1-1))</f>
        <v>2030-06-26-14:00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2413.5302284460799</v>
      </c>
      <c r="L358">
        <f ca="1">IF(ISNA(L$1), 0, OFFSET(data!$A$1, ROW()-1, L$1-1))</f>
        <v>0</v>
      </c>
      <c r="M358">
        <f ca="1">IF(ISNA(M$1), 0, OFFSET(data!$A$1, ROW()-1, M$1-1))</f>
        <v>37.5178217914046</v>
      </c>
      <c r="N358">
        <f ca="1">IF(ISNA(N$1), 0, OFFSET(data!$A$1, ROW()-1, N$1-1))</f>
        <v>694.07309594737399</v>
      </c>
      <c r="O358">
        <f ca="1">IF(ISNA(O$1), 0, OFFSET(data!$A$1, ROW()-1, O$1-1))</f>
        <v>57.599999999999902</v>
      </c>
      <c r="P358">
        <f ca="1">IF(ISNA(P$1), 0, OFFSET(data!$A$1, ROW()-1, P$1-1))</f>
        <v>9.1680737678011006</v>
      </c>
      <c r="Q358">
        <f ca="1">IF(ISNA(Q$1), 0, OFFSET(data!$A$1, ROW()-1, Q$1-1))</f>
        <v>2451.0480502374899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1155.1994549999999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945.84859523749003</v>
      </c>
      <c r="X358">
        <f ca="1">IF(ISNA(X$1), 0, OFFSET(data!$A$1, ROW()-1, X$1-1))</f>
        <v>0</v>
      </c>
      <c r="Y358">
        <f ca="1">IF(ISNA(Y$1), 0, OFFSET(data!$A$1, ROW()-1, Y$1-1))</f>
        <v>350</v>
      </c>
      <c r="Z358">
        <f ca="1">IF(ISNA(Z$1), 0, OFFSET(data!$A$1, ROW()-1, Z$1-1))</f>
        <v>-17.351541565542099</v>
      </c>
      <c r="AA358" t="str">
        <f ca="1">IF(ISNA(AA$1), #N/A, OFFSET(data!$A$1, ROW()-1, AA$1-1))</f>
        <v>typical</v>
      </c>
      <c r="AB358">
        <f t="shared" ca="1" si="57"/>
        <v>2030</v>
      </c>
      <c r="AC358">
        <f t="shared" ca="1" si="58"/>
        <v>6</v>
      </c>
      <c r="AD358" t="str">
        <f t="shared" ca="1" si="59"/>
        <v>06/26/2030</v>
      </c>
      <c r="AE358" t="str">
        <f t="shared" ca="1" si="60"/>
        <v/>
      </c>
      <c r="AF358" s="6">
        <f t="shared" ca="1" si="61"/>
        <v>-1.7351541565542101E-2</v>
      </c>
      <c r="AG358">
        <f t="shared" ca="1" si="62"/>
        <v>2101.0480502374899</v>
      </c>
      <c r="AH358">
        <f t="shared" ca="1" si="63"/>
        <v>350</v>
      </c>
      <c r="AI358">
        <f t="shared" ca="1" si="64"/>
        <v>0</v>
      </c>
      <c r="AJ358">
        <f t="shared" ca="1" si="65"/>
        <v>3107.6033243934539</v>
      </c>
      <c r="AK358">
        <f t="shared" ca="1" si="66"/>
        <v>57.599999999999902</v>
      </c>
      <c r="AL358">
        <f t="shared" ca="1" si="67"/>
        <v>46.685895559205704</v>
      </c>
    </row>
    <row r="359" spans="1:38" hidden="1">
      <c r="A359" t="str">
        <f ca="1">IF(ISNA(A$1), 0, OFFSET(data!$A$1, ROW()-1, A$1-1))</f>
        <v>Oahu</v>
      </c>
      <c r="B359">
        <f ca="1">IF(ISNA(B$1), 0, OFFSET(data!$A$1, ROW()-1, B$1-1))</f>
        <v>2030</v>
      </c>
      <c r="C359" t="str">
        <f ca="1">IF(ISNA(C$1), 0, OFFSET(data!$A$1, ROW()-1, C$1-1))</f>
        <v>2030-06-26-16:00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2221.0307921472199</v>
      </c>
      <c r="L359">
        <f ca="1">IF(ISNA(L$1), 0, OFFSET(data!$A$1, ROW()-1, L$1-1))</f>
        <v>0</v>
      </c>
      <c r="M359">
        <f ca="1">IF(ISNA(M$1), 0, OFFSET(data!$A$1, ROW()-1, M$1-1))</f>
        <v>71.459500910325104</v>
      </c>
      <c r="N359">
        <f ca="1">IF(ISNA(N$1), 0, OFFSET(data!$A$1, ROW()-1, N$1-1))</f>
        <v>219.289835858598</v>
      </c>
      <c r="O359">
        <f ca="1">IF(ISNA(O$1), 0, OFFSET(data!$A$1, ROW()-1, O$1-1))</f>
        <v>57.599999999999902</v>
      </c>
      <c r="P359">
        <f ca="1">IF(ISNA(P$1), 0, OFFSET(data!$A$1, ROW()-1, P$1-1))</f>
        <v>17.7852047330225</v>
      </c>
      <c r="Q359">
        <f ca="1">IF(ISNA(Q$1), 0, OFFSET(data!$A$1, ROW()-1, Q$1-1))</f>
        <v>2292.4902930575399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1119.85871767</v>
      </c>
      <c r="U359">
        <f ca="1">IF(ISNA(U$1), 0, OFFSET(data!$A$1, ROW()-1, U$1-1))</f>
        <v>0</v>
      </c>
      <c r="V359">
        <f ca="1">IF(ISNA(V$1), 0, OFFSET(data!$A$1, ROW()-1, V$1-1))</f>
        <v>77.087777398299295</v>
      </c>
      <c r="W359">
        <f ca="1">IF(ISNA(W$1), 0, OFFSET(data!$A$1, ROW()-1, W$1-1))</f>
        <v>745.54379798924697</v>
      </c>
      <c r="X359">
        <f ca="1">IF(ISNA(X$1), 0, OFFSET(data!$A$1, ROW()-1, X$1-1))</f>
        <v>0</v>
      </c>
      <c r="Y359">
        <f ca="1">IF(ISNA(Y$1), 0, OFFSET(data!$A$1, ROW()-1, Y$1-1))</f>
        <v>350</v>
      </c>
      <c r="Z359">
        <f ca="1">IF(ISNA(Z$1), 0, OFFSET(data!$A$1, ROW()-1, Z$1-1))</f>
        <v>-17.351541565542099</v>
      </c>
      <c r="AA359" t="str">
        <f ca="1">IF(ISNA(AA$1), #N/A, OFFSET(data!$A$1, ROW()-1, AA$1-1))</f>
        <v>typical</v>
      </c>
      <c r="AB359">
        <f t="shared" ca="1" si="57"/>
        <v>2030</v>
      </c>
      <c r="AC359">
        <f t="shared" ca="1" si="58"/>
        <v>6</v>
      </c>
      <c r="AD359" t="str">
        <f t="shared" ca="1" si="59"/>
        <v>06/26/2030</v>
      </c>
      <c r="AE359" t="str">
        <f t="shared" ca="1" si="60"/>
        <v/>
      </c>
      <c r="AF359" s="6">
        <f t="shared" ca="1" si="61"/>
        <v>-1.7351541565542101E-2</v>
      </c>
      <c r="AG359">
        <f t="shared" ca="1" si="62"/>
        <v>1865.402515659247</v>
      </c>
      <c r="AH359">
        <f t="shared" ca="1" si="63"/>
        <v>350</v>
      </c>
      <c r="AI359">
        <f t="shared" ca="1" si="64"/>
        <v>77.087777398299295</v>
      </c>
      <c r="AJ359">
        <f t="shared" ca="1" si="65"/>
        <v>2440.320628005818</v>
      </c>
      <c r="AK359">
        <f t="shared" ca="1" si="66"/>
        <v>57.599999999999902</v>
      </c>
      <c r="AL359">
        <f t="shared" ca="1" si="67"/>
        <v>89.244705643347601</v>
      </c>
    </row>
    <row r="360" spans="1:38" hidden="1">
      <c r="A360" t="str">
        <f ca="1">IF(ISNA(A$1), 0, OFFSET(data!$A$1, ROW()-1, A$1-1))</f>
        <v>Oahu</v>
      </c>
      <c r="B360">
        <f ca="1">IF(ISNA(B$1), 0, OFFSET(data!$A$1, ROW()-1, B$1-1))</f>
        <v>2030</v>
      </c>
      <c r="C360" t="str">
        <f ca="1">IF(ISNA(C$1), 0, OFFSET(data!$A$1, ROW()-1, C$1-1))</f>
        <v>2030-06-26-18:00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1401.0674475692199</v>
      </c>
      <c r="L360">
        <f ca="1">IF(ISNA(L$1), 0, OFFSET(data!$A$1, ROW()-1, L$1-1))</f>
        <v>0</v>
      </c>
      <c r="M360">
        <f ca="1">IF(ISNA(M$1), 0, OFFSET(data!$A$1, ROW()-1, M$1-1))</f>
        <v>101.907962943218</v>
      </c>
      <c r="N360">
        <f ca="1">IF(ISNA(N$1), 0, OFFSET(data!$A$1, ROW()-1, N$1-1))</f>
        <v>695.45550749918698</v>
      </c>
      <c r="O360">
        <f ca="1">IF(ISNA(O$1), 0, OFFSET(data!$A$1, ROW()-1, O$1-1))</f>
        <v>57.599999999999902</v>
      </c>
      <c r="P360">
        <f ca="1">IF(ISNA(P$1), 0, OFFSET(data!$A$1, ROW()-1, P$1-1))</f>
        <v>36.148671664710399</v>
      </c>
      <c r="Q360">
        <f ca="1">IF(ISNA(Q$1), 0, OFFSET(data!$A$1, ROW()-1, Q$1-1))</f>
        <v>1502.97541051244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1066.0968966600001</v>
      </c>
      <c r="U360">
        <f ca="1">IF(ISNA(U$1), 0, OFFSET(data!$A$1, ROW()-1, U$1-1))</f>
        <v>0</v>
      </c>
      <c r="V360">
        <f ca="1">IF(ISNA(V$1), 0, OFFSET(data!$A$1, ROW()-1, V$1-1))</f>
        <v>404.83335561331899</v>
      </c>
      <c r="W360">
        <f ca="1">IF(ISNA(W$1), 0, OFFSET(data!$A$1, ROW()-1, W$1-1))</f>
        <v>-317.95484176087803</v>
      </c>
      <c r="X360">
        <f ca="1">IF(ISNA(X$1), 0, OFFSET(data!$A$1, ROW()-1, X$1-1))</f>
        <v>0</v>
      </c>
      <c r="Y360">
        <f ca="1">IF(ISNA(Y$1), 0, OFFSET(data!$A$1, ROW()-1, Y$1-1))</f>
        <v>350</v>
      </c>
      <c r="Z360">
        <f ca="1">IF(ISNA(Z$1), 0, OFFSET(data!$A$1, ROW()-1, Z$1-1))</f>
        <v>-17.351541565542099</v>
      </c>
      <c r="AA360" t="str">
        <f ca="1">IF(ISNA(AA$1), #N/A, OFFSET(data!$A$1, ROW()-1, AA$1-1))</f>
        <v>typical</v>
      </c>
      <c r="AB360">
        <f t="shared" ca="1" si="57"/>
        <v>2030</v>
      </c>
      <c r="AC360">
        <f t="shared" ca="1" si="58"/>
        <v>6</v>
      </c>
      <c r="AD360" t="str">
        <f t="shared" ca="1" si="59"/>
        <v>06/26/2030</v>
      </c>
      <c r="AE360" t="str">
        <f t="shared" ca="1" si="60"/>
        <v/>
      </c>
      <c r="AF360" s="6">
        <f t="shared" ca="1" si="61"/>
        <v>-1.7351541565542101E-2</v>
      </c>
      <c r="AG360">
        <f t="shared" ca="1" si="62"/>
        <v>748.14205489912206</v>
      </c>
      <c r="AH360">
        <f t="shared" ca="1" si="63"/>
        <v>350</v>
      </c>
      <c r="AI360">
        <f t="shared" ca="1" si="64"/>
        <v>404.83335561331899</v>
      </c>
      <c r="AJ360">
        <f t="shared" ca="1" si="65"/>
        <v>2096.5229550684071</v>
      </c>
      <c r="AK360">
        <f t="shared" ca="1" si="66"/>
        <v>57.599999999999902</v>
      </c>
      <c r="AL360">
        <f t="shared" ca="1" si="67"/>
        <v>138.0566346079284</v>
      </c>
    </row>
    <row r="361" spans="1:38" hidden="1">
      <c r="A361" t="str">
        <f ca="1">IF(ISNA(A$1), 0, OFFSET(data!$A$1, ROW()-1, A$1-1))</f>
        <v>Oahu</v>
      </c>
      <c r="B361">
        <f ca="1">IF(ISNA(B$1), 0, OFFSET(data!$A$1, ROW()-1, B$1-1))</f>
        <v>2030</v>
      </c>
      <c r="C361" t="str">
        <f ca="1">IF(ISNA(C$1), 0, OFFSET(data!$A$1, ROW()-1, C$1-1))</f>
        <v>2030-06-26-20:00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73.066990357479298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130.66699035747899</v>
      </c>
      <c r="R361">
        <f ca="1">IF(ISNA(R$1), 0, OFFSET(data!$A$1, ROW()-1, R$1-1))</f>
        <v>264.76029301251998</v>
      </c>
      <c r="S361">
        <f ca="1">IF(ISNA(S$1), 0, OFFSET(data!$A$1, ROW()-1, S$1-1))</f>
        <v>350</v>
      </c>
      <c r="T361">
        <f ca="1">IF(ISNA(T$1), 0, OFFSET(data!$A$1, ROW()-1, T$1-1))</f>
        <v>1064.8961191000001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-319.46883573000002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66.651367690388199</v>
      </c>
      <c r="AA361" t="str">
        <f ca="1">IF(ISNA(AA$1), #N/A, OFFSET(data!$A$1, ROW()-1, AA$1-1))</f>
        <v>typical</v>
      </c>
      <c r="AB361">
        <f t="shared" ca="1" si="57"/>
        <v>2030</v>
      </c>
      <c r="AC361">
        <f t="shared" ca="1" si="58"/>
        <v>6</v>
      </c>
      <c r="AD361" t="str">
        <f t="shared" ca="1" si="59"/>
        <v>06/26/2030</v>
      </c>
      <c r="AE361" t="str">
        <f t="shared" ca="1" si="60"/>
        <v/>
      </c>
      <c r="AF361" s="6">
        <f t="shared" ca="1" si="61"/>
        <v>6.6651367690388194E-2</v>
      </c>
      <c r="AG361">
        <f t="shared" ca="1" si="62"/>
        <v>745.42728337000005</v>
      </c>
      <c r="AH361">
        <f t="shared" ca="1" si="63"/>
        <v>350</v>
      </c>
      <c r="AI361">
        <f t="shared" ca="1" si="64"/>
        <v>264.76029301251998</v>
      </c>
      <c r="AJ361">
        <f t="shared" ca="1" si="65"/>
        <v>0</v>
      </c>
      <c r="AK361">
        <f t="shared" ca="1" si="66"/>
        <v>57.599999999999902</v>
      </c>
      <c r="AL361">
        <f t="shared" ca="1" si="67"/>
        <v>73.066990357479298</v>
      </c>
    </row>
    <row r="362" spans="1:38" hidden="1">
      <c r="A362" t="str">
        <f ca="1">IF(ISNA(A$1), 0, OFFSET(data!$A$1, ROW()-1, A$1-1))</f>
        <v>Oahu</v>
      </c>
      <c r="B362">
        <f ca="1">IF(ISNA(B$1), 0, OFFSET(data!$A$1, ROW()-1, B$1-1))</f>
        <v>2030</v>
      </c>
      <c r="C362" t="str">
        <f ca="1">IF(ISNA(C$1), 0, OFFSET(data!$A$1, ROW()-1, C$1-1))</f>
        <v>2030-06-26-22:00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57.488790604906697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115.08879060490599</v>
      </c>
      <c r="R362">
        <f ca="1">IF(ISNA(R$1), 0, OFFSET(data!$A$1, ROW()-1, R$1-1))</f>
        <v>96.680556746193105</v>
      </c>
      <c r="S362">
        <f ca="1">IF(ISNA(S$1), 0, OFFSET(data!$A$1, ROW()-1, S$1-1))</f>
        <v>350</v>
      </c>
      <c r="T362">
        <f ca="1">IF(ISNA(T$1), 0, OFFSET(data!$A$1, ROW()-1, T$1-1))</f>
        <v>802.52763907300005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-240.75829172190001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66.651367690388199</v>
      </c>
      <c r="AA362" t="str">
        <f ca="1">IF(ISNA(AA$1), #N/A, OFFSET(data!$A$1, ROW()-1, AA$1-1))</f>
        <v>typical</v>
      </c>
      <c r="AB362">
        <f t="shared" ca="1" si="57"/>
        <v>2030</v>
      </c>
      <c r="AC362">
        <f t="shared" ca="1" si="58"/>
        <v>6</v>
      </c>
      <c r="AD362" t="str">
        <f t="shared" ca="1" si="59"/>
        <v>06/26/2030</v>
      </c>
      <c r="AE362" t="str">
        <f t="shared" ca="1" si="60"/>
        <v/>
      </c>
      <c r="AF362" s="6">
        <f t="shared" ca="1" si="61"/>
        <v>6.6651367690388194E-2</v>
      </c>
      <c r="AG362">
        <f t="shared" ca="1" si="62"/>
        <v>561.76934735110001</v>
      </c>
      <c r="AH362">
        <f t="shared" ca="1" si="63"/>
        <v>350</v>
      </c>
      <c r="AI362">
        <f t="shared" ca="1" si="64"/>
        <v>96.680556746193105</v>
      </c>
      <c r="AJ362">
        <f t="shared" ca="1" si="65"/>
        <v>0</v>
      </c>
      <c r="AK362">
        <f t="shared" ca="1" si="66"/>
        <v>57.599999999999902</v>
      </c>
      <c r="AL362">
        <f t="shared" ca="1" si="67"/>
        <v>57.488790604906697</v>
      </c>
    </row>
    <row r="363" spans="1:38" hidden="1">
      <c r="A363" t="str">
        <f ca="1">IF(ISNA(A$1), 0, OFFSET(data!$A$1, ROW()-1, A$1-1))</f>
        <v>Oahu</v>
      </c>
      <c r="B363">
        <f ca="1">IF(ISNA(B$1), 0, OFFSET(data!$A$1, ROW()-1, B$1-1))</f>
        <v>2030</v>
      </c>
      <c r="C363" t="str">
        <f ca="1">IF(ISNA(C$1), 0, OFFSET(data!$A$1, ROW()-1, C$1-1))</f>
        <v>2030-08-13-00:00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73.810449773488699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131.41044977348801</v>
      </c>
      <c r="R363">
        <f ca="1">IF(ISNA(R$1), 0, OFFSET(data!$A$1, ROW()-1, R$1-1))</f>
        <v>0</v>
      </c>
      <c r="S363">
        <f ca="1">IF(ISNA(S$1), 0, OFFSET(data!$A$1, ROW()-1, S$1-1))</f>
        <v>262.41333324981099</v>
      </c>
      <c r="T363">
        <f ca="1">IF(ISNA(T$1), 0, OFFSET(data!$A$1, ROW()-1, T$1-1))</f>
        <v>562.60540431899994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-168.78162129569901</v>
      </c>
      <c r="X363">
        <f ca="1">IF(ISNA(X$1), 0, OFFSET(data!$A$1, ROW()-1, X$1-1))</f>
        <v>0</v>
      </c>
      <c r="Y363">
        <f ca="1">IF(ISNA(Y$1), 0, OFFSET(data!$A$1, ROW()-1, Y$1-1))</f>
        <v>0</v>
      </c>
      <c r="Z363">
        <f ca="1">IF(ISNA(Z$1), 0, OFFSET(data!$A$1, ROW()-1, Z$1-1))</f>
        <v>67.036957502955801</v>
      </c>
      <c r="AA363" t="str">
        <f ca="1">IF(ISNA(AA$1), #N/A, OFFSET(data!$A$1, ROW()-1, AA$1-1))</f>
        <v>typical</v>
      </c>
      <c r="AB363">
        <f t="shared" ca="1" si="57"/>
        <v>2030</v>
      </c>
      <c r="AC363">
        <f t="shared" ca="1" si="58"/>
        <v>8</v>
      </c>
      <c r="AD363" t="str">
        <f t="shared" ca="1" si="59"/>
        <v>08/13/2030</v>
      </c>
      <c r="AE363" t="str">
        <f t="shared" ca="1" si="60"/>
        <v/>
      </c>
      <c r="AF363" s="6">
        <f t="shared" ca="1" si="61"/>
        <v>6.7036957502955796E-2</v>
      </c>
      <c r="AG363">
        <f t="shared" ca="1" si="62"/>
        <v>393.82378302330096</v>
      </c>
      <c r="AH363">
        <f t="shared" ca="1" si="63"/>
        <v>262.41333324981099</v>
      </c>
      <c r="AI363">
        <f t="shared" ca="1" si="64"/>
        <v>0</v>
      </c>
      <c r="AJ363">
        <f t="shared" ca="1" si="65"/>
        <v>0</v>
      </c>
      <c r="AK363">
        <f t="shared" ca="1" si="66"/>
        <v>57.599999999999902</v>
      </c>
      <c r="AL363">
        <f t="shared" ca="1" si="67"/>
        <v>73.810449773488699</v>
      </c>
    </row>
    <row r="364" spans="1:38" hidden="1">
      <c r="A364" t="str">
        <f ca="1">IF(ISNA(A$1), 0, OFFSET(data!$A$1, ROW()-1, A$1-1))</f>
        <v>Oahu</v>
      </c>
      <c r="B364">
        <f ca="1">IF(ISNA(B$1), 0, OFFSET(data!$A$1, ROW()-1, B$1-1))</f>
        <v>2030</v>
      </c>
      <c r="C364" t="str">
        <f ca="1">IF(ISNA(C$1), 0, OFFSET(data!$A$1, ROW()-1, C$1-1))</f>
        <v>2030-08-13-02:00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72.191018039086003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129.791018039086</v>
      </c>
      <c r="R364">
        <f ca="1">IF(ISNA(R$1), 0, OFFSET(data!$A$1, ROW()-1, R$1-1))</f>
        <v>0</v>
      </c>
      <c r="S364">
        <f ca="1">IF(ISNA(S$1), 0, OFFSET(data!$A$1, ROW()-1, S$1-1))</f>
        <v>216.38944612821399</v>
      </c>
      <c r="T364">
        <f ca="1">IF(ISNA(T$1), 0, OFFSET(data!$A$1, ROW()-1, T$1-1))</f>
        <v>494.54352023899997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-148.36305607169999</v>
      </c>
      <c r="X364">
        <f ca="1">IF(ISNA(X$1), 0, OFFSET(data!$A$1, ROW()-1, X$1-1))</f>
        <v>0</v>
      </c>
      <c r="Y364">
        <f ca="1">IF(ISNA(Y$1), 0, OFFSET(data!$A$1, ROW()-1, Y$1-1))</f>
        <v>0</v>
      </c>
      <c r="Z364">
        <f ca="1">IF(ISNA(Z$1), 0, OFFSET(data!$A$1, ROW()-1, Z$1-1))</f>
        <v>67.036957502955801</v>
      </c>
      <c r="AA364" t="str">
        <f ca="1">IF(ISNA(AA$1), #N/A, OFFSET(data!$A$1, ROW()-1, AA$1-1))</f>
        <v>typical</v>
      </c>
      <c r="AB364">
        <f t="shared" ca="1" si="57"/>
        <v>2030</v>
      </c>
      <c r="AC364">
        <f t="shared" ca="1" si="58"/>
        <v>8</v>
      </c>
      <c r="AD364" t="str">
        <f t="shared" ca="1" si="59"/>
        <v>08/13/2030</v>
      </c>
      <c r="AE364" t="str">
        <f t="shared" ca="1" si="60"/>
        <v/>
      </c>
      <c r="AF364" s="6">
        <f t="shared" ca="1" si="61"/>
        <v>6.7036957502955796E-2</v>
      </c>
      <c r="AG364">
        <f t="shared" ca="1" si="62"/>
        <v>346.18046416729999</v>
      </c>
      <c r="AH364">
        <f t="shared" ca="1" si="63"/>
        <v>216.38944612821399</v>
      </c>
      <c r="AI364">
        <f t="shared" ca="1" si="64"/>
        <v>0</v>
      </c>
      <c r="AJ364">
        <f t="shared" ca="1" si="65"/>
        <v>0</v>
      </c>
      <c r="AK364">
        <f t="shared" ca="1" si="66"/>
        <v>57.599999999999902</v>
      </c>
      <c r="AL364">
        <f t="shared" ca="1" si="67"/>
        <v>72.191018039086003</v>
      </c>
    </row>
    <row r="365" spans="1:38" hidden="1">
      <c r="A365" t="str">
        <f ca="1">IF(ISNA(A$1), 0, OFFSET(data!$A$1, ROW()-1, A$1-1))</f>
        <v>Oahu</v>
      </c>
      <c r="B365">
        <f ca="1">IF(ISNA(B$1), 0, OFFSET(data!$A$1, ROW()-1, B$1-1))</f>
        <v>2030</v>
      </c>
      <c r="C365" t="str">
        <f ca="1">IF(ISNA(C$1), 0, OFFSET(data!$A$1, ROW()-1, C$1-1))</f>
        <v>2030-08-13-04:00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74.7009069643495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132.300906964349</v>
      </c>
      <c r="R365">
        <f ca="1">IF(ISNA(R$1), 0, OFFSET(data!$A$1, ROW()-1, R$1-1))</f>
        <v>0</v>
      </c>
      <c r="S365">
        <f ca="1">IF(ISNA(S$1), 0, OFFSET(data!$A$1, ROW()-1, S$1-1))</f>
        <v>265.11428196585001</v>
      </c>
      <c r="T365">
        <f ca="1">IF(ISNA(T$1), 0, OFFSET(data!$A$1, ROW()-1, T$1-1))</f>
        <v>567.735984186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-170.32079525579999</v>
      </c>
      <c r="X365">
        <f ca="1">IF(ISNA(X$1), 0, OFFSET(data!$A$1, ROW()-1, X$1-1))</f>
        <v>0</v>
      </c>
      <c r="Y365">
        <f ca="1">IF(ISNA(Y$1), 0, OFFSET(data!$A$1, ROW()-1, Y$1-1))</f>
        <v>0</v>
      </c>
      <c r="Z365">
        <f ca="1">IF(ISNA(Z$1), 0, OFFSET(data!$A$1, ROW()-1, Z$1-1))</f>
        <v>67.036957502955801</v>
      </c>
      <c r="AA365" t="str">
        <f ca="1">IF(ISNA(AA$1), #N/A, OFFSET(data!$A$1, ROW()-1, AA$1-1))</f>
        <v>typical</v>
      </c>
      <c r="AB365">
        <f t="shared" ca="1" si="57"/>
        <v>2030</v>
      </c>
      <c r="AC365">
        <f t="shared" ca="1" si="58"/>
        <v>8</v>
      </c>
      <c r="AD365" t="str">
        <f t="shared" ca="1" si="59"/>
        <v>08/13/2030</v>
      </c>
      <c r="AE365" t="str">
        <f t="shared" ca="1" si="60"/>
        <v/>
      </c>
      <c r="AF365" s="6">
        <f t="shared" ca="1" si="61"/>
        <v>6.7036957502955796E-2</v>
      </c>
      <c r="AG365">
        <f t="shared" ca="1" si="62"/>
        <v>397.41518893019997</v>
      </c>
      <c r="AH365">
        <f t="shared" ca="1" si="63"/>
        <v>265.11428196585001</v>
      </c>
      <c r="AI365">
        <f t="shared" ca="1" si="64"/>
        <v>0</v>
      </c>
      <c r="AJ365">
        <f t="shared" ca="1" si="65"/>
        <v>0</v>
      </c>
      <c r="AK365">
        <f t="shared" ca="1" si="66"/>
        <v>57.599999999999902</v>
      </c>
      <c r="AL365">
        <f t="shared" ca="1" si="67"/>
        <v>74.7009069643495</v>
      </c>
    </row>
    <row r="366" spans="1:38" hidden="1">
      <c r="A366" t="str">
        <f ca="1">IF(ISNA(A$1), 0, OFFSET(data!$A$1, ROW()-1, A$1-1))</f>
        <v>Oahu</v>
      </c>
      <c r="B366">
        <f ca="1">IF(ISNA(B$1), 0, OFFSET(data!$A$1, ROW()-1, B$1-1))</f>
        <v>2030</v>
      </c>
      <c r="C366" t="str">
        <f ca="1">IF(ISNA(C$1), 0, OFFSET(data!$A$1, ROW()-1, C$1-1))</f>
        <v>2030-08-13-06:00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292.80173569390701</v>
      </c>
      <c r="L366">
        <f ca="1">IF(ISNA(L$1), 0, OFFSET(data!$A$1, ROW()-1, L$1-1))</f>
        <v>57.599999999999902</v>
      </c>
      <c r="M366">
        <f ca="1">IF(ISNA(M$1), 0, OFFSET(data!$A$1, ROW()-1, M$1-1))</f>
        <v>57.565235307344402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407.96697100125198</v>
      </c>
      <c r="R366">
        <f ca="1">IF(ISNA(R$1), 0, OFFSET(data!$A$1, ROW()-1, R$1-1))</f>
        <v>0</v>
      </c>
      <c r="S366">
        <f ca="1">IF(ISNA(S$1), 0, OFFSET(data!$A$1, ROW()-1, S$1-1))</f>
        <v>199.51625604804701</v>
      </c>
      <c r="T366">
        <f ca="1">IF(ISNA(T$1), 0, OFFSET(data!$A$1, ROW()-1, T$1-1))</f>
        <v>867.83318149900003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-260.34995444970002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67.036957502955801</v>
      </c>
      <c r="AA366" t="str">
        <f ca="1">IF(ISNA(AA$1), #N/A, OFFSET(data!$A$1, ROW()-1, AA$1-1))</f>
        <v>typical</v>
      </c>
      <c r="AB366">
        <f t="shared" ca="1" si="57"/>
        <v>2030</v>
      </c>
      <c r="AC366">
        <f t="shared" ca="1" si="58"/>
        <v>8</v>
      </c>
      <c r="AD366" t="str">
        <f t="shared" ca="1" si="59"/>
        <v>08/13/2030</v>
      </c>
      <c r="AE366" t="str">
        <f t="shared" ca="1" si="60"/>
        <v/>
      </c>
      <c r="AF366" s="6">
        <f t="shared" ca="1" si="61"/>
        <v>6.7036957502955796E-2</v>
      </c>
      <c r="AG366">
        <f t="shared" ca="1" si="62"/>
        <v>607.48322704930001</v>
      </c>
      <c r="AH366">
        <f t="shared" ca="1" si="63"/>
        <v>199.51625604804701</v>
      </c>
      <c r="AI366">
        <f t="shared" ca="1" si="64"/>
        <v>0</v>
      </c>
      <c r="AJ366">
        <f t="shared" ca="1" si="65"/>
        <v>292.80173569390701</v>
      </c>
      <c r="AK366">
        <f t="shared" ca="1" si="66"/>
        <v>57.599999999999902</v>
      </c>
      <c r="AL366">
        <f t="shared" ca="1" si="67"/>
        <v>57.565235307344402</v>
      </c>
    </row>
    <row r="367" spans="1:38" hidden="1">
      <c r="A367" t="str">
        <f ca="1">IF(ISNA(A$1), 0, OFFSET(data!$A$1, ROW()-1, A$1-1))</f>
        <v>Oahu</v>
      </c>
      <c r="B367">
        <f ca="1">IF(ISNA(B$1), 0, OFFSET(data!$A$1, ROW()-1, B$1-1))</f>
        <v>2030</v>
      </c>
      <c r="C367" t="str">
        <f ca="1">IF(ISNA(C$1), 0, OFFSET(data!$A$1, ROW()-1, C$1-1))</f>
        <v>2030-08-13-08:00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1679.3338383543501</v>
      </c>
      <c r="L367">
        <f ca="1">IF(ISNA(L$1), 0, OFFSET(data!$A$1, ROW()-1, L$1-1))</f>
        <v>0</v>
      </c>
      <c r="M367">
        <f ca="1">IF(ISNA(M$1), 0, OFFSET(data!$A$1, ROW()-1, M$1-1))</f>
        <v>17.938158880185899</v>
      </c>
      <c r="N367">
        <f ca="1">IF(ISNA(N$1), 0, OFFSET(data!$A$1, ROW()-1, N$1-1))</f>
        <v>1104.20035945775</v>
      </c>
      <c r="O367">
        <f ca="1">IF(ISNA(O$1), 0, OFFSET(data!$A$1, ROW()-1, O$1-1))</f>
        <v>57.599999999999902</v>
      </c>
      <c r="P367">
        <f ca="1">IF(ISNA(P$1), 0, OFFSET(data!$A$1, ROW()-1, P$1-1))</f>
        <v>0</v>
      </c>
      <c r="Q367">
        <f ca="1">IF(ISNA(Q$1), 0, OFFSET(data!$A$1, ROW()-1, Q$1-1))</f>
        <v>1697.2719972345401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1063.3132381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283.95875913454398</v>
      </c>
      <c r="X367">
        <f ca="1">IF(ISNA(X$1), 0, OFFSET(data!$A$1, ROW()-1, X$1-1))</f>
        <v>0</v>
      </c>
      <c r="Y367">
        <f ca="1">IF(ISNA(Y$1), 0, OFFSET(data!$A$1, ROW()-1, Y$1-1))</f>
        <v>350</v>
      </c>
      <c r="Z367">
        <f ca="1">IF(ISNA(Z$1), 0, OFFSET(data!$A$1, ROW()-1, Z$1-1))</f>
        <v>-17.062349206116401</v>
      </c>
      <c r="AA367" t="str">
        <f ca="1">IF(ISNA(AA$1), #N/A, OFFSET(data!$A$1, ROW()-1, AA$1-1))</f>
        <v>typical</v>
      </c>
      <c r="AB367">
        <f t="shared" ca="1" si="57"/>
        <v>2030</v>
      </c>
      <c r="AC367">
        <f t="shared" ca="1" si="58"/>
        <v>8</v>
      </c>
      <c r="AD367" t="str">
        <f t="shared" ca="1" si="59"/>
        <v>08/13/2030</v>
      </c>
      <c r="AE367" t="str">
        <f t="shared" ca="1" si="60"/>
        <v/>
      </c>
      <c r="AF367" s="6">
        <f t="shared" ca="1" si="61"/>
        <v>-1.7062349206116403E-2</v>
      </c>
      <c r="AG367">
        <f t="shared" ca="1" si="62"/>
        <v>1347.271997234544</v>
      </c>
      <c r="AH367">
        <f t="shared" ca="1" si="63"/>
        <v>350</v>
      </c>
      <c r="AI367">
        <f t="shared" ca="1" si="64"/>
        <v>0</v>
      </c>
      <c r="AJ367">
        <f t="shared" ca="1" si="65"/>
        <v>2783.5341978121</v>
      </c>
      <c r="AK367">
        <f t="shared" ca="1" si="66"/>
        <v>57.599999999999902</v>
      </c>
      <c r="AL367">
        <f t="shared" ca="1" si="67"/>
        <v>17.938158880185899</v>
      </c>
    </row>
    <row r="368" spans="1:38" hidden="1">
      <c r="A368" t="str">
        <f ca="1">IF(ISNA(A$1), 0, OFFSET(data!$A$1, ROW()-1, A$1-1))</f>
        <v>Oahu</v>
      </c>
      <c r="B368">
        <f ca="1">IF(ISNA(B$1), 0, OFFSET(data!$A$1, ROW()-1, B$1-1))</f>
        <v>2030</v>
      </c>
      <c r="C368" t="str">
        <f ca="1">IF(ISNA(C$1), 0, OFFSET(data!$A$1, ROW()-1, C$1-1))</f>
        <v>2030-08-13-10:00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2405.8914446716599</v>
      </c>
      <c r="L368">
        <f ca="1">IF(ISNA(L$1), 0, OFFSET(data!$A$1, ROW()-1, L$1-1))</f>
        <v>0</v>
      </c>
      <c r="M368">
        <f ca="1">IF(ISNA(M$1), 0, OFFSET(data!$A$1, ROW()-1, M$1-1))</f>
        <v>13.778057048922999</v>
      </c>
      <c r="N368">
        <f ca="1">IF(ISNA(N$1), 0, OFFSET(data!$A$1, ROW()-1, N$1-1))</f>
        <v>549.53666342316501</v>
      </c>
      <c r="O368">
        <f ca="1">IF(ISNA(O$1), 0, OFFSET(data!$A$1, ROW()-1, O$1-1))</f>
        <v>57.599999999999902</v>
      </c>
      <c r="P368">
        <f ca="1">IF(ISNA(P$1), 0, OFFSET(data!$A$1, ROW()-1, P$1-1))</f>
        <v>0</v>
      </c>
      <c r="Q368">
        <f ca="1">IF(ISNA(Q$1), 0, OFFSET(data!$A$1, ROW()-1, Q$1-1))</f>
        <v>2419.6695017205898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1150.27358531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919.39591641059098</v>
      </c>
      <c r="X368">
        <f ca="1">IF(ISNA(X$1), 0, OFFSET(data!$A$1, ROW()-1, X$1-1))</f>
        <v>0</v>
      </c>
      <c r="Y368">
        <f ca="1">IF(ISNA(Y$1), 0, OFFSET(data!$A$1, ROW()-1, Y$1-1))</f>
        <v>350</v>
      </c>
      <c r="Z368">
        <f ca="1">IF(ISNA(Z$1), 0, OFFSET(data!$A$1, ROW()-1, Z$1-1))</f>
        <v>-17.062349206116401</v>
      </c>
      <c r="AA368" t="str">
        <f ca="1">IF(ISNA(AA$1), #N/A, OFFSET(data!$A$1, ROW()-1, AA$1-1))</f>
        <v>typical</v>
      </c>
      <c r="AB368">
        <f t="shared" ca="1" si="57"/>
        <v>2030</v>
      </c>
      <c r="AC368">
        <f t="shared" ca="1" si="58"/>
        <v>8</v>
      </c>
      <c r="AD368" t="str">
        <f t="shared" ca="1" si="59"/>
        <v>08/13/2030</v>
      </c>
      <c r="AE368" t="str">
        <f t="shared" ca="1" si="60"/>
        <v/>
      </c>
      <c r="AF368" s="6">
        <f t="shared" ca="1" si="61"/>
        <v>-1.7062349206116403E-2</v>
      </c>
      <c r="AG368">
        <f t="shared" ca="1" si="62"/>
        <v>2069.6695017205911</v>
      </c>
      <c r="AH368">
        <f t="shared" ca="1" si="63"/>
        <v>350</v>
      </c>
      <c r="AI368">
        <f t="shared" ca="1" si="64"/>
        <v>0</v>
      </c>
      <c r="AJ368">
        <f t="shared" ca="1" si="65"/>
        <v>2955.4281080948249</v>
      </c>
      <c r="AK368">
        <f t="shared" ca="1" si="66"/>
        <v>57.599999999999902</v>
      </c>
      <c r="AL368">
        <f t="shared" ca="1" si="67"/>
        <v>13.778057048922999</v>
      </c>
    </row>
    <row r="369" spans="1:38" hidden="1">
      <c r="A369" t="str">
        <f ca="1">IF(ISNA(A$1), 0, OFFSET(data!$A$1, ROW()-1, A$1-1))</f>
        <v>Oahu</v>
      </c>
      <c r="B369">
        <f ca="1">IF(ISNA(B$1), 0, OFFSET(data!$A$1, ROW()-1, B$1-1))</f>
        <v>2030</v>
      </c>
      <c r="C369" t="str">
        <f ca="1">IF(ISNA(C$1), 0, OFFSET(data!$A$1, ROW()-1, C$1-1))</f>
        <v>2030-08-13-12:00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1567.26881994613</v>
      </c>
      <c r="L369">
        <f ca="1">IF(ISNA(L$1), 0, OFFSET(data!$A$1, ROW()-1, L$1-1))</f>
        <v>0</v>
      </c>
      <c r="M369">
        <f ca="1">IF(ISNA(M$1), 0, OFFSET(data!$A$1, ROW()-1, M$1-1))</f>
        <v>13.922394035180901</v>
      </c>
      <c r="N369">
        <f ca="1">IF(ISNA(N$1), 0, OFFSET(data!$A$1, ROW()-1, N$1-1))</f>
        <v>1057.29542365102</v>
      </c>
      <c r="O369">
        <f ca="1">IF(ISNA(O$1), 0, OFFSET(data!$A$1, ROW()-1, O$1-1))</f>
        <v>57.599999999999902</v>
      </c>
      <c r="P369">
        <f ca="1">IF(ISNA(P$1), 0, OFFSET(data!$A$1, ROW()-1, P$1-1))</f>
        <v>5.6281148260581899</v>
      </c>
      <c r="Q369">
        <f ca="1">IF(ISNA(Q$1), 0, OFFSET(data!$A$1, ROW()-1, Q$1-1))</f>
        <v>1581.1912139813201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1180.51122624</v>
      </c>
      <c r="U369">
        <f ca="1">IF(ISNA(U$1), 0, OFFSET(data!$A$1, ROW()-1, U$1-1))</f>
        <v>0</v>
      </c>
      <c r="V369">
        <f ca="1">IF(ISNA(V$1), 0, OFFSET(data!$A$1, ROW()-1, V$1-1))</f>
        <v>404.83335561331899</v>
      </c>
      <c r="W369">
        <f ca="1">IF(ISNA(W$1), 0, OFFSET(data!$A$1, ROW()-1, W$1-1))</f>
        <v>-354.15336787199999</v>
      </c>
      <c r="X369">
        <f ca="1">IF(ISNA(X$1), 0, OFFSET(data!$A$1, ROW()-1, X$1-1))</f>
        <v>0</v>
      </c>
      <c r="Y369">
        <f ca="1">IF(ISNA(Y$1), 0, OFFSET(data!$A$1, ROW()-1, Y$1-1))</f>
        <v>350</v>
      </c>
      <c r="Z369">
        <f ca="1">IF(ISNA(Z$1), 0, OFFSET(data!$A$1, ROW()-1, Z$1-1))</f>
        <v>-17.062349206116401</v>
      </c>
      <c r="AA369" t="str">
        <f ca="1">IF(ISNA(AA$1), #N/A, OFFSET(data!$A$1, ROW()-1, AA$1-1))</f>
        <v>typical</v>
      </c>
      <c r="AB369">
        <f t="shared" ca="1" si="57"/>
        <v>2030</v>
      </c>
      <c r="AC369">
        <f t="shared" ca="1" si="58"/>
        <v>8</v>
      </c>
      <c r="AD369" t="str">
        <f t="shared" ca="1" si="59"/>
        <v>08/13/2030</v>
      </c>
      <c r="AE369" t="str">
        <f t="shared" ca="1" si="60"/>
        <v>08/13/2030</v>
      </c>
      <c r="AF369" s="6">
        <f t="shared" ca="1" si="61"/>
        <v>-1.7062349206116403E-2</v>
      </c>
      <c r="AG369">
        <f t="shared" ca="1" si="62"/>
        <v>826.35785836800005</v>
      </c>
      <c r="AH369">
        <f t="shared" ca="1" si="63"/>
        <v>350</v>
      </c>
      <c r="AI369">
        <f t="shared" ca="1" si="64"/>
        <v>404.83335561331899</v>
      </c>
      <c r="AJ369">
        <f t="shared" ca="1" si="65"/>
        <v>2624.5642435971499</v>
      </c>
      <c r="AK369">
        <f t="shared" ca="1" si="66"/>
        <v>57.599999999999902</v>
      </c>
      <c r="AL369">
        <f t="shared" ca="1" si="67"/>
        <v>19.550508861239091</v>
      </c>
    </row>
    <row r="370" spans="1:38" hidden="1">
      <c r="A370" t="str">
        <f ca="1">IF(ISNA(A$1), 0, OFFSET(data!$A$1, ROW()-1, A$1-1))</f>
        <v>Oahu</v>
      </c>
      <c r="B370">
        <f ca="1">IF(ISNA(B$1), 0, OFFSET(data!$A$1, ROW()-1, B$1-1))</f>
        <v>2030</v>
      </c>
      <c r="C370" t="str">
        <f ca="1">IF(ISNA(C$1), 0, OFFSET(data!$A$1, ROW()-1, C$1-1))</f>
        <v>2030-08-13-14:00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1907.8612024589399</v>
      </c>
      <c r="L370">
        <f ca="1">IF(ISNA(L$1), 0, OFFSET(data!$A$1, ROW()-1, L$1-1))</f>
        <v>0</v>
      </c>
      <c r="M370">
        <f ca="1">IF(ISNA(M$1), 0, OFFSET(data!$A$1, ROW()-1, M$1-1))</f>
        <v>21.691316571014202</v>
      </c>
      <c r="N370">
        <f ca="1">IF(ISNA(N$1), 0, OFFSET(data!$A$1, ROW()-1, N$1-1))</f>
        <v>569.68581624969704</v>
      </c>
      <c r="O370">
        <f ca="1">IF(ISNA(O$1), 0, OFFSET(data!$A$1, ROW()-1, O$1-1))</f>
        <v>57.599999999999902</v>
      </c>
      <c r="P370">
        <f ca="1">IF(ISNA(P$1), 0, OFFSET(data!$A$1, ROW()-1, P$1-1))</f>
        <v>0.13206770832985401</v>
      </c>
      <c r="Q370">
        <f ca="1">IF(ISNA(Q$1), 0, OFFSET(data!$A$1, ROW()-1, Q$1-1))</f>
        <v>1929.55251902996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1189.3532398</v>
      </c>
      <c r="U370">
        <f ca="1">IF(ISNA(U$1), 0, OFFSET(data!$A$1, ROW()-1, U$1-1))</f>
        <v>0</v>
      </c>
      <c r="V370">
        <f ca="1">IF(ISNA(V$1), 0, OFFSET(data!$A$1, ROW()-1, V$1-1))</f>
        <v>404.83335561331899</v>
      </c>
      <c r="W370">
        <f ca="1">IF(ISNA(W$1), 0, OFFSET(data!$A$1, ROW()-1, W$1-1))</f>
        <v>-14.6340763833579</v>
      </c>
      <c r="X370">
        <f ca="1">IF(ISNA(X$1), 0, OFFSET(data!$A$1, ROW()-1, X$1-1))</f>
        <v>0</v>
      </c>
      <c r="Y370">
        <f ca="1">IF(ISNA(Y$1), 0, OFFSET(data!$A$1, ROW()-1, Y$1-1))</f>
        <v>350</v>
      </c>
      <c r="Z370">
        <f ca="1">IF(ISNA(Z$1), 0, OFFSET(data!$A$1, ROW()-1, Z$1-1))</f>
        <v>-17.062349206116401</v>
      </c>
      <c r="AA370" t="str">
        <f ca="1">IF(ISNA(AA$1), #N/A, OFFSET(data!$A$1, ROW()-1, AA$1-1))</f>
        <v>typical</v>
      </c>
      <c r="AB370">
        <f t="shared" ca="1" si="57"/>
        <v>2030</v>
      </c>
      <c r="AC370">
        <f t="shared" ca="1" si="58"/>
        <v>8</v>
      </c>
      <c r="AD370" t="str">
        <f t="shared" ca="1" si="59"/>
        <v>08/13/2030</v>
      </c>
      <c r="AE370" t="str">
        <f t="shared" ca="1" si="60"/>
        <v/>
      </c>
      <c r="AF370" s="6">
        <f t="shared" ca="1" si="61"/>
        <v>-1.7062349206116403E-2</v>
      </c>
      <c r="AG370">
        <f t="shared" ca="1" si="62"/>
        <v>1174.719163416642</v>
      </c>
      <c r="AH370">
        <f t="shared" ca="1" si="63"/>
        <v>350</v>
      </c>
      <c r="AI370">
        <f t="shared" ca="1" si="64"/>
        <v>404.83335561331899</v>
      </c>
      <c r="AJ370">
        <f t="shared" ca="1" si="65"/>
        <v>2477.5470187086371</v>
      </c>
      <c r="AK370">
        <f t="shared" ca="1" si="66"/>
        <v>57.599999999999902</v>
      </c>
      <c r="AL370">
        <f t="shared" ca="1" si="67"/>
        <v>21.823384279344054</v>
      </c>
    </row>
    <row r="371" spans="1:38" hidden="1">
      <c r="A371" t="str">
        <f ca="1">IF(ISNA(A$1), 0, OFFSET(data!$A$1, ROW()-1, A$1-1))</f>
        <v>Oahu</v>
      </c>
      <c r="B371">
        <f ca="1">IF(ISNA(B$1), 0, OFFSET(data!$A$1, ROW()-1, B$1-1))</f>
        <v>2030</v>
      </c>
      <c r="C371" t="str">
        <f ca="1">IF(ISNA(C$1), 0, OFFSET(data!$A$1, ROW()-1, C$1-1))</f>
        <v>2030-08-13-16:00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2475.8785558009899</v>
      </c>
      <c r="L371">
        <f ca="1">IF(ISNA(L$1), 0, OFFSET(data!$A$1, ROW()-1, L$1-1))</f>
        <v>0</v>
      </c>
      <c r="M371">
        <f ca="1">IF(ISNA(M$1), 0, OFFSET(data!$A$1, ROW()-1, M$1-1))</f>
        <v>21.503540143224399</v>
      </c>
      <c r="N371">
        <f ca="1">IF(ISNA(N$1), 0, OFFSET(data!$A$1, ROW()-1, N$1-1))</f>
        <v>577.492628753497</v>
      </c>
      <c r="O371">
        <f ca="1">IF(ISNA(O$1), 0, OFFSET(data!$A$1, ROW()-1, O$1-1))</f>
        <v>57.599999999999902</v>
      </c>
      <c r="P371">
        <f ca="1">IF(ISNA(P$1), 0, OFFSET(data!$A$1, ROW()-1, P$1-1))</f>
        <v>4.6870768808033096</v>
      </c>
      <c r="Q371">
        <f ca="1">IF(ISNA(Q$1), 0, OFFSET(data!$A$1, ROW()-1, Q$1-1))</f>
        <v>2497.3820959442201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1166.53863282</v>
      </c>
      <c r="U371">
        <f ca="1">IF(ISNA(U$1), 0, OFFSET(data!$A$1, ROW()-1, U$1-1))</f>
        <v>0</v>
      </c>
      <c r="V371">
        <f ca="1">IF(ISNA(V$1), 0, OFFSET(data!$A$1, ROW()-1, V$1-1))</f>
        <v>177.98889173250399</v>
      </c>
      <c r="W371">
        <f ca="1">IF(ISNA(W$1), 0, OFFSET(data!$A$1, ROW()-1, W$1-1))</f>
        <v>802.85457139172104</v>
      </c>
      <c r="X371">
        <f ca="1">IF(ISNA(X$1), 0, OFFSET(data!$A$1, ROW()-1, X$1-1))</f>
        <v>0</v>
      </c>
      <c r="Y371">
        <f ca="1">IF(ISNA(Y$1), 0, OFFSET(data!$A$1, ROW()-1, Y$1-1))</f>
        <v>350</v>
      </c>
      <c r="Z371">
        <f ca="1">IF(ISNA(Z$1), 0, OFFSET(data!$A$1, ROW()-1, Z$1-1))</f>
        <v>-17.062349206116401</v>
      </c>
      <c r="AA371" t="str">
        <f ca="1">IF(ISNA(AA$1), #N/A, OFFSET(data!$A$1, ROW()-1, AA$1-1))</f>
        <v>typical</v>
      </c>
      <c r="AB371">
        <f t="shared" ca="1" si="57"/>
        <v>2030</v>
      </c>
      <c r="AC371">
        <f t="shared" ca="1" si="58"/>
        <v>8</v>
      </c>
      <c r="AD371" t="str">
        <f t="shared" ca="1" si="59"/>
        <v>08/13/2030</v>
      </c>
      <c r="AE371" t="str">
        <f t="shared" ca="1" si="60"/>
        <v/>
      </c>
      <c r="AF371" s="6">
        <f t="shared" ca="1" si="61"/>
        <v>-1.7062349206116403E-2</v>
      </c>
      <c r="AG371">
        <f t="shared" ca="1" si="62"/>
        <v>1969.393204211721</v>
      </c>
      <c r="AH371">
        <f t="shared" ca="1" si="63"/>
        <v>350</v>
      </c>
      <c r="AI371">
        <f t="shared" ca="1" si="64"/>
        <v>177.98889173250399</v>
      </c>
      <c r="AJ371">
        <f t="shared" ca="1" si="65"/>
        <v>3053.3711845544867</v>
      </c>
      <c r="AK371">
        <f t="shared" ca="1" si="66"/>
        <v>57.599999999999902</v>
      </c>
      <c r="AL371">
        <f t="shared" ca="1" si="67"/>
        <v>26.190617024027709</v>
      </c>
    </row>
    <row r="372" spans="1:38" hidden="1">
      <c r="A372" t="str">
        <f ca="1">IF(ISNA(A$1), 0, OFFSET(data!$A$1, ROW()-1, A$1-1))</f>
        <v>Oahu</v>
      </c>
      <c r="B372">
        <f ca="1">IF(ISNA(B$1), 0, OFFSET(data!$A$1, ROW()-1, B$1-1))</f>
        <v>2030</v>
      </c>
      <c r="C372" t="str">
        <f ca="1">IF(ISNA(C$1), 0, OFFSET(data!$A$1, ROW()-1, C$1-1))</f>
        <v>2030-08-13-18:00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424.85751899711698</v>
      </c>
      <c r="L372">
        <f ca="1">IF(ISNA(L$1), 0, OFFSET(data!$A$1, ROW()-1, L$1-1))</f>
        <v>57.599999999999902</v>
      </c>
      <c r="M372">
        <f ca="1">IF(ISNA(M$1), 0, OFFSET(data!$A$1, ROW()-1, M$1-1))</f>
        <v>60.506768044721099</v>
      </c>
      <c r="N372">
        <f ca="1">IF(ISNA(N$1), 0, OFFSET(data!$A$1, ROW()-1, N$1-1))</f>
        <v>8.8817841970012504E-16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542.96428704183802</v>
      </c>
      <c r="R372">
        <f ca="1">IF(ISNA(R$1), 0, OFFSET(data!$A$1, ROW()-1, R$1-1))</f>
        <v>87.651008887161396</v>
      </c>
      <c r="S372">
        <f ca="1">IF(ISNA(S$1), 0, OFFSET(data!$A$1, ROW()-1, S$1-1))</f>
        <v>150</v>
      </c>
      <c r="T372">
        <f ca="1">IF(ISNA(T$1), 0, OFFSET(data!$A$1, ROW()-1, T$1-1))</f>
        <v>1115.1647084700001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-334.54941254099998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67.036957502955801</v>
      </c>
      <c r="AA372" t="str">
        <f ca="1">IF(ISNA(AA$1), #N/A, OFFSET(data!$A$1, ROW()-1, AA$1-1))</f>
        <v>typical</v>
      </c>
      <c r="AB372">
        <f t="shared" ca="1" si="57"/>
        <v>2030</v>
      </c>
      <c r="AC372">
        <f t="shared" ca="1" si="58"/>
        <v>8</v>
      </c>
      <c r="AD372" t="str">
        <f t="shared" ca="1" si="59"/>
        <v>08/13/2030</v>
      </c>
      <c r="AE372" t="str">
        <f t="shared" ca="1" si="60"/>
        <v/>
      </c>
      <c r="AF372" s="6">
        <f t="shared" ca="1" si="61"/>
        <v>6.7036957502955796E-2</v>
      </c>
      <c r="AG372">
        <f t="shared" ca="1" si="62"/>
        <v>780.61529592900001</v>
      </c>
      <c r="AH372">
        <f t="shared" ca="1" si="63"/>
        <v>150</v>
      </c>
      <c r="AI372">
        <f t="shared" ca="1" si="64"/>
        <v>87.651008887161396</v>
      </c>
      <c r="AJ372">
        <f t="shared" ca="1" si="65"/>
        <v>424.85751899711698</v>
      </c>
      <c r="AK372">
        <f t="shared" ca="1" si="66"/>
        <v>57.599999999999902</v>
      </c>
      <c r="AL372">
        <f t="shared" ca="1" si="67"/>
        <v>60.506768044721099</v>
      </c>
    </row>
    <row r="373" spans="1:38" hidden="1">
      <c r="A373" t="str">
        <f ca="1">IF(ISNA(A$1), 0, OFFSET(data!$A$1, ROW()-1, A$1-1))</f>
        <v>Oahu</v>
      </c>
      <c r="B373">
        <f ca="1">IF(ISNA(B$1), 0, OFFSET(data!$A$1, ROW()-1, B$1-1))</f>
        <v>2030</v>
      </c>
      <c r="C373" t="str">
        <f ca="1">IF(ISNA(C$1), 0, OFFSET(data!$A$1, ROW()-1, C$1-1))</f>
        <v>2030-08-13-20:00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76.473862220918704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134.07386222091799</v>
      </c>
      <c r="R373">
        <f ca="1">IF(ISNA(R$1), 0, OFFSET(data!$A$1, ROW()-1, R$1-1))</f>
        <v>404.83335561331899</v>
      </c>
      <c r="S373">
        <f ca="1">IF(ISNA(S$1), 0, OFFSET(data!$A$1, ROW()-1, S$1-1))</f>
        <v>207.780823670762</v>
      </c>
      <c r="T373">
        <f ca="1">IF(ISNA(T$1), 0, OFFSET(data!$A$1, ROW()-1, T$1-1))</f>
        <v>1066.6972021500001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-320.00916064500001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67.036957502955801</v>
      </c>
      <c r="AA373" t="str">
        <f ca="1">IF(ISNA(AA$1), #N/A, OFFSET(data!$A$1, ROW()-1, AA$1-1))</f>
        <v>typical</v>
      </c>
      <c r="AB373">
        <f t="shared" ca="1" si="57"/>
        <v>2030</v>
      </c>
      <c r="AC373">
        <f t="shared" ca="1" si="58"/>
        <v>8</v>
      </c>
      <c r="AD373" t="str">
        <f t="shared" ca="1" si="59"/>
        <v>08/13/2030</v>
      </c>
      <c r="AE373" t="str">
        <f t="shared" ca="1" si="60"/>
        <v/>
      </c>
      <c r="AF373" s="6">
        <f t="shared" ca="1" si="61"/>
        <v>6.7036957502955796E-2</v>
      </c>
      <c r="AG373">
        <f t="shared" ca="1" si="62"/>
        <v>746.688041505</v>
      </c>
      <c r="AH373">
        <f t="shared" ca="1" si="63"/>
        <v>207.780823670762</v>
      </c>
      <c r="AI373">
        <f t="shared" ca="1" si="64"/>
        <v>404.83335561331899</v>
      </c>
      <c r="AJ373">
        <f t="shared" ca="1" si="65"/>
        <v>0</v>
      </c>
      <c r="AK373">
        <f t="shared" ca="1" si="66"/>
        <v>57.599999999999902</v>
      </c>
      <c r="AL373">
        <f t="shared" ca="1" si="67"/>
        <v>76.473862220918704</v>
      </c>
    </row>
    <row r="374" spans="1:38" hidden="1">
      <c r="A374" t="str">
        <f ca="1">IF(ISNA(A$1), 0, OFFSET(data!$A$1, ROW()-1, A$1-1))</f>
        <v>Oahu</v>
      </c>
      <c r="B374">
        <f ca="1">IF(ISNA(B$1), 0, OFFSET(data!$A$1, ROW()-1, B$1-1))</f>
        <v>2030</v>
      </c>
      <c r="C374" t="str">
        <f ca="1">IF(ISNA(C$1), 0, OFFSET(data!$A$1, ROW()-1, C$1-1))</f>
        <v>2030-08-13-22:00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76.301675663208897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133.90167566320801</v>
      </c>
      <c r="R374">
        <f ca="1">IF(ISNA(R$1), 0, OFFSET(data!$A$1, ROW()-1, R$1-1))</f>
        <v>248.25733771887599</v>
      </c>
      <c r="S374">
        <f ca="1">IF(ISNA(S$1), 0, OFFSET(data!$A$1, ROW()-1, S$1-1))</f>
        <v>166.285858937314</v>
      </c>
      <c r="T374">
        <f ca="1">IF(ISNA(T$1), 0, OFFSET(data!$A$1, ROW()-1, T$1-1))</f>
        <v>783.49267474199996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-235.04780242259901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67.036957502955801</v>
      </c>
      <c r="AA374" t="str">
        <f ca="1">IF(ISNA(AA$1), #N/A, OFFSET(data!$A$1, ROW()-1, AA$1-1))</f>
        <v>typical</v>
      </c>
      <c r="AB374">
        <f t="shared" ca="1" si="57"/>
        <v>2030</v>
      </c>
      <c r="AC374">
        <f t="shared" ca="1" si="58"/>
        <v>8</v>
      </c>
      <c r="AD374" t="str">
        <f t="shared" ca="1" si="59"/>
        <v>08/13/2030</v>
      </c>
      <c r="AE374" t="str">
        <f t="shared" ca="1" si="60"/>
        <v/>
      </c>
      <c r="AF374" s="6">
        <f t="shared" ca="1" si="61"/>
        <v>6.7036957502955796E-2</v>
      </c>
      <c r="AG374">
        <f t="shared" ca="1" si="62"/>
        <v>548.44487231940093</v>
      </c>
      <c r="AH374">
        <f t="shared" ca="1" si="63"/>
        <v>166.285858937314</v>
      </c>
      <c r="AI374">
        <f t="shared" ca="1" si="64"/>
        <v>248.25733771887599</v>
      </c>
      <c r="AJ374">
        <f t="shared" ca="1" si="65"/>
        <v>0</v>
      </c>
      <c r="AK374">
        <f t="shared" ca="1" si="66"/>
        <v>57.599999999999902</v>
      </c>
      <c r="AL374">
        <f t="shared" ca="1" si="67"/>
        <v>76.301675663208897</v>
      </c>
    </row>
    <row r="375" spans="1:38" hidden="1">
      <c r="A375" t="str">
        <f ca="1">IF(ISNA(A$1), 0, OFFSET(data!$A$1, ROW()-1, A$1-1))</f>
        <v>Oahu</v>
      </c>
      <c r="B375">
        <f ca="1">IF(ISNA(B$1), 0, OFFSET(data!$A$1, ROW()-1, B$1-1))</f>
        <v>2030</v>
      </c>
      <c r="C375" t="str">
        <f ca="1">IF(ISNA(C$1), 0, OFFSET(data!$A$1, ROW()-1, C$1-1))</f>
        <v>2030-08-30-00:00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26.895580546584501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84.495580546584506</v>
      </c>
      <c r="R375">
        <f ca="1">IF(ISNA(R$1), 0, OFFSET(data!$A$1, ROW()-1, R$1-1))</f>
        <v>238.83345635325</v>
      </c>
      <c r="S375">
        <f ca="1">IF(ISNA(S$1), 0, OFFSET(data!$A$1, ROW()-1, S$1-1))</f>
        <v>100.541241548565</v>
      </c>
      <c r="T375">
        <f ca="1">IF(ISNA(T$1), 0, OFFSET(data!$A$1, ROW()-1, T$1-1))</f>
        <v>605.52896921199999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-181.65869076359999</v>
      </c>
      <c r="X375">
        <f ca="1">IF(ISNA(X$1), 0, OFFSET(data!$A$1, ROW()-1, X$1-1))</f>
        <v>0</v>
      </c>
      <c r="Y375">
        <f ca="1">IF(ISNA(Y$1), 0, OFFSET(data!$A$1, ROW()-1, Y$1-1))</f>
        <v>0</v>
      </c>
      <c r="Z375">
        <f ca="1">IF(ISNA(Z$1), 0, OFFSET(data!$A$1, ROW()-1, Z$1-1))</f>
        <v>0</v>
      </c>
      <c r="AA375" t="str">
        <f ca="1">IF(ISNA(AA$1), #N/A, OFFSET(data!$A$1, ROW()-1, AA$1-1))</f>
        <v>peak</v>
      </c>
      <c r="AB375">
        <f t="shared" ca="1" si="57"/>
        <v>2030</v>
      </c>
      <c r="AC375">
        <f t="shared" ca="1" si="58"/>
        <v>8</v>
      </c>
      <c r="AD375" t="str">
        <f t="shared" ca="1" si="59"/>
        <v>08/30/2030</v>
      </c>
      <c r="AE375" t="str">
        <f t="shared" ca="1" si="60"/>
        <v/>
      </c>
      <c r="AF375" s="6">
        <f t="shared" ca="1" si="61"/>
        <v>0</v>
      </c>
      <c r="AG375">
        <f t="shared" ca="1" si="62"/>
        <v>423.87027844839997</v>
      </c>
      <c r="AH375">
        <f t="shared" ca="1" si="63"/>
        <v>100.541241548565</v>
      </c>
      <c r="AI375">
        <f t="shared" ca="1" si="64"/>
        <v>238.83345635325</v>
      </c>
      <c r="AJ375">
        <f t="shared" ca="1" si="65"/>
        <v>0</v>
      </c>
      <c r="AK375">
        <f t="shared" ca="1" si="66"/>
        <v>57.599999999999902</v>
      </c>
      <c r="AL375">
        <f t="shared" ca="1" si="67"/>
        <v>26.895580546584501</v>
      </c>
    </row>
    <row r="376" spans="1:38" hidden="1">
      <c r="A376" t="str">
        <f ca="1">IF(ISNA(A$1), 0, OFFSET(data!$A$1, ROW()-1, A$1-1))</f>
        <v>Oahu</v>
      </c>
      <c r="B376">
        <f ca="1">IF(ISNA(B$1), 0, OFFSET(data!$A$1, ROW()-1, B$1-1))</f>
        <v>2030</v>
      </c>
      <c r="C376" t="str">
        <f ca="1">IF(ISNA(C$1), 0, OFFSET(data!$A$1, ROW()-1, C$1-1))</f>
        <v>2030-08-30-02:00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42.0148617484273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99.614861748427302</v>
      </c>
      <c r="R376">
        <f ca="1">IF(ISNA(R$1), 0, OFFSET(data!$A$1, ROW()-1, R$1-1))</f>
        <v>34.581451261253598</v>
      </c>
      <c r="S376">
        <f ca="1">IF(ISNA(S$1), 0, OFFSET(data!$A$1, ROW()-1, S$1-1))</f>
        <v>238.767034484818</v>
      </c>
      <c r="T376">
        <f ca="1">IF(ISNA(T$1), 0, OFFSET(data!$A$1, ROW()-1, T$1-1))</f>
        <v>532.80478213499998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-159.84143464049899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0</v>
      </c>
      <c r="AA376" t="str">
        <f ca="1">IF(ISNA(AA$1), #N/A, OFFSET(data!$A$1, ROW()-1, AA$1-1))</f>
        <v>peak</v>
      </c>
      <c r="AB376">
        <f t="shared" ca="1" si="57"/>
        <v>2030</v>
      </c>
      <c r="AC376">
        <f t="shared" ca="1" si="58"/>
        <v>8</v>
      </c>
      <c r="AD376" t="str">
        <f t="shared" ca="1" si="59"/>
        <v>08/30/2030</v>
      </c>
      <c r="AE376" t="str">
        <f t="shared" ca="1" si="60"/>
        <v/>
      </c>
      <c r="AF376" s="6">
        <f t="shared" ca="1" si="61"/>
        <v>0</v>
      </c>
      <c r="AG376">
        <f t="shared" ca="1" si="62"/>
        <v>372.96334749450102</v>
      </c>
      <c r="AH376">
        <f t="shared" ca="1" si="63"/>
        <v>238.767034484818</v>
      </c>
      <c r="AI376">
        <f t="shared" ca="1" si="64"/>
        <v>34.581451261253598</v>
      </c>
      <c r="AJ376">
        <f t="shared" ca="1" si="65"/>
        <v>0</v>
      </c>
      <c r="AK376">
        <f t="shared" ca="1" si="66"/>
        <v>57.599999999999902</v>
      </c>
      <c r="AL376">
        <f t="shared" ca="1" si="67"/>
        <v>42.0148617484273</v>
      </c>
    </row>
    <row r="377" spans="1:38" hidden="1">
      <c r="A377" t="str">
        <f ca="1">IF(ISNA(A$1), 0, OFFSET(data!$A$1, ROW()-1, A$1-1))</f>
        <v>Oahu</v>
      </c>
      <c r="B377">
        <f ca="1">IF(ISNA(B$1), 0, OFFSET(data!$A$1, ROW()-1, B$1-1))</f>
        <v>2030</v>
      </c>
      <c r="C377" t="str">
        <f ca="1">IF(ISNA(C$1), 0, OFFSET(data!$A$1, ROW()-1, C$1-1))</f>
        <v>2030-08-30-04:00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50.882234744127899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108.482234744127</v>
      </c>
      <c r="R377">
        <f ca="1">IF(ISNA(R$1), 0, OFFSET(data!$A$1, ROW()-1, R$1-1))</f>
        <v>0</v>
      </c>
      <c r="S377">
        <f ca="1">IF(ISNA(S$1), 0, OFFSET(data!$A$1, ROW()-1, S$1-1))</f>
        <v>318.96793325667102</v>
      </c>
      <c r="T377">
        <f ca="1">IF(ISNA(T$1), 0, OFFSET(data!$A$1, ROW()-1, T$1-1))</f>
        <v>610.64309714399997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-183.19292914319999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0</v>
      </c>
      <c r="AA377" t="str">
        <f ca="1">IF(ISNA(AA$1), #N/A, OFFSET(data!$A$1, ROW()-1, AA$1-1))</f>
        <v>peak</v>
      </c>
      <c r="AB377">
        <f t="shared" ca="1" si="57"/>
        <v>2030</v>
      </c>
      <c r="AC377">
        <f t="shared" ca="1" si="58"/>
        <v>8</v>
      </c>
      <c r="AD377" t="str">
        <f t="shared" ca="1" si="59"/>
        <v>08/30/2030</v>
      </c>
      <c r="AE377" t="str">
        <f t="shared" ca="1" si="60"/>
        <v/>
      </c>
      <c r="AF377" s="6">
        <f t="shared" ca="1" si="61"/>
        <v>0</v>
      </c>
      <c r="AG377">
        <f t="shared" ca="1" si="62"/>
        <v>427.45016800079998</v>
      </c>
      <c r="AH377">
        <f t="shared" ca="1" si="63"/>
        <v>318.96793325667102</v>
      </c>
      <c r="AI377">
        <f t="shared" ca="1" si="64"/>
        <v>0</v>
      </c>
      <c r="AJ377">
        <f t="shared" ca="1" si="65"/>
        <v>0</v>
      </c>
      <c r="AK377">
        <f t="shared" ca="1" si="66"/>
        <v>57.599999999999902</v>
      </c>
      <c r="AL377">
        <f t="shared" ca="1" si="67"/>
        <v>50.882234744127899</v>
      </c>
    </row>
    <row r="378" spans="1:38" hidden="1">
      <c r="A378" t="str">
        <f ca="1">IF(ISNA(A$1), 0, OFFSET(data!$A$1, ROW()-1, A$1-1))</f>
        <v>Oahu</v>
      </c>
      <c r="B378">
        <f ca="1">IF(ISNA(B$1), 0, OFFSET(data!$A$1, ROW()-1, B$1-1))</f>
        <v>2030</v>
      </c>
      <c r="C378" t="str">
        <f ca="1">IF(ISNA(C$1), 0, OFFSET(data!$A$1, ROW()-1, C$1-1))</f>
        <v>2030-08-30-06:00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124.535238625635</v>
      </c>
      <c r="L378">
        <f ca="1">IF(ISNA(L$1), 0, OFFSET(data!$A$1, ROW()-1, L$1-1))</f>
        <v>57.599999999999902</v>
      </c>
      <c r="M378">
        <f ca="1">IF(ISNA(M$1), 0, OFFSET(data!$A$1, ROW()-1, M$1-1))</f>
        <v>43.502218785021299</v>
      </c>
      <c r="N378">
        <f ca="1">IF(ISNA(N$1), 0, OFFSET(data!$A$1, ROW()-1, N$1-1))</f>
        <v>4.4408920985006202E-16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225.63745741065699</v>
      </c>
      <c r="R378">
        <f ca="1">IF(ISNA(R$1), 0, OFFSET(data!$A$1, ROW()-1, R$1-1))</f>
        <v>69.130254580542598</v>
      </c>
      <c r="S378">
        <f ca="1">IF(ISNA(S$1), 0, OFFSET(data!$A$1, ROW()-1, S$1-1))</f>
        <v>350</v>
      </c>
      <c r="T378">
        <f ca="1">IF(ISNA(T$1), 0, OFFSET(data!$A$1, ROW()-1, T$1-1))</f>
        <v>921.09673141600001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-276.32901942479998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0</v>
      </c>
      <c r="AA378" t="str">
        <f ca="1">IF(ISNA(AA$1), #N/A, OFFSET(data!$A$1, ROW()-1, AA$1-1))</f>
        <v>peak</v>
      </c>
      <c r="AB378">
        <f t="shared" ca="1" si="57"/>
        <v>2030</v>
      </c>
      <c r="AC378">
        <f t="shared" ca="1" si="58"/>
        <v>8</v>
      </c>
      <c r="AD378" t="str">
        <f t="shared" ca="1" si="59"/>
        <v>08/30/2030</v>
      </c>
      <c r="AE378" t="str">
        <f t="shared" ca="1" si="60"/>
        <v/>
      </c>
      <c r="AF378" s="6">
        <f t="shared" ca="1" si="61"/>
        <v>0</v>
      </c>
      <c r="AG378">
        <f t="shared" ca="1" si="62"/>
        <v>644.76771199120003</v>
      </c>
      <c r="AH378">
        <f t="shared" ca="1" si="63"/>
        <v>350</v>
      </c>
      <c r="AI378">
        <f t="shared" ca="1" si="64"/>
        <v>69.130254580542598</v>
      </c>
      <c r="AJ378">
        <f t="shared" ca="1" si="65"/>
        <v>124.535238625635</v>
      </c>
      <c r="AK378">
        <f t="shared" ca="1" si="66"/>
        <v>57.599999999999902</v>
      </c>
      <c r="AL378">
        <f t="shared" ca="1" si="67"/>
        <v>43.502218785021299</v>
      </c>
    </row>
    <row r="379" spans="1:38" hidden="1">
      <c r="A379" t="str">
        <f ca="1">IF(ISNA(A$1), 0, OFFSET(data!$A$1, ROW()-1, A$1-1))</f>
        <v>Oahu</v>
      </c>
      <c r="B379">
        <f ca="1">IF(ISNA(B$1), 0, OFFSET(data!$A$1, ROW()-1, B$1-1))</f>
        <v>2030</v>
      </c>
      <c r="C379" t="str">
        <f ca="1">IF(ISNA(C$1), 0, OFFSET(data!$A$1, ROW()-1, C$1-1))</f>
        <v>2030-08-30-08:00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2247.4959877269198</v>
      </c>
      <c r="L379">
        <f ca="1">IF(ISNA(L$1), 0, OFFSET(data!$A$1, ROW()-1, L$1-1))</f>
        <v>0</v>
      </c>
      <c r="M379">
        <f ca="1">IF(ISNA(M$1), 0, OFFSET(data!$A$1, ROW()-1, M$1-1))</f>
        <v>25.594362253623</v>
      </c>
      <c r="N379">
        <f ca="1">IF(ISNA(N$1), 0, OFFSET(data!$A$1, ROW()-1, N$1-1))</f>
        <v>116.817367455143</v>
      </c>
      <c r="O379">
        <f ca="1">IF(ISNA(O$1), 0, OFFSET(data!$A$1, ROW()-1, O$1-1))</f>
        <v>57.599999999999902</v>
      </c>
      <c r="P379">
        <f ca="1">IF(ISNA(P$1), 0, OFFSET(data!$A$1, ROW()-1, P$1-1))</f>
        <v>0.39786874872196998</v>
      </c>
      <c r="Q379">
        <f ca="1">IF(ISNA(Q$1), 0, OFFSET(data!$A$1, ROW()-1, Q$1-1))</f>
        <v>2273.0903499805399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1105.6455236199999</v>
      </c>
      <c r="U379">
        <f ca="1">IF(ISNA(U$1), 0, OFFSET(data!$A$1, ROW()-1, U$1-1))</f>
        <v>0</v>
      </c>
      <c r="V379">
        <f ca="1">IF(ISNA(V$1), 0, OFFSET(data!$A$1, ROW()-1, V$1-1))</f>
        <v>404.83335561331899</v>
      </c>
      <c r="W379">
        <f ca="1">IF(ISNA(W$1), 0, OFFSET(data!$A$1, ROW()-1, W$1-1))</f>
        <v>412.61147074722402</v>
      </c>
      <c r="X379">
        <f ca="1">IF(ISNA(X$1), 0, OFFSET(data!$A$1, ROW()-1, X$1-1))</f>
        <v>0</v>
      </c>
      <c r="Y379">
        <f ca="1">IF(ISNA(Y$1), 0, OFFSET(data!$A$1, ROW()-1, Y$1-1))</f>
        <v>350</v>
      </c>
      <c r="Z379">
        <f ca="1">IF(ISNA(Z$1), 0, OFFSET(data!$A$1, ROW()-1, Z$1-1))</f>
        <v>-511.87047618349402</v>
      </c>
      <c r="AA379" t="str">
        <f ca="1">IF(ISNA(AA$1), #N/A, OFFSET(data!$A$1, ROW()-1, AA$1-1))</f>
        <v>peak</v>
      </c>
      <c r="AB379">
        <f t="shared" ca="1" si="57"/>
        <v>2030</v>
      </c>
      <c r="AC379">
        <f t="shared" ca="1" si="58"/>
        <v>8</v>
      </c>
      <c r="AD379" t="str">
        <f t="shared" ca="1" si="59"/>
        <v>08/30/2030</v>
      </c>
      <c r="AE379" t="str">
        <f t="shared" ca="1" si="60"/>
        <v/>
      </c>
      <c r="AF379" s="6">
        <f t="shared" ca="1" si="61"/>
        <v>-0.51187047618349402</v>
      </c>
      <c r="AG379">
        <f t="shared" ca="1" si="62"/>
        <v>1518.256994367224</v>
      </c>
      <c r="AH379">
        <f t="shared" ca="1" si="63"/>
        <v>350</v>
      </c>
      <c r="AI379">
        <f t="shared" ca="1" si="64"/>
        <v>404.83335561331899</v>
      </c>
      <c r="AJ379">
        <f t="shared" ca="1" si="65"/>
        <v>2364.3133551820629</v>
      </c>
      <c r="AK379">
        <f t="shared" ca="1" si="66"/>
        <v>57.599999999999902</v>
      </c>
      <c r="AL379">
        <f t="shared" ca="1" si="67"/>
        <v>25.992231002344969</v>
      </c>
    </row>
    <row r="380" spans="1:38" hidden="1">
      <c r="A380" t="str">
        <f ca="1">IF(ISNA(A$1), 0, OFFSET(data!$A$1, ROW()-1, A$1-1))</f>
        <v>Oahu</v>
      </c>
      <c r="B380">
        <f ca="1">IF(ISNA(B$1), 0, OFFSET(data!$A$1, ROW()-1, B$1-1))</f>
        <v>2030</v>
      </c>
      <c r="C380" t="str">
        <f ca="1">IF(ISNA(C$1), 0, OFFSET(data!$A$1, ROW()-1, C$1-1))</f>
        <v>2030-08-30-10:00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2462.9622900214999</v>
      </c>
      <c r="L380">
        <f ca="1">IF(ISNA(L$1), 0, OFFSET(data!$A$1, ROW()-1, L$1-1))</f>
        <v>0</v>
      </c>
      <c r="M380">
        <f ca="1">IF(ISNA(M$1), 0, OFFSET(data!$A$1, ROW()-1, M$1-1))</f>
        <v>18.557176376770698</v>
      </c>
      <c r="N380">
        <f ca="1">IF(ISNA(N$1), 0, OFFSET(data!$A$1, ROW()-1, N$1-1))</f>
        <v>623.483764945193</v>
      </c>
      <c r="O380">
        <f ca="1">IF(ISNA(O$1), 0, OFFSET(data!$A$1, ROW()-1, O$1-1))</f>
        <v>57.599999999999902</v>
      </c>
      <c r="P380">
        <f ca="1">IF(ISNA(P$1), 0, OFFSET(data!$A$1, ROW()-1, P$1-1))</f>
        <v>10.7345185581666</v>
      </c>
      <c r="Q380">
        <f ca="1">IF(ISNA(Q$1), 0, OFFSET(data!$A$1, ROW()-1, Q$1-1))</f>
        <v>2481.5194663982702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1201.4299020999999</v>
      </c>
      <c r="U380">
        <f ca="1">IF(ISNA(U$1), 0, OFFSET(data!$A$1, ROW()-1, U$1-1))</f>
        <v>0</v>
      </c>
      <c r="V380">
        <f ca="1">IF(ISNA(V$1), 0, OFFSET(data!$A$1, ROW()-1, V$1-1))</f>
        <v>404.83335561331899</v>
      </c>
      <c r="W380">
        <f ca="1">IF(ISNA(W$1), 0, OFFSET(data!$A$1, ROW()-1, W$1-1))</f>
        <v>525.256208684954</v>
      </c>
      <c r="X380">
        <f ca="1">IF(ISNA(X$1), 0, OFFSET(data!$A$1, ROW()-1, X$1-1))</f>
        <v>0</v>
      </c>
      <c r="Y380">
        <f ca="1">IF(ISNA(Y$1), 0, OFFSET(data!$A$1, ROW()-1, Y$1-1))</f>
        <v>350</v>
      </c>
      <c r="Z380">
        <f ca="1">IF(ISNA(Z$1), 0, OFFSET(data!$A$1, ROW()-1, Z$1-1))</f>
        <v>-511.87047618349402</v>
      </c>
      <c r="AA380" t="str">
        <f ca="1">IF(ISNA(AA$1), #N/A, OFFSET(data!$A$1, ROW()-1, AA$1-1))</f>
        <v>peak</v>
      </c>
      <c r="AB380">
        <f t="shared" ca="1" si="57"/>
        <v>2030</v>
      </c>
      <c r="AC380">
        <f t="shared" ca="1" si="58"/>
        <v>8</v>
      </c>
      <c r="AD380" t="str">
        <f t="shared" ca="1" si="59"/>
        <v>08/30/2030</v>
      </c>
      <c r="AE380" t="str">
        <f t="shared" ca="1" si="60"/>
        <v/>
      </c>
      <c r="AF380" s="6">
        <f t="shared" ca="1" si="61"/>
        <v>-0.51187047618349402</v>
      </c>
      <c r="AG380">
        <f t="shared" ca="1" si="62"/>
        <v>1726.6861107849541</v>
      </c>
      <c r="AH380">
        <f t="shared" ca="1" si="63"/>
        <v>350</v>
      </c>
      <c r="AI380">
        <f t="shared" ca="1" si="64"/>
        <v>404.83335561331899</v>
      </c>
      <c r="AJ380">
        <f t="shared" ca="1" si="65"/>
        <v>3086.4460549666928</v>
      </c>
      <c r="AK380">
        <f t="shared" ca="1" si="66"/>
        <v>57.599999999999902</v>
      </c>
      <c r="AL380">
        <f t="shared" ca="1" si="67"/>
        <v>29.291694934937297</v>
      </c>
    </row>
    <row r="381" spans="1:38" hidden="1">
      <c r="A381" t="str">
        <f ca="1">IF(ISNA(A$1), 0, OFFSET(data!$A$1, ROW()-1, A$1-1))</f>
        <v>Oahu</v>
      </c>
      <c r="B381">
        <f ca="1">IF(ISNA(B$1), 0, OFFSET(data!$A$1, ROW()-1, B$1-1))</f>
        <v>2030</v>
      </c>
      <c r="C381" t="str">
        <f ca="1">IF(ISNA(C$1), 0, OFFSET(data!$A$1, ROW()-1, C$1-1))</f>
        <v>2030-08-30-12:00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1594.8881220850701</v>
      </c>
      <c r="L381">
        <f ca="1">IF(ISNA(L$1), 0, OFFSET(data!$A$1, ROW()-1, L$1-1))</f>
        <v>0</v>
      </c>
      <c r="M381">
        <f ca="1">IF(ISNA(M$1), 0, OFFSET(data!$A$1, ROW()-1, M$1-1))</f>
        <v>21.654630930239701</v>
      </c>
      <c r="N381">
        <f ca="1">IF(ISNA(N$1), 0, OFFSET(data!$A$1, ROW()-1, N$1-1))</f>
        <v>1575.50606092058</v>
      </c>
      <c r="O381">
        <f ca="1">IF(ISNA(O$1), 0, OFFSET(data!$A$1, ROW()-1, O$1-1))</f>
        <v>57.599999999999902</v>
      </c>
      <c r="P381">
        <f ca="1">IF(ISNA(P$1), 0, OFFSET(data!$A$1, ROW()-1, P$1-1))</f>
        <v>17.396399628292698</v>
      </c>
      <c r="Q381">
        <f ca="1">IF(ISNA(Q$1), 0, OFFSET(data!$A$1, ROW()-1, Q$1-1))</f>
        <v>1616.5427530153099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1231.01342486</v>
      </c>
      <c r="U381">
        <f ca="1">IF(ISNA(U$1), 0, OFFSET(data!$A$1, ROW()-1, U$1-1))</f>
        <v>0</v>
      </c>
      <c r="V381">
        <f ca="1">IF(ISNA(V$1), 0, OFFSET(data!$A$1, ROW()-1, V$1-1))</f>
        <v>404.83335561331899</v>
      </c>
      <c r="W381">
        <f ca="1">IF(ISNA(W$1), 0, OFFSET(data!$A$1, ROW()-1, W$1-1))</f>
        <v>-369.30402745800001</v>
      </c>
      <c r="X381">
        <f ca="1">IF(ISNA(X$1), 0, OFFSET(data!$A$1, ROW()-1, X$1-1))</f>
        <v>0</v>
      </c>
      <c r="Y381">
        <f ca="1">IF(ISNA(Y$1), 0, OFFSET(data!$A$1, ROW()-1, Y$1-1))</f>
        <v>350</v>
      </c>
      <c r="Z381">
        <f ca="1">IF(ISNA(Z$1), 0, OFFSET(data!$A$1, ROW()-1, Z$1-1))</f>
        <v>-511.87047618349402</v>
      </c>
      <c r="AA381" t="str">
        <f ca="1">IF(ISNA(AA$1), #N/A, OFFSET(data!$A$1, ROW()-1, AA$1-1))</f>
        <v>peak</v>
      </c>
      <c r="AB381">
        <f t="shared" ca="1" si="57"/>
        <v>2030</v>
      </c>
      <c r="AC381">
        <f t="shared" ca="1" si="58"/>
        <v>8</v>
      </c>
      <c r="AD381" t="str">
        <f t="shared" ca="1" si="59"/>
        <v>08/30/2030</v>
      </c>
      <c r="AE381" t="str">
        <f t="shared" ca="1" si="60"/>
        <v>08/30/2030</v>
      </c>
      <c r="AF381" s="6">
        <f t="shared" ca="1" si="61"/>
        <v>-0.51187047618349402</v>
      </c>
      <c r="AG381">
        <f t="shared" ca="1" si="62"/>
        <v>861.70939740199992</v>
      </c>
      <c r="AH381">
        <f t="shared" ca="1" si="63"/>
        <v>350</v>
      </c>
      <c r="AI381">
        <f t="shared" ca="1" si="64"/>
        <v>404.83335561331899</v>
      </c>
      <c r="AJ381">
        <f t="shared" ca="1" si="65"/>
        <v>3170.3941830056501</v>
      </c>
      <c r="AK381">
        <f t="shared" ca="1" si="66"/>
        <v>57.599999999999902</v>
      </c>
      <c r="AL381">
        <f t="shared" ca="1" si="67"/>
        <v>39.051030558532403</v>
      </c>
    </row>
    <row r="382" spans="1:38" hidden="1">
      <c r="A382" t="str">
        <f ca="1">IF(ISNA(A$1), 0, OFFSET(data!$A$1, ROW()-1, A$1-1))</f>
        <v>Oahu</v>
      </c>
      <c r="B382">
        <f ca="1">IF(ISNA(B$1), 0, OFFSET(data!$A$1, ROW()-1, B$1-1))</f>
        <v>2030</v>
      </c>
      <c r="C382" t="str">
        <f ca="1">IF(ISNA(C$1), 0, OFFSET(data!$A$1, ROW()-1, C$1-1))</f>
        <v>2030-08-30-14:00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2654.2026720796598</v>
      </c>
      <c r="L382">
        <f ca="1">IF(ISNA(L$1), 0, OFFSET(data!$A$1, ROW()-1, L$1-1))</f>
        <v>0</v>
      </c>
      <c r="M382">
        <f ca="1">IF(ISNA(M$1), 0, OFFSET(data!$A$1, ROW()-1, M$1-1))</f>
        <v>40.906097560892199</v>
      </c>
      <c r="N382">
        <f ca="1">IF(ISNA(N$1), 0, OFFSET(data!$A$1, ROW()-1, N$1-1))</f>
        <v>514.17558396432003</v>
      </c>
      <c r="O382">
        <f ca="1">IF(ISNA(O$1), 0, OFFSET(data!$A$1, ROW()-1, O$1-1))</f>
        <v>57.599999999999902</v>
      </c>
      <c r="P382">
        <f ca="1">IF(ISNA(P$1), 0, OFFSET(data!$A$1, ROW()-1, P$1-1))</f>
        <v>3.9626299686184199</v>
      </c>
      <c r="Q382">
        <f ca="1">IF(ISNA(Q$1), 0, OFFSET(data!$A$1, ROW()-1, Q$1-1))</f>
        <v>2695.1087696405498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1241</v>
      </c>
      <c r="U382">
        <f ca="1">IF(ISNA(U$1), 0, OFFSET(data!$A$1, ROW()-1, U$1-1))</f>
        <v>0</v>
      </c>
      <c r="V382">
        <f ca="1">IF(ISNA(V$1), 0, OFFSET(data!$A$1, ROW()-1, V$1-1))</f>
        <v>404.83335561331899</v>
      </c>
      <c r="W382">
        <f ca="1">IF(ISNA(W$1), 0, OFFSET(data!$A$1, ROW()-1, W$1-1))</f>
        <v>699.27541402724</v>
      </c>
      <c r="X382">
        <f ca="1">IF(ISNA(X$1), 0, OFFSET(data!$A$1, ROW()-1, X$1-1))</f>
        <v>0</v>
      </c>
      <c r="Y382">
        <f ca="1">IF(ISNA(Y$1), 0, OFFSET(data!$A$1, ROW()-1, Y$1-1))</f>
        <v>350</v>
      </c>
      <c r="Z382">
        <f ca="1">IF(ISNA(Z$1), 0, OFFSET(data!$A$1, ROW()-1, Z$1-1))</f>
        <v>-511.87047618349402</v>
      </c>
      <c r="AA382" t="str">
        <f ca="1">IF(ISNA(AA$1), #N/A, OFFSET(data!$A$1, ROW()-1, AA$1-1))</f>
        <v>peak</v>
      </c>
      <c r="AB382">
        <f t="shared" ca="1" si="57"/>
        <v>2030</v>
      </c>
      <c r="AC382">
        <f t="shared" ca="1" si="58"/>
        <v>8</v>
      </c>
      <c r="AD382" t="str">
        <f t="shared" ca="1" si="59"/>
        <v>08/30/2030</v>
      </c>
      <c r="AE382" t="str">
        <f t="shared" ca="1" si="60"/>
        <v/>
      </c>
      <c r="AF382" s="6">
        <f t="shared" ca="1" si="61"/>
        <v>-0.51187047618349402</v>
      </c>
      <c r="AG382">
        <f t="shared" ca="1" si="62"/>
        <v>1940.27541402724</v>
      </c>
      <c r="AH382">
        <f t="shared" ca="1" si="63"/>
        <v>350</v>
      </c>
      <c r="AI382">
        <f t="shared" ca="1" si="64"/>
        <v>404.83335561331899</v>
      </c>
      <c r="AJ382">
        <f t="shared" ca="1" si="65"/>
        <v>3168.3782560439799</v>
      </c>
      <c r="AK382">
        <f t="shared" ca="1" si="66"/>
        <v>57.599999999999902</v>
      </c>
      <c r="AL382">
        <f t="shared" ca="1" si="67"/>
        <v>44.868727529510622</v>
      </c>
    </row>
    <row r="383" spans="1:38" hidden="1">
      <c r="A383" t="str">
        <f ca="1">IF(ISNA(A$1), 0, OFFSET(data!$A$1, ROW()-1, A$1-1))</f>
        <v>Oahu</v>
      </c>
      <c r="B383">
        <f ca="1">IF(ISNA(B$1), 0, OFFSET(data!$A$1, ROW()-1, B$1-1))</f>
        <v>2030</v>
      </c>
      <c r="C383" t="str">
        <f ca="1">IF(ISNA(C$1), 0, OFFSET(data!$A$1, ROW()-1, C$1-1))</f>
        <v>2030-08-30-16:00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2365.8410790753201</v>
      </c>
      <c r="L383">
        <f ca="1">IF(ISNA(L$1), 0, OFFSET(data!$A$1, ROW()-1, L$1-1))</f>
        <v>0</v>
      </c>
      <c r="M383">
        <f ca="1">IF(ISNA(M$1), 0, OFFSET(data!$A$1, ROW()-1, M$1-1))</f>
        <v>48.079896774877398</v>
      </c>
      <c r="N383">
        <f ca="1">IF(ISNA(N$1), 0, OFFSET(data!$A$1, ROW()-1, N$1-1))</f>
        <v>593.49414317248602</v>
      </c>
      <c r="O383">
        <f ca="1">IF(ISNA(O$1), 0, OFFSET(data!$A$1, ROW()-1, O$1-1))</f>
        <v>57.599999999999902</v>
      </c>
      <c r="P383">
        <f ca="1">IF(ISNA(P$1), 0, OFFSET(data!$A$1, ROW()-1, P$1-1))</f>
        <v>0</v>
      </c>
      <c r="Q383">
        <f ca="1">IF(ISNA(Q$1), 0, OFFSET(data!$A$1, ROW()-1, Q$1-1))</f>
        <v>2413.9209758501902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1195.1076982500001</v>
      </c>
      <c r="U383">
        <f ca="1">IF(ISNA(U$1), 0, OFFSET(data!$A$1, ROW()-1, U$1-1))</f>
        <v>0</v>
      </c>
      <c r="V383">
        <f ca="1">IF(ISNA(V$1), 0, OFFSET(data!$A$1, ROW()-1, V$1-1))</f>
        <v>404.83335561331899</v>
      </c>
      <c r="W383">
        <f ca="1">IF(ISNA(W$1), 0, OFFSET(data!$A$1, ROW()-1, W$1-1))</f>
        <v>463.97992198688002</v>
      </c>
      <c r="X383">
        <f ca="1">IF(ISNA(X$1), 0, OFFSET(data!$A$1, ROW()-1, X$1-1))</f>
        <v>0</v>
      </c>
      <c r="Y383">
        <f ca="1">IF(ISNA(Y$1), 0, OFFSET(data!$A$1, ROW()-1, Y$1-1))</f>
        <v>350</v>
      </c>
      <c r="Z383">
        <f ca="1">IF(ISNA(Z$1), 0, OFFSET(data!$A$1, ROW()-1, Z$1-1))</f>
        <v>-511.87047618349402</v>
      </c>
      <c r="AA383" t="str">
        <f ca="1">IF(ISNA(AA$1), #N/A, OFFSET(data!$A$1, ROW()-1, AA$1-1))</f>
        <v>peak</v>
      </c>
      <c r="AB383">
        <f t="shared" ca="1" si="57"/>
        <v>2030</v>
      </c>
      <c r="AC383">
        <f t="shared" ca="1" si="58"/>
        <v>8</v>
      </c>
      <c r="AD383" t="str">
        <f t="shared" ca="1" si="59"/>
        <v>08/30/2030</v>
      </c>
      <c r="AE383" t="str">
        <f t="shared" ca="1" si="60"/>
        <v/>
      </c>
      <c r="AF383" s="6">
        <f t="shared" ca="1" si="61"/>
        <v>-0.51187047618349402</v>
      </c>
      <c r="AG383">
        <f t="shared" ca="1" si="62"/>
        <v>1659.0876202368802</v>
      </c>
      <c r="AH383">
        <f t="shared" ca="1" si="63"/>
        <v>350</v>
      </c>
      <c r="AI383">
        <f t="shared" ca="1" si="64"/>
        <v>404.83335561331899</v>
      </c>
      <c r="AJ383">
        <f t="shared" ca="1" si="65"/>
        <v>2959.3352222478061</v>
      </c>
      <c r="AK383">
        <f t="shared" ca="1" si="66"/>
        <v>57.599999999999902</v>
      </c>
      <c r="AL383">
        <f t="shared" ca="1" si="67"/>
        <v>48.079896774877398</v>
      </c>
    </row>
    <row r="384" spans="1:38" hidden="1">
      <c r="A384" t="str">
        <f ca="1">IF(ISNA(A$1), 0, OFFSET(data!$A$1, ROW()-1, A$1-1))</f>
        <v>Oahu</v>
      </c>
      <c r="B384">
        <f ca="1">IF(ISNA(B$1), 0, OFFSET(data!$A$1, ROW()-1, B$1-1))</f>
        <v>2030</v>
      </c>
      <c r="C384" t="str">
        <f ca="1">IF(ISNA(C$1), 0, OFFSET(data!$A$1, ROW()-1, C$1-1))</f>
        <v>2030-08-30-18:00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273.13919741952998</v>
      </c>
      <c r="L384">
        <f ca="1">IF(ISNA(L$1), 0, OFFSET(data!$A$1, ROW()-1, L$1-1))</f>
        <v>57.599999999999902</v>
      </c>
      <c r="M384">
        <f ca="1">IF(ISNA(M$1), 0, OFFSET(data!$A$1, ROW()-1, M$1-1))</f>
        <v>84.229130883208001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414.96832830273797</v>
      </c>
      <c r="R384">
        <f ca="1">IF(ISNA(R$1), 0, OFFSET(data!$A$1, ROW()-1, R$1-1))</f>
        <v>365.91321012826199</v>
      </c>
      <c r="S384">
        <f ca="1">IF(ISNA(S$1), 0, OFFSET(data!$A$1, ROW()-1, S$1-1))</f>
        <v>200</v>
      </c>
      <c r="T384">
        <f ca="1">IF(ISNA(T$1), 0, OFFSET(data!$A$1, ROW()-1, T$1-1))</f>
        <v>1186.9736263299999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-356.09208789899998</v>
      </c>
      <c r="X384">
        <f ca="1">IF(ISNA(X$1), 0, OFFSET(data!$A$1, ROW()-1, X$1-1))</f>
        <v>0</v>
      </c>
      <c r="Y384">
        <f ca="1">IF(ISNA(Y$1), 0, OFFSET(data!$A$1, ROW()-1, Y$1-1))</f>
        <v>150</v>
      </c>
      <c r="Z384">
        <f ca="1">IF(ISNA(Z$1), 0, OFFSET(data!$A$1, ROW()-1, Z$1-1))</f>
        <v>0</v>
      </c>
      <c r="AA384" t="str">
        <f ca="1">IF(ISNA(AA$1), #N/A, OFFSET(data!$A$1, ROW()-1, AA$1-1))</f>
        <v>peak</v>
      </c>
      <c r="AB384">
        <f t="shared" ca="1" si="57"/>
        <v>2030</v>
      </c>
      <c r="AC384">
        <f t="shared" ca="1" si="58"/>
        <v>8</v>
      </c>
      <c r="AD384" t="str">
        <f t="shared" ca="1" si="59"/>
        <v>08/30/2030</v>
      </c>
      <c r="AE384" t="str">
        <f t="shared" ca="1" si="60"/>
        <v/>
      </c>
      <c r="AF384" s="6">
        <f t="shared" ca="1" si="61"/>
        <v>0</v>
      </c>
      <c r="AG384">
        <f t="shared" ca="1" si="62"/>
        <v>830.88153843099985</v>
      </c>
      <c r="AH384">
        <f t="shared" ca="1" si="63"/>
        <v>200</v>
      </c>
      <c r="AI384">
        <f t="shared" ca="1" si="64"/>
        <v>365.91321012826199</v>
      </c>
      <c r="AJ384">
        <f t="shared" ca="1" si="65"/>
        <v>273.13919741952998</v>
      </c>
      <c r="AK384">
        <f t="shared" ca="1" si="66"/>
        <v>57.599999999999902</v>
      </c>
      <c r="AL384">
        <f t="shared" ca="1" si="67"/>
        <v>84.229130883208001</v>
      </c>
    </row>
    <row r="385" spans="1:38" hidden="1">
      <c r="A385" t="str">
        <f ca="1">IF(ISNA(A$1), 0, OFFSET(data!$A$1, ROW()-1, A$1-1))</f>
        <v>Oahu</v>
      </c>
      <c r="B385">
        <f ca="1">IF(ISNA(B$1), 0, OFFSET(data!$A$1, ROW()-1, B$1-1))</f>
        <v>2030</v>
      </c>
      <c r="C385" t="str">
        <f ca="1">IF(ISNA(C$1), 0, OFFSET(data!$A$1, ROW()-1, C$1-1))</f>
        <v>2030-08-30-20:00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71.618364345551697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129.21836434555101</v>
      </c>
      <c r="R385">
        <f ca="1">IF(ISNA(R$1), 0, OFFSET(data!$A$1, ROW()-1, R$1-1))</f>
        <v>404.83335561331899</v>
      </c>
      <c r="S385">
        <f ca="1">IF(ISNA(S$1), 0, OFFSET(data!$A$1, ROW()-1, S$1-1))</f>
        <v>335</v>
      </c>
      <c r="T385">
        <f ca="1">IF(ISNA(T$1), 0, OFFSET(data!$A$1, ROW()-1, T$1-1))</f>
        <v>1106.5581755600001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-331.96745266800002</v>
      </c>
      <c r="X385">
        <f ca="1">IF(ISNA(X$1), 0, OFFSET(data!$A$1, ROW()-1, X$1-1))</f>
        <v>0</v>
      </c>
      <c r="Y385">
        <f ca="1">IF(ISNA(Y$1), 0, OFFSET(data!$A$1, ROW()-1, Y$1-1))</f>
        <v>94.460997066871201</v>
      </c>
      <c r="Z385">
        <f ca="1">IF(ISNA(Z$1), 0, OFFSET(data!$A$1, ROW()-1, Z$1-1))</f>
        <v>0</v>
      </c>
      <c r="AA385" t="str">
        <f ca="1">IF(ISNA(AA$1), #N/A, OFFSET(data!$A$1, ROW()-1, AA$1-1))</f>
        <v>peak</v>
      </c>
      <c r="AB385">
        <f t="shared" ca="1" si="57"/>
        <v>2030</v>
      </c>
      <c r="AC385">
        <f t="shared" ca="1" si="58"/>
        <v>8</v>
      </c>
      <c r="AD385" t="str">
        <f t="shared" ca="1" si="59"/>
        <v>08/30/2030</v>
      </c>
      <c r="AE385" t="str">
        <f t="shared" ca="1" si="60"/>
        <v/>
      </c>
      <c r="AF385" s="6">
        <f t="shared" ca="1" si="61"/>
        <v>0</v>
      </c>
      <c r="AG385">
        <f t="shared" ca="1" si="62"/>
        <v>774.59072289200003</v>
      </c>
      <c r="AH385">
        <f t="shared" ca="1" si="63"/>
        <v>335</v>
      </c>
      <c r="AI385">
        <f t="shared" ca="1" si="64"/>
        <v>404.83335561331899</v>
      </c>
      <c r="AJ385">
        <f t="shared" ca="1" si="65"/>
        <v>0</v>
      </c>
      <c r="AK385">
        <f t="shared" ca="1" si="66"/>
        <v>57.599999999999902</v>
      </c>
      <c r="AL385">
        <f t="shared" ca="1" si="67"/>
        <v>71.618364345551697</v>
      </c>
    </row>
    <row r="386" spans="1:38" hidden="1">
      <c r="A386" t="str">
        <f ca="1">IF(ISNA(A$1), 0, OFFSET(data!$A$1, ROW()-1, A$1-1))</f>
        <v>Oahu</v>
      </c>
      <c r="B386">
        <f ca="1">IF(ISNA(B$1), 0, OFFSET(data!$A$1, ROW()-1, B$1-1))</f>
        <v>2030</v>
      </c>
      <c r="C386" t="str">
        <f ca="1">IF(ISNA(C$1), 0, OFFSET(data!$A$1, ROW()-1, C$1-1))</f>
        <v>2030-08-30-22:00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52.7526733648264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110.352673364826</v>
      </c>
      <c r="R386">
        <f ca="1">IF(ISNA(R$1), 0, OFFSET(data!$A$1, ROW()-1, R$1-1))</f>
        <v>404.83335561331899</v>
      </c>
      <c r="S386">
        <f ca="1">IF(ISNA(S$1), 0, OFFSET(data!$A$1, ROW()-1, S$1-1))</f>
        <v>51.201175736654299</v>
      </c>
      <c r="T386">
        <f ca="1">IF(ISNA(T$1), 0, OFFSET(data!$A$1, ROW()-1, T$1-1))</f>
        <v>809.12457816400001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-242.73737344919999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0</v>
      </c>
      <c r="AA386" t="str">
        <f ca="1">IF(ISNA(AA$1), #N/A, OFFSET(data!$A$1, ROW()-1, AA$1-1))</f>
        <v>peak</v>
      </c>
      <c r="AB386">
        <f t="shared" ca="1" si="57"/>
        <v>2030</v>
      </c>
      <c r="AC386">
        <f t="shared" ca="1" si="58"/>
        <v>8</v>
      </c>
      <c r="AD386" t="str">
        <f t="shared" ca="1" si="59"/>
        <v>08/30/2030</v>
      </c>
      <c r="AE386" t="str">
        <f t="shared" ca="1" si="60"/>
        <v/>
      </c>
      <c r="AF386" s="6">
        <f t="shared" ca="1" si="61"/>
        <v>0</v>
      </c>
      <c r="AG386">
        <f t="shared" ca="1" si="62"/>
        <v>566.38720471479996</v>
      </c>
      <c r="AH386">
        <f t="shared" ca="1" si="63"/>
        <v>51.201175736654299</v>
      </c>
      <c r="AI386">
        <f t="shared" ca="1" si="64"/>
        <v>404.83335561331899</v>
      </c>
      <c r="AJ386">
        <f t="shared" ca="1" si="65"/>
        <v>0</v>
      </c>
      <c r="AK386">
        <f t="shared" ca="1" si="66"/>
        <v>57.599999999999902</v>
      </c>
      <c r="AL386">
        <f t="shared" ca="1" si="67"/>
        <v>52.7526733648264</v>
      </c>
    </row>
    <row r="387" spans="1:38" hidden="1">
      <c r="A387" t="str">
        <f ca="1">IF(ISNA(A$1), 0, OFFSET(data!$A$1, ROW()-1, A$1-1))</f>
        <v>Oahu</v>
      </c>
      <c r="B387">
        <f ca="1">IF(ISNA(B$1), 0, OFFSET(data!$A$1, ROW()-1, B$1-1))</f>
        <v>2030</v>
      </c>
      <c r="C387" t="str">
        <f ca="1">IF(ISNA(C$1), 0, OFFSET(data!$A$1, ROW()-1, C$1-1))</f>
        <v>2030-10-22-00:00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4.5580144798718596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62.158014479871802</v>
      </c>
      <c r="R387">
        <f ca="1">IF(ISNA(R$1), 0, OFFSET(data!$A$1, ROW()-1, R$1-1))</f>
        <v>115.211502094868</v>
      </c>
      <c r="S387">
        <f ca="1">IF(ISNA(S$1), 0, OFFSET(data!$A$1, ROW()-1, S$1-1))</f>
        <v>194.372376549959</v>
      </c>
      <c r="T387">
        <f ca="1">IF(ISNA(T$1), 0, OFFSET(data!$A$1, ROW()-1, T$1-1))</f>
        <v>531.05984732100001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-159.31795419630001</v>
      </c>
      <c r="X387">
        <f ca="1">IF(ISNA(X$1), 0, OFFSET(data!$A$1, ROW()-1, X$1-1))</f>
        <v>0</v>
      </c>
      <c r="Y387">
        <f ca="1">IF(ISNA(Y$1), 0, OFFSET(data!$A$1, ROW()-1, Y$1-1))</f>
        <v>0</v>
      </c>
      <c r="Z387">
        <f ca="1">IF(ISNA(Z$1), 0, OFFSET(data!$A$1, ROW()-1, Z$1-1))</f>
        <v>25224.1647000271</v>
      </c>
      <c r="AA387" t="str">
        <f ca="1">IF(ISNA(AA$1), #N/A, OFFSET(data!$A$1, ROW()-1, AA$1-1))</f>
        <v>peak</v>
      </c>
      <c r="AB387">
        <f t="shared" ref="AB387:AB434" ca="1" si="68">VALUE(LEFT(C387, 4))</f>
        <v>2030</v>
      </c>
      <c r="AC387">
        <f t="shared" ref="AC387:AC434" ca="1" si="69">VALUE(MID(C387, 6, 2))</f>
        <v>10</v>
      </c>
      <c r="AD387" t="str">
        <f t="shared" ref="AD387:AD434" ca="1" si="70">SUBSTITUTE(MID(C387,6,6)&amp;LEFT(C387,4), "-", "/")</f>
        <v>10/22/2030</v>
      </c>
      <c r="AE387" t="str">
        <f t="shared" ref="AE387:AE434" ca="1" si="71">IF(RIGHT(C387, 5)="12:00", AD387, "")</f>
        <v/>
      </c>
      <c r="AF387" s="6">
        <f t="shared" ref="AF387:AF434" ca="1" si="72">Z387/1000</f>
        <v>25.224164700027099</v>
      </c>
      <c r="AG387">
        <f t="shared" ref="AG387:AG434" ca="1" si="73">T387+W387</f>
        <v>371.74189312470003</v>
      </c>
      <c r="AH387">
        <f t="shared" ca="1" si="63"/>
        <v>194.372376549959</v>
      </c>
      <c r="AI387">
        <f t="shared" ca="1" si="64"/>
        <v>115.211502094868</v>
      </c>
      <c r="AJ387">
        <f t="shared" ca="1" si="65"/>
        <v>0</v>
      </c>
      <c r="AK387">
        <f t="shared" ca="1" si="66"/>
        <v>57.599999999999902</v>
      </c>
      <c r="AL387">
        <f t="shared" ca="1" si="67"/>
        <v>4.5580144798718596</v>
      </c>
    </row>
    <row r="388" spans="1:38" hidden="1">
      <c r="A388" t="str">
        <f ca="1">IF(ISNA(A$1), 0, OFFSET(data!$A$1, ROW()-1, A$1-1))</f>
        <v>Oahu</v>
      </c>
      <c r="B388">
        <f ca="1">IF(ISNA(B$1), 0, OFFSET(data!$A$1, ROW()-1, B$1-1))</f>
        <v>2030</v>
      </c>
      <c r="C388" t="str">
        <f ca="1">IF(ISNA(C$1), 0, OFFSET(data!$A$1, ROW()-1, C$1-1))</f>
        <v>2030-10-22-02:00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0.46238310143275002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58.062383101432701</v>
      </c>
      <c r="R388">
        <f ca="1">IF(ISNA(R$1), 0, OFFSET(data!$A$1, ROW()-1, R$1-1))</f>
        <v>0</v>
      </c>
      <c r="S388">
        <f ca="1">IF(ISNA(S$1), 0, OFFSET(data!$A$1, ROW()-1, S$1-1))</f>
        <v>269.68794113556697</v>
      </c>
      <c r="T388">
        <f ca="1">IF(ISNA(T$1), 0, OFFSET(data!$A$1, ROW()-1, T$1-1))</f>
        <v>468.21474891000003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-140.464424673</v>
      </c>
      <c r="X388">
        <f ca="1">IF(ISNA(X$1), 0, OFFSET(data!$A$1, ROW()-1, X$1-1))</f>
        <v>0</v>
      </c>
      <c r="Y388">
        <f ca="1">IF(ISNA(Y$1), 0, OFFSET(data!$A$1, ROW()-1, Y$1-1))</f>
        <v>0</v>
      </c>
      <c r="Z388">
        <f ca="1">IF(ISNA(Z$1), 0, OFFSET(data!$A$1, ROW()-1, Z$1-1))</f>
        <v>25224.1647000271</v>
      </c>
      <c r="AA388" t="str">
        <f ca="1">IF(ISNA(AA$1), #N/A, OFFSET(data!$A$1, ROW()-1, AA$1-1))</f>
        <v>peak</v>
      </c>
      <c r="AB388">
        <f t="shared" ca="1" si="68"/>
        <v>2030</v>
      </c>
      <c r="AC388">
        <f t="shared" ca="1" si="69"/>
        <v>10</v>
      </c>
      <c r="AD388" t="str">
        <f t="shared" ca="1" si="70"/>
        <v>10/22/2030</v>
      </c>
      <c r="AE388" t="str">
        <f t="shared" ca="1" si="71"/>
        <v/>
      </c>
      <c r="AF388" s="6">
        <f t="shared" ca="1" si="72"/>
        <v>25.224164700027099</v>
      </c>
      <c r="AG388">
        <f t="shared" ca="1" si="73"/>
        <v>327.75032423700003</v>
      </c>
      <c r="AH388">
        <f t="shared" ref="AH388:AH434" ca="1" si="74">MAX(S388,Y388)</f>
        <v>269.68794113556697</v>
      </c>
      <c r="AI388">
        <f t="shared" ref="AI388:AI434" ca="1" si="75">MAX(R388,V388)</f>
        <v>0</v>
      </c>
      <c r="AJ388">
        <f t="shared" ref="AJ388:AJ434" ca="1" si="76">K388+N388</f>
        <v>0</v>
      </c>
      <c r="AK388">
        <f t="shared" ref="AK388:AK434" ca="1" si="77">L388+O388</f>
        <v>57.599999999999902</v>
      </c>
      <c r="AL388">
        <f t="shared" ref="AL388:AL434" ca="1" si="78">M388+P388</f>
        <v>0.46238310143275002</v>
      </c>
    </row>
    <row r="389" spans="1:38" hidden="1">
      <c r="A389" t="str">
        <f ca="1">IF(ISNA(A$1), 0, OFFSET(data!$A$1, ROW()-1, A$1-1))</f>
        <v>Oahu</v>
      </c>
      <c r="B389">
        <f ca="1">IF(ISNA(B$1), 0, OFFSET(data!$A$1, ROW()-1, B$1-1))</f>
        <v>2030</v>
      </c>
      <c r="C389" t="str">
        <f ca="1">IF(ISNA(C$1), 0, OFFSET(data!$A$1, ROW()-1, C$1-1))</f>
        <v>2030-10-22-04:00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178.2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0.48803388983964902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236.288033889839</v>
      </c>
      <c r="R389">
        <f ca="1">IF(ISNA(R$1), 0, OFFSET(data!$A$1, ROW()-1, R$1-1))</f>
        <v>0</v>
      </c>
      <c r="S389">
        <f ca="1">IF(ISNA(S$1), 0, OFFSET(data!$A$1, ROW()-1, S$1-1))</f>
        <v>154.04836437175999</v>
      </c>
      <c r="T389">
        <f ca="1">IF(ISNA(T$1), 0, OFFSET(data!$A$1, ROW()-1, T$1-1))</f>
        <v>557.62342608799997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-167.28702782639999</v>
      </c>
      <c r="X389">
        <f ca="1">IF(ISNA(X$1), 0, OFFSET(data!$A$1, ROW()-1, X$1-1))</f>
        <v>0</v>
      </c>
      <c r="Y389">
        <f ca="1">IF(ISNA(Y$1), 0, OFFSET(data!$A$1, ROW()-1, Y$1-1))</f>
        <v>0</v>
      </c>
      <c r="Z389">
        <f ca="1">IF(ISNA(Z$1), 0, OFFSET(data!$A$1, ROW()-1, Z$1-1))</f>
        <v>25224.1647000271</v>
      </c>
      <c r="AA389" t="str">
        <f ca="1">IF(ISNA(AA$1), #N/A, OFFSET(data!$A$1, ROW()-1, AA$1-1))</f>
        <v>peak</v>
      </c>
      <c r="AB389">
        <f t="shared" ca="1" si="68"/>
        <v>2030</v>
      </c>
      <c r="AC389">
        <f t="shared" ca="1" si="69"/>
        <v>10</v>
      </c>
      <c r="AD389" t="str">
        <f t="shared" ca="1" si="70"/>
        <v>10/22/2030</v>
      </c>
      <c r="AE389" t="str">
        <f t="shared" ca="1" si="71"/>
        <v/>
      </c>
      <c r="AF389" s="6">
        <f t="shared" ca="1" si="72"/>
        <v>25.224164700027099</v>
      </c>
      <c r="AG389">
        <f t="shared" ca="1" si="73"/>
        <v>390.33639826159998</v>
      </c>
      <c r="AH389">
        <f t="shared" ca="1" si="74"/>
        <v>154.04836437175999</v>
      </c>
      <c r="AI389">
        <f t="shared" ca="1" si="75"/>
        <v>0</v>
      </c>
      <c r="AJ389">
        <f t="shared" ca="1" si="76"/>
        <v>0</v>
      </c>
      <c r="AK389">
        <f t="shared" ca="1" si="77"/>
        <v>57.599999999999902</v>
      </c>
      <c r="AL389">
        <f t="shared" ca="1" si="78"/>
        <v>0.48803388983964902</v>
      </c>
    </row>
    <row r="390" spans="1:38" hidden="1">
      <c r="A390" t="str">
        <f ca="1">IF(ISNA(A$1), 0, OFFSET(data!$A$1, ROW()-1, A$1-1))</f>
        <v>Oahu</v>
      </c>
      <c r="B390">
        <f ca="1">IF(ISNA(B$1), 0, OFFSET(data!$A$1, ROW()-1, B$1-1))</f>
        <v>2030</v>
      </c>
      <c r="C390" t="str">
        <f ca="1">IF(ISNA(C$1), 0, OFFSET(data!$A$1, ROW()-1, C$1-1))</f>
        <v>2030-10-22-06:00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0.11672022870755699</v>
      </c>
      <c r="L390">
        <f ca="1">IF(ISNA(L$1), 0, OFFSET(data!$A$1, ROW()-1, L$1-1))</f>
        <v>57.599999999999902</v>
      </c>
      <c r="M390">
        <f ca="1">IF(ISNA(M$1), 0, OFFSET(data!$A$1, ROW()-1, M$1-1))</f>
        <v>0.492940463071315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58.209660691778801</v>
      </c>
      <c r="R390">
        <f ca="1">IF(ISNA(R$1), 0, OFFSET(data!$A$1, ROW()-1, R$1-1))</f>
        <v>188.41351461512099</v>
      </c>
      <c r="S390">
        <f ca="1">IF(ISNA(S$1), 0, OFFSET(data!$A$1, ROW()-1, S$1-1))</f>
        <v>350</v>
      </c>
      <c r="T390">
        <f ca="1">IF(ISNA(T$1), 0, OFFSET(data!$A$1, ROW()-1, T$1-1))</f>
        <v>852.318821867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-255.69564656009999</v>
      </c>
      <c r="X390">
        <f ca="1">IF(ISNA(X$1), 0, OFFSET(data!$A$1, ROW()-1, X$1-1))</f>
        <v>0</v>
      </c>
      <c r="Y390">
        <f ca="1">IF(ISNA(Y$1), 0, OFFSET(data!$A$1, ROW()-1, Y$1-1))</f>
        <v>0</v>
      </c>
      <c r="Z390">
        <f ca="1">IF(ISNA(Z$1), 0, OFFSET(data!$A$1, ROW()-1, Z$1-1))</f>
        <v>25224.1647000271</v>
      </c>
      <c r="AA390" t="str">
        <f ca="1">IF(ISNA(AA$1), #N/A, OFFSET(data!$A$1, ROW()-1, AA$1-1))</f>
        <v>peak</v>
      </c>
      <c r="AB390">
        <f t="shared" ca="1" si="68"/>
        <v>2030</v>
      </c>
      <c r="AC390">
        <f t="shared" ca="1" si="69"/>
        <v>10</v>
      </c>
      <c r="AD390" t="str">
        <f t="shared" ca="1" si="70"/>
        <v>10/22/2030</v>
      </c>
      <c r="AE390" t="str">
        <f t="shared" ca="1" si="71"/>
        <v/>
      </c>
      <c r="AF390" s="6">
        <f t="shared" ca="1" si="72"/>
        <v>25.224164700027099</v>
      </c>
      <c r="AG390">
        <f t="shared" ca="1" si="73"/>
        <v>596.62317530690007</v>
      </c>
      <c r="AH390">
        <f t="shared" ca="1" si="74"/>
        <v>350</v>
      </c>
      <c r="AI390">
        <f t="shared" ca="1" si="75"/>
        <v>188.41351461512099</v>
      </c>
      <c r="AJ390">
        <f t="shared" ca="1" si="76"/>
        <v>0.11672022870755699</v>
      </c>
      <c r="AK390">
        <f t="shared" ca="1" si="77"/>
        <v>57.599999999999902</v>
      </c>
      <c r="AL390">
        <f t="shared" ca="1" si="78"/>
        <v>0.492940463071315</v>
      </c>
    </row>
    <row r="391" spans="1:38" hidden="1">
      <c r="A391" t="str">
        <f ca="1">IF(ISNA(A$1), 0, OFFSET(data!$A$1, ROW()-1, A$1-1))</f>
        <v>Oahu</v>
      </c>
      <c r="B391">
        <f ca="1">IF(ISNA(B$1), 0, OFFSET(data!$A$1, ROW()-1, B$1-1))</f>
        <v>2030</v>
      </c>
      <c r="C391" t="str">
        <f ca="1">IF(ISNA(C$1), 0, OFFSET(data!$A$1, ROW()-1, C$1-1))</f>
        <v>2030-10-22-08:00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2096.1705754998802</v>
      </c>
      <c r="L391">
        <f ca="1">IF(ISNA(L$1), 0, OFFSET(data!$A$1, ROW()-1, L$1-1))</f>
        <v>57.599999999999902</v>
      </c>
      <c r="M391">
        <f ca="1">IF(ISNA(M$1), 0, OFFSET(data!$A$1, ROW()-1, M$1-1))</f>
        <v>0.60444302116241899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2154.3750185210401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1053.5385045099999</v>
      </c>
      <c r="U391">
        <f ca="1">IF(ISNA(U$1), 0, OFFSET(data!$A$1, ROW()-1, U$1-1))</f>
        <v>0</v>
      </c>
      <c r="V391">
        <f ca="1">IF(ISNA(V$1), 0, OFFSET(data!$A$1, ROW()-1, V$1-1))</f>
        <v>404.83335561331899</v>
      </c>
      <c r="W391">
        <f ca="1">IF(ISNA(W$1), 0, OFFSET(data!$A$1, ROW()-1, W$1-1))</f>
        <v>346.00315839772401</v>
      </c>
      <c r="X391">
        <f ca="1">IF(ISNA(X$1), 0, OFFSET(data!$A$1, ROW()-1, X$1-1))</f>
        <v>0</v>
      </c>
      <c r="Y391">
        <f ca="1">IF(ISNA(Y$1), 0, OFFSET(data!$A$1, ROW()-1, Y$1-1))</f>
        <v>350</v>
      </c>
      <c r="Z391">
        <f ca="1">IF(ISNA(Z$1), 0, OFFSET(data!$A$1, ROW()-1, Z$1-1))</f>
        <v>15893.9708422151</v>
      </c>
      <c r="AA391" t="str">
        <f ca="1">IF(ISNA(AA$1), #N/A, OFFSET(data!$A$1, ROW()-1, AA$1-1))</f>
        <v>peak</v>
      </c>
      <c r="AB391">
        <f t="shared" ca="1" si="68"/>
        <v>2030</v>
      </c>
      <c r="AC391">
        <f t="shared" ca="1" si="69"/>
        <v>10</v>
      </c>
      <c r="AD391" t="str">
        <f t="shared" ca="1" si="70"/>
        <v>10/22/2030</v>
      </c>
      <c r="AE391" t="str">
        <f t="shared" ca="1" si="71"/>
        <v/>
      </c>
      <c r="AF391" s="6">
        <f t="shared" ca="1" si="72"/>
        <v>15.893970842215099</v>
      </c>
      <c r="AG391">
        <f t="shared" ca="1" si="73"/>
        <v>1399.541662907724</v>
      </c>
      <c r="AH391">
        <f t="shared" ca="1" si="74"/>
        <v>350</v>
      </c>
      <c r="AI391">
        <f t="shared" ca="1" si="75"/>
        <v>404.83335561331899</v>
      </c>
      <c r="AJ391">
        <f t="shared" ca="1" si="76"/>
        <v>2096.1705754998802</v>
      </c>
      <c r="AK391">
        <f t="shared" ca="1" si="77"/>
        <v>57.599999999999902</v>
      </c>
      <c r="AL391">
        <f t="shared" ca="1" si="78"/>
        <v>0.60444302116241899</v>
      </c>
    </row>
    <row r="392" spans="1:38" hidden="1">
      <c r="A392" t="str">
        <f ca="1">IF(ISNA(A$1), 0, OFFSET(data!$A$1, ROW()-1, A$1-1))</f>
        <v>Oahu</v>
      </c>
      <c r="B392">
        <f ca="1">IF(ISNA(B$1), 0, OFFSET(data!$A$1, ROW()-1, B$1-1))</f>
        <v>2030</v>
      </c>
      <c r="C392" t="str">
        <f ca="1">IF(ISNA(C$1), 0, OFFSET(data!$A$1, ROW()-1, C$1-1))</f>
        <v>2030-10-22-10:00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2298.97880225874</v>
      </c>
      <c r="L392">
        <f ca="1">IF(ISNA(L$1), 0, OFFSET(data!$A$1, ROW()-1, L$1-1))</f>
        <v>57.599999999999902</v>
      </c>
      <c r="M392">
        <f ca="1">IF(ISNA(M$1), 0, OFFSET(data!$A$1, ROW()-1, M$1-1))</f>
        <v>4.4643270016849304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2361.0431292604198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1149.1483813100001</v>
      </c>
      <c r="U392">
        <f ca="1">IF(ISNA(U$1), 0, OFFSET(data!$A$1, ROW()-1, U$1-1))</f>
        <v>0</v>
      </c>
      <c r="V392">
        <f ca="1">IF(ISNA(V$1), 0, OFFSET(data!$A$1, ROW()-1, V$1-1))</f>
        <v>404.83335561331899</v>
      </c>
      <c r="W392">
        <f ca="1">IF(ISNA(W$1), 0, OFFSET(data!$A$1, ROW()-1, W$1-1))</f>
        <v>457.06139233711099</v>
      </c>
      <c r="X392">
        <f ca="1">IF(ISNA(X$1), 0, OFFSET(data!$A$1, ROW()-1, X$1-1))</f>
        <v>0</v>
      </c>
      <c r="Y392">
        <f ca="1">IF(ISNA(Y$1), 0, OFFSET(data!$A$1, ROW()-1, Y$1-1))</f>
        <v>350</v>
      </c>
      <c r="Z392">
        <f ca="1">IF(ISNA(Z$1), 0, OFFSET(data!$A$1, ROW()-1, Z$1-1))</f>
        <v>15893.9708422151</v>
      </c>
      <c r="AA392" t="str">
        <f ca="1">IF(ISNA(AA$1), #N/A, OFFSET(data!$A$1, ROW()-1, AA$1-1))</f>
        <v>peak</v>
      </c>
      <c r="AB392">
        <f t="shared" ca="1" si="68"/>
        <v>2030</v>
      </c>
      <c r="AC392">
        <f t="shared" ca="1" si="69"/>
        <v>10</v>
      </c>
      <c r="AD392" t="str">
        <f t="shared" ca="1" si="70"/>
        <v>10/22/2030</v>
      </c>
      <c r="AE392" t="str">
        <f t="shared" ca="1" si="71"/>
        <v/>
      </c>
      <c r="AF392" s="6">
        <f t="shared" ca="1" si="72"/>
        <v>15.893970842215099</v>
      </c>
      <c r="AG392">
        <f t="shared" ca="1" si="73"/>
        <v>1606.209773647111</v>
      </c>
      <c r="AH392">
        <f t="shared" ca="1" si="74"/>
        <v>350</v>
      </c>
      <c r="AI392">
        <f t="shared" ca="1" si="75"/>
        <v>404.83335561331899</v>
      </c>
      <c r="AJ392">
        <f t="shared" ca="1" si="76"/>
        <v>2298.97880225874</v>
      </c>
      <c r="AK392">
        <f t="shared" ca="1" si="77"/>
        <v>57.599999999999902</v>
      </c>
      <c r="AL392">
        <f t="shared" ca="1" si="78"/>
        <v>4.4643270016849304</v>
      </c>
    </row>
    <row r="393" spans="1:38" hidden="1">
      <c r="A393" t="str">
        <f ca="1">IF(ISNA(A$1), 0, OFFSET(data!$A$1, ROW()-1, A$1-1))</f>
        <v>Oahu</v>
      </c>
      <c r="B393">
        <f ca="1">IF(ISNA(B$1), 0, OFFSET(data!$A$1, ROW()-1, B$1-1))</f>
        <v>2030</v>
      </c>
      <c r="C393" t="str">
        <f ca="1">IF(ISNA(C$1), 0, OFFSET(data!$A$1, ROW()-1, C$1-1))</f>
        <v>2030-10-22-12:00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2138.9833299829702</v>
      </c>
      <c r="L393">
        <f ca="1">IF(ISNA(L$1), 0, OFFSET(data!$A$1, ROW()-1, L$1-1))</f>
        <v>57.599999999999902</v>
      </c>
      <c r="M393">
        <f ca="1">IF(ISNA(M$1), 0, OFFSET(data!$A$1, ROW()-1, M$1-1))</f>
        <v>12.698853745817599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2209.2821837287902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1189.8461041200001</v>
      </c>
      <c r="U393">
        <f ca="1">IF(ISNA(U$1), 0, OFFSET(data!$A$1, ROW()-1, U$1-1))</f>
        <v>0</v>
      </c>
      <c r="V393">
        <f ca="1">IF(ISNA(V$1), 0, OFFSET(data!$A$1, ROW()-1, V$1-1))</f>
        <v>404.83335561331899</v>
      </c>
      <c r="W393">
        <f ca="1">IF(ISNA(W$1), 0, OFFSET(data!$A$1, ROW()-1, W$1-1))</f>
        <v>264.60272399547102</v>
      </c>
      <c r="X393">
        <f ca="1">IF(ISNA(X$1), 0, OFFSET(data!$A$1, ROW()-1, X$1-1))</f>
        <v>0</v>
      </c>
      <c r="Y393">
        <f ca="1">IF(ISNA(Y$1), 0, OFFSET(data!$A$1, ROW()-1, Y$1-1))</f>
        <v>350</v>
      </c>
      <c r="Z393">
        <f ca="1">IF(ISNA(Z$1), 0, OFFSET(data!$A$1, ROW()-1, Z$1-1))</f>
        <v>15893.9708422151</v>
      </c>
      <c r="AA393" t="str">
        <f ca="1">IF(ISNA(AA$1), #N/A, OFFSET(data!$A$1, ROW()-1, AA$1-1))</f>
        <v>peak</v>
      </c>
      <c r="AB393">
        <f t="shared" ca="1" si="68"/>
        <v>2030</v>
      </c>
      <c r="AC393">
        <f t="shared" ca="1" si="69"/>
        <v>10</v>
      </c>
      <c r="AD393" t="str">
        <f t="shared" ca="1" si="70"/>
        <v>10/22/2030</v>
      </c>
      <c r="AE393" t="str">
        <f t="shared" ca="1" si="71"/>
        <v>10/22/2030</v>
      </c>
      <c r="AF393" s="6">
        <f t="shared" ca="1" si="72"/>
        <v>15.893970842215099</v>
      </c>
      <c r="AG393">
        <f t="shared" ca="1" si="73"/>
        <v>1454.4488281154711</v>
      </c>
      <c r="AH393">
        <f t="shared" ca="1" si="74"/>
        <v>350</v>
      </c>
      <c r="AI393">
        <f t="shared" ca="1" si="75"/>
        <v>404.83335561331899</v>
      </c>
      <c r="AJ393">
        <f t="shared" ca="1" si="76"/>
        <v>2138.9833299829702</v>
      </c>
      <c r="AK393">
        <f t="shared" ca="1" si="77"/>
        <v>57.599999999999902</v>
      </c>
      <c r="AL393">
        <f t="shared" ca="1" si="78"/>
        <v>12.698853745817599</v>
      </c>
    </row>
    <row r="394" spans="1:38" hidden="1">
      <c r="A394" t="str">
        <f ca="1">IF(ISNA(A$1), 0, OFFSET(data!$A$1, ROW()-1, A$1-1))</f>
        <v>Oahu</v>
      </c>
      <c r="B394">
        <f ca="1">IF(ISNA(B$1), 0, OFFSET(data!$A$1, ROW()-1, B$1-1))</f>
        <v>2030</v>
      </c>
      <c r="C394" t="str">
        <f ca="1">IF(ISNA(C$1), 0, OFFSET(data!$A$1, ROW()-1, C$1-1))</f>
        <v>2030-10-22-14:00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2204.8527263713199</v>
      </c>
      <c r="L394">
        <f ca="1">IF(ISNA(L$1), 0, OFFSET(data!$A$1, ROW()-1, L$1-1))</f>
        <v>57.599999999999902</v>
      </c>
      <c r="M394">
        <f ca="1">IF(ISNA(M$1), 0, OFFSET(data!$A$1, ROW()-1, M$1-1))</f>
        <v>10.9883493011396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2273.4410756724601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1192.51720862</v>
      </c>
      <c r="U394">
        <f ca="1">IF(ISNA(U$1), 0, OFFSET(data!$A$1, ROW()-1, U$1-1))</f>
        <v>0</v>
      </c>
      <c r="V394">
        <f ca="1">IF(ISNA(V$1), 0, OFFSET(data!$A$1, ROW()-1, V$1-1))</f>
        <v>404.83335561331899</v>
      </c>
      <c r="W394">
        <f ca="1">IF(ISNA(W$1), 0, OFFSET(data!$A$1, ROW()-1, W$1-1))</f>
        <v>326.09051143914502</v>
      </c>
      <c r="X394">
        <f ca="1">IF(ISNA(X$1), 0, OFFSET(data!$A$1, ROW()-1, X$1-1))</f>
        <v>0</v>
      </c>
      <c r="Y394">
        <f ca="1">IF(ISNA(Y$1), 0, OFFSET(data!$A$1, ROW()-1, Y$1-1))</f>
        <v>350</v>
      </c>
      <c r="Z394">
        <f ca="1">IF(ISNA(Z$1), 0, OFFSET(data!$A$1, ROW()-1, Z$1-1))</f>
        <v>15893.9708422151</v>
      </c>
      <c r="AA394" t="str">
        <f ca="1">IF(ISNA(AA$1), #N/A, OFFSET(data!$A$1, ROW()-1, AA$1-1))</f>
        <v>peak</v>
      </c>
      <c r="AB394">
        <f t="shared" ca="1" si="68"/>
        <v>2030</v>
      </c>
      <c r="AC394">
        <f t="shared" ca="1" si="69"/>
        <v>10</v>
      </c>
      <c r="AD394" t="str">
        <f t="shared" ca="1" si="70"/>
        <v>10/22/2030</v>
      </c>
      <c r="AE394" t="str">
        <f t="shared" ca="1" si="71"/>
        <v/>
      </c>
      <c r="AF394" s="6">
        <f t="shared" ca="1" si="72"/>
        <v>15.893970842215099</v>
      </c>
      <c r="AG394">
        <f t="shared" ca="1" si="73"/>
        <v>1518.6077200591451</v>
      </c>
      <c r="AH394">
        <f t="shared" ca="1" si="74"/>
        <v>350</v>
      </c>
      <c r="AI394">
        <f t="shared" ca="1" si="75"/>
        <v>404.83335561331899</v>
      </c>
      <c r="AJ394">
        <f t="shared" ca="1" si="76"/>
        <v>2204.8527263713199</v>
      </c>
      <c r="AK394">
        <f t="shared" ca="1" si="77"/>
        <v>57.599999999999902</v>
      </c>
      <c r="AL394">
        <f t="shared" ca="1" si="78"/>
        <v>10.9883493011396</v>
      </c>
    </row>
    <row r="395" spans="1:38" hidden="1">
      <c r="A395" t="str">
        <f ca="1">IF(ISNA(A$1), 0, OFFSET(data!$A$1, ROW()-1, A$1-1))</f>
        <v>Oahu</v>
      </c>
      <c r="B395">
        <f ca="1">IF(ISNA(B$1), 0, OFFSET(data!$A$1, ROW()-1, B$1-1))</f>
        <v>2030</v>
      </c>
      <c r="C395" t="str">
        <f ca="1">IF(ISNA(C$1), 0, OFFSET(data!$A$1, ROW()-1, C$1-1))</f>
        <v>2030-10-22-16:00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2075.5102505319101</v>
      </c>
      <c r="L395">
        <f ca="1">IF(ISNA(L$1), 0, OFFSET(data!$A$1, ROW()-1, L$1-1))</f>
        <v>57.599999999999902</v>
      </c>
      <c r="M395">
        <f ca="1">IF(ISNA(M$1), 0, OFFSET(data!$A$1, ROW()-1, M$1-1))</f>
        <v>12.4866370710551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2145.5968876029601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1155.6316510199999</v>
      </c>
      <c r="U395">
        <f ca="1">IF(ISNA(U$1), 0, OFFSET(data!$A$1, ROW()-1, U$1-1))</f>
        <v>0</v>
      </c>
      <c r="V395">
        <f ca="1">IF(ISNA(V$1), 0, OFFSET(data!$A$1, ROW()-1, V$1-1))</f>
        <v>404.83335561331899</v>
      </c>
      <c r="W395">
        <f ca="1">IF(ISNA(W$1), 0, OFFSET(data!$A$1, ROW()-1, W$1-1))</f>
        <v>235.13188096964601</v>
      </c>
      <c r="X395">
        <f ca="1">IF(ISNA(X$1), 0, OFFSET(data!$A$1, ROW()-1, X$1-1))</f>
        <v>0</v>
      </c>
      <c r="Y395">
        <f ca="1">IF(ISNA(Y$1), 0, OFFSET(data!$A$1, ROW()-1, Y$1-1))</f>
        <v>350</v>
      </c>
      <c r="Z395">
        <f ca="1">IF(ISNA(Z$1), 0, OFFSET(data!$A$1, ROW()-1, Z$1-1))</f>
        <v>15893.9708422151</v>
      </c>
      <c r="AA395" t="str">
        <f ca="1">IF(ISNA(AA$1), #N/A, OFFSET(data!$A$1, ROW()-1, AA$1-1))</f>
        <v>peak</v>
      </c>
      <c r="AB395">
        <f t="shared" ca="1" si="68"/>
        <v>2030</v>
      </c>
      <c r="AC395">
        <f t="shared" ca="1" si="69"/>
        <v>10</v>
      </c>
      <c r="AD395" t="str">
        <f t="shared" ca="1" si="70"/>
        <v>10/22/2030</v>
      </c>
      <c r="AE395" t="str">
        <f t="shared" ca="1" si="71"/>
        <v/>
      </c>
      <c r="AF395" s="6">
        <f t="shared" ca="1" si="72"/>
        <v>15.893970842215099</v>
      </c>
      <c r="AG395">
        <f t="shared" ca="1" si="73"/>
        <v>1390.763531989646</v>
      </c>
      <c r="AH395">
        <f t="shared" ca="1" si="74"/>
        <v>350</v>
      </c>
      <c r="AI395">
        <f t="shared" ca="1" si="75"/>
        <v>404.83335561331899</v>
      </c>
      <c r="AJ395">
        <f t="shared" ca="1" si="76"/>
        <v>2075.5102505319101</v>
      </c>
      <c r="AK395">
        <f t="shared" ca="1" si="77"/>
        <v>57.599999999999902</v>
      </c>
      <c r="AL395">
        <f t="shared" ca="1" si="78"/>
        <v>12.4866370710551</v>
      </c>
    </row>
    <row r="396" spans="1:38" hidden="1">
      <c r="A396" t="str">
        <f ca="1">IF(ISNA(A$1), 0, OFFSET(data!$A$1, ROW()-1, A$1-1))</f>
        <v>Oahu</v>
      </c>
      <c r="B396">
        <f ca="1">IF(ISNA(B$1), 0, OFFSET(data!$A$1, ROW()-1, B$1-1))</f>
        <v>2030</v>
      </c>
      <c r="C396" t="str">
        <f ca="1">IF(ISNA(C$1), 0, OFFSET(data!$A$1, ROW()-1, C$1-1))</f>
        <v>2030-10-22-18:00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87.531637346286601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26.8057173918289</v>
      </c>
      <c r="L396">
        <f ca="1">IF(ISNA(L$1), 0, OFFSET(data!$A$1, ROW()-1, L$1-1))</f>
        <v>57.599999999999902</v>
      </c>
      <c r="M396">
        <f ca="1">IF(ISNA(M$1), 0, OFFSET(data!$A$1, ROW()-1, M$1-1))</f>
        <v>28.471355024341499</v>
      </c>
      <c r="N396">
        <f ca="1">IF(ISNA(N$1), 0, OFFSET(data!$A$1, ROW()-1, N$1-1))</f>
        <v>-1.11022302462515E-16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200.40870976245699</v>
      </c>
      <c r="R396">
        <f ca="1">IF(ISNA(R$1), 0, OFFSET(data!$A$1, ROW()-1, R$1-1))</f>
        <v>404.83335561331899</v>
      </c>
      <c r="S396">
        <f ca="1">IF(ISNA(S$1), 0, OFFSET(data!$A$1, ROW()-1, S$1-1))</f>
        <v>249.664716059223</v>
      </c>
      <c r="T396">
        <f ca="1">IF(ISNA(T$1), 0, OFFSET(data!$A$1, ROW()-1, T$1-1))</f>
        <v>1221.2954020499999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-366.38862061499998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25224.1647000271</v>
      </c>
      <c r="AA396" t="str">
        <f ca="1">IF(ISNA(AA$1), #N/A, OFFSET(data!$A$1, ROW()-1, AA$1-1))</f>
        <v>peak</v>
      </c>
      <c r="AB396">
        <f t="shared" ca="1" si="68"/>
        <v>2030</v>
      </c>
      <c r="AC396">
        <f t="shared" ca="1" si="69"/>
        <v>10</v>
      </c>
      <c r="AD396" t="str">
        <f t="shared" ca="1" si="70"/>
        <v>10/22/2030</v>
      </c>
      <c r="AE396" t="str">
        <f t="shared" ca="1" si="71"/>
        <v/>
      </c>
      <c r="AF396" s="6">
        <f t="shared" ca="1" si="72"/>
        <v>25.224164700027099</v>
      </c>
      <c r="AG396">
        <f t="shared" ca="1" si="73"/>
        <v>854.90678143499986</v>
      </c>
      <c r="AH396">
        <f t="shared" ca="1" si="74"/>
        <v>249.664716059223</v>
      </c>
      <c r="AI396">
        <f t="shared" ca="1" si="75"/>
        <v>404.83335561331899</v>
      </c>
      <c r="AJ396">
        <f t="shared" ca="1" si="76"/>
        <v>26.8057173918289</v>
      </c>
      <c r="AK396">
        <f t="shared" ca="1" si="77"/>
        <v>57.599999999999902</v>
      </c>
      <c r="AL396">
        <f t="shared" ca="1" si="78"/>
        <v>28.471355024341499</v>
      </c>
    </row>
    <row r="397" spans="1:38" hidden="1">
      <c r="A397" t="str">
        <f ca="1">IF(ISNA(A$1), 0, OFFSET(data!$A$1, ROW()-1, A$1-1))</f>
        <v>Oahu</v>
      </c>
      <c r="B397">
        <f ca="1">IF(ISNA(B$1), 0, OFFSET(data!$A$1, ROW()-1, B$1-1))</f>
        <v>2030</v>
      </c>
      <c r="C397" t="str">
        <f ca="1">IF(ISNA(C$1), 0, OFFSET(data!$A$1, ROW()-1, C$1-1))</f>
        <v>2030-10-22-20:00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43.614363130494603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101.21436313049399</v>
      </c>
      <c r="R397">
        <f ca="1">IF(ISNA(R$1), 0, OFFSET(data!$A$1, ROW()-1, R$1-1))</f>
        <v>404.83335561331899</v>
      </c>
      <c r="S397">
        <f ca="1">IF(ISNA(S$1), 0, OFFSET(data!$A$1, ROW()-1, S$1-1))</f>
        <v>224.83330052318601</v>
      </c>
      <c r="T397">
        <f ca="1">IF(ISNA(T$1), 0, OFFSET(data!$A$1, ROW()-1, T$1-1))</f>
        <v>1044.1157418099999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-313.23472254299998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25224.1647000271</v>
      </c>
      <c r="AA397" t="str">
        <f ca="1">IF(ISNA(AA$1), #N/A, OFFSET(data!$A$1, ROW()-1, AA$1-1))</f>
        <v>peak</v>
      </c>
      <c r="AB397">
        <f t="shared" ca="1" si="68"/>
        <v>2030</v>
      </c>
      <c r="AC397">
        <f t="shared" ca="1" si="69"/>
        <v>10</v>
      </c>
      <c r="AD397" t="str">
        <f t="shared" ca="1" si="70"/>
        <v>10/22/2030</v>
      </c>
      <c r="AE397" t="str">
        <f t="shared" ca="1" si="71"/>
        <v/>
      </c>
      <c r="AF397" s="6">
        <f t="shared" ca="1" si="72"/>
        <v>25.224164700027099</v>
      </c>
      <c r="AG397">
        <f t="shared" ca="1" si="73"/>
        <v>730.88101926699994</v>
      </c>
      <c r="AH397">
        <f t="shared" ca="1" si="74"/>
        <v>224.83330052318601</v>
      </c>
      <c r="AI397">
        <f t="shared" ca="1" si="75"/>
        <v>404.83335561331899</v>
      </c>
      <c r="AJ397">
        <f t="shared" ca="1" si="76"/>
        <v>0</v>
      </c>
      <c r="AK397">
        <f t="shared" ca="1" si="77"/>
        <v>57.599999999999902</v>
      </c>
      <c r="AL397">
        <f t="shared" ca="1" si="78"/>
        <v>43.614363130494603</v>
      </c>
    </row>
    <row r="398" spans="1:38" hidden="1">
      <c r="A398" t="str">
        <f ca="1">IF(ISNA(A$1), 0, OFFSET(data!$A$1, ROW()-1, A$1-1))</f>
        <v>Oahu</v>
      </c>
      <c r="B398">
        <f ca="1">IF(ISNA(B$1), 0, OFFSET(data!$A$1, ROW()-1, B$1-1))</f>
        <v>2030</v>
      </c>
      <c r="C398" t="str">
        <f ca="1">IF(ISNA(C$1), 0, OFFSET(data!$A$1, ROW()-1, C$1-1))</f>
        <v>2030-10-22-22:00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41.176308052076898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98.776308052076899</v>
      </c>
      <c r="R398">
        <f ca="1">IF(ISNA(R$1), 0, OFFSET(data!$A$1, ROW()-1, R$1-1))</f>
        <v>404.83335561331899</v>
      </c>
      <c r="S398">
        <f ca="1">IF(ISNA(S$1), 0, OFFSET(data!$A$1, ROW()-1, S$1-1))</f>
        <v>24.893301360303699</v>
      </c>
      <c r="T398">
        <f ca="1">IF(ISNA(T$1), 0, OFFSET(data!$A$1, ROW()-1, T$1-1))</f>
        <v>755.00423575100001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-226.5012707253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25224.1647000271</v>
      </c>
      <c r="AA398" t="str">
        <f ca="1">IF(ISNA(AA$1), #N/A, OFFSET(data!$A$1, ROW()-1, AA$1-1))</f>
        <v>peak</v>
      </c>
      <c r="AB398">
        <f t="shared" ca="1" si="68"/>
        <v>2030</v>
      </c>
      <c r="AC398">
        <f t="shared" ca="1" si="69"/>
        <v>10</v>
      </c>
      <c r="AD398" t="str">
        <f t="shared" ca="1" si="70"/>
        <v>10/22/2030</v>
      </c>
      <c r="AE398" t="str">
        <f t="shared" ca="1" si="71"/>
        <v/>
      </c>
      <c r="AF398" s="6">
        <f t="shared" ca="1" si="72"/>
        <v>25.224164700027099</v>
      </c>
      <c r="AG398">
        <f t="shared" ca="1" si="73"/>
        <v>528.50296502569995</v>
      </c>
      <c r="AH398">
        <f t="shared" ca="1" si="74"/>
        <v>24.893301360303699</v>
      </c>
      <c r="AI398">
        <f t="shared" ca="1" si="75"/>
        <v>404.83335561331899</v>
      </c>
      <c r="AJ398">
        <f t="shared" ca="1" si="76"/>
        <v>0</v>
      </c>
      <c r="AK398">
        <f t="shared" ca="1" si="77"/>
        <v>57.599999999999902</v>
      </c>
      <c r="AL398">
        <f t="shared" ca="1" si="78"/>
        <v>41.176308052076898</v>
      </c>
    </row>
    <row r="399" spans="1:38" hidden="1">
      <c r="A399" t="str">
        <f ca="1">IF(ISNA(A$1), 0, OFFSET(data!$A$1, ROW()-1, A$1-1))</f>
        <v>Oahu</v>
      </c>
      <c r="B399">
        <f ca="1">IF(ISNA(B$1), 0, OFFSET(data!$A$1, ROW()-1, B$1-1))</f>
        <v>2030</v>
      </c>
      <c r="C399" t="str">
        <f ca="1">IF(ISNA(C$1), 0, OFFSET(data!$A$1, ROW()-1, C$1-1))</f>
        <v>2030-10-28-00:00</v>
      </c>
      <c r="D399">
        <f ca="1">IF(ISNA(D$1), 0, OFFSET(data!$A$1, ROW()-1, D$1-1))</f>
        <v>1.84741111297626E-13</v>
      </c>
      <c r="E399">
        <f ca="1">IF(ISNA(E$1), 0, OFFSET(data!$A$1, ROW()-1, E$1-1))</f>
        <v>72.657441697282195</v>
      </c>
      <c r="F399">
        <f ca="1">IF(ISNA(F$1), 0, OFFSET(data!$A$1, ROW()-1, F$1-1))</f>
        <v>178.2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19.7302061011403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328.18764779842201</v>
      </c>
      <c r="R399">
        <f ca="1">IF(ISNA(R$1), 0, OFFSET(data!$A$1, ROW()-1, R$1-1))</f>
        <v>0</v>
      </c>
      <c r="S399">
        <f ca="1">IF(ISNA(S$1), 0, OFFSET(data!$A$1, ROW()-1, S$1-1))</f>
        <v>26.875838588277201</v>
      </c>
      <c r="T399">
        <f ca="1">IF(ISNA(T$1), 0, OFFSET(data!$A$1, ROW()-1, T$1-1))</f>
        <v>507.23355198100001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-152.17006559429899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1205.42580969151</v>
      </c>
      <c r="AA399" t="str">
        <f ca="1">IF(ISNA(AA$1), #N/A, OFFSET(data!$A$1, ROW()-1, AA$1-1))</f>
        <v>typical</v>
      </c>
      <c r="AB399">
        <f t="shared" ca="1" si="68"/>
        <v>2030</v>
      </c>
      <c r="AC399">
        <f t="shared" ca="1" si="69"/>
        <v>10</v>
      </c>
      <c r="AD399" t="str">
        <f t="shared" ca="1" si="70"/>
        <v>10/28/2030</v>
      </c>
      <c r="AE399" t="str">
        <f t="shared" ca="1" si="71"/>
        <v/>
      </c>
      <c r="AF399" s="6">
        <f t="shared" ca="1" si="72"/>
        <v>1.20542580969151</v>
      </c>
      <c r="AG399">
        <f t="shared" ca="1" si="73"/>
        <v>355.06348638670102</v>
      </c>
      <c r="AH399">
        <f t="shared" ca="1" si="74"/>
        <v>26.875838588277201</v>
      </c>
      <c r="AI399">
        <f t="shared" ca="1" si="75"/>
        <v>0</v>
      </c>
      <c r="AJ399">
        <f t="shared" ca="1" si="76"/>
        <v>0</v>
      </c>
      <c r="AK399">
        <f t="shared" ca="1" si="77"/>
        <v>57.599999999999902</v>
      </c>
      <c r="AL399">
        <f t="shared" ca="1" si="78"/>
        <v>19.7302061011403</v>
      </c>
    </row>
    <row r="400" spans="1:38" hidden="1">
      <c r="A400" t="str">
        <f ca="1">IF(ISNA(A$1), 0, OFFSET(data!$A$1, ROW()-1, A$1-1))</f>
        <v>Oahu</v>
      </c>
      <c r="B400">
        <f ca="1">IF(ISNA(B$1), 0, OFFSET(data!$A$1, ROW()-1, B$1-1))</f>
        <v>2030</v>
      </c>
      <c r="C400" t="str">
        <f ca="1">IF(ISNA(C$1), 0, OFFSET(data!$A$1, ROW()-1, C$1-1))</f>
        <v>2030-10-28-02:00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178.2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19.091285848527601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254.89128584852699</v>
      </c>
      <c r="R400">
        <f ca="1">IF(ISNA(R$1), 0, OFFSET(data!$A$1, ROW()-1, R$1-1))</f>
        <v>0</v>
      </c>
      <c r="S400">
        <f ca="1">IF(ISNA(S$1), 0, OFFSET(data!$A$1, ROW()-1, S$1-1))</f>
        <v>59.501528274272303</v>
      </c>
      <c r="T400">
        <f ca="1">IF(ISNA(T$1), 0, OFFSET(data!$A$1, ROW()-1, T$1-1))</f>
        <v>449.13259160400003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-134.73977748120001</v>
      </c>
      <c r="X400">
        <f ca="1">IF(ISNA(X$1), 0, OFFSET(data!$A$1, ROW()-1, X$1-1))</f>
        <v>0</v>
      </c>
      <c r="Y400">
        <f ca="1">IF(ISNA(Y$1), 0, OFFSET(data!$A$1, ROW()-1, Y$1-1))</f>
        <v>0</v>
      </c>
      <c r="Z400">
        <f ca="1">IF(ISNA(Z$1), 0, OFFSET(data!$A$1, ROW()-1, Z$1-1))</f>
        <v>1205.42580969151</v>
      </c>
      <c r="AA400" t="str">
        <f ca="1">IF(ISNA(AA$1), #N/A, OFFSET(data!$A$1, ROW()-1, AA$1-1))</f>
        <v>typical</v>
      </c>
      <c r="AB400">
        <f t="shared" ca="1" si="68"/>
        <v>2030</v>
      </c>
      <c r="AC400">
        <f t="shared" ca="1" si="69"/>
        <v>10</v>
      </c>
      <c r="AD400" t="str">
        <f t="shared" ca="1" si="70"/>
        <v>10/28/2030</v>
      </c>
      <c r="AE400" t="str">
        <f t="shared" ca="1" si="71"/>
        <v/>
      </c>
      <c r="AF400" s="6">
        <f t="shared" ca="1" si="72"/>
        <v>1.20542580969151</v>
      </c>
      <c r="AG400">
        <f t="shared" ca="1" si="73"/>
        <v>314.39281412280002</v>
      </c>
      <c r="AH400">
        <f t="shared" ca="1" si="74"/>
        <v>59.501528274272303</v>
      </c>
      <c r="AI400">
        <f t="shared" ca="1" si="75"/>
        <v>0</v>
      </c>
      <c r="AJ400">
        <f t="shared" ca="1" si="76"/>
        <v>0</v>
      </c>
      <c r="AK400">
        <f t="shared" ca="1" si="77"/>
        <v>57.599999999999902</v>
      </c>
      <c r="AL400">
        <f t="shared" ca="1" si="78"/>
        <v>19.091285848527601</v>
      </c>
    </row>
    <row r="401" spans="1:38" hidden="1">
      <c r="A401" t="str">
        <f ca="1">IF(ISNA(A$1), 0, OFFSET(data!$A$1, ROW()-1, A$1-1))</f>
        <v>Oahu</v>
      </c>
      <c r="B401">
        <f ca="1">IF(ISNA(B$1), 0, OFFSET(data!$A$1, ROW()-1, B$1-1))</f>
        <v>2030</v>
      </c>
      <c r="C401" t="str">
        <f ca="1">IF(ISNA(C$1), 0, OFFSET(data!$A$1, ROW()-1, C$1-1))</f>
        <v>2030-10-28-04:00</v>
      </c>
      <c r="D401">
        <f ca="1">IF(ISNA(D$1), 0, OFFSET(data!$A$1, ROW()-1, D$1-1))</f>
        <v>0</v>
      </c>
      <c r="E401">
        <f ca="1">IF(ISNA(E$1), 0, OFFSET(data!$A$1, ROW()-1, E$1-1))</f>
        <v>74.687999999999903</v>
      </c>
      <c r="F401">
        <f ca="1">IF(ISNA(F$1), 0, OFFSET(data!$A$1, ROW()-1, F$1-1))</f>
        <v>178.2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0.11251259394263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310.60051259394203</v>
      </c>
      <c r="R401">
        <f ca="1">IF(ISNA(R$1), 0, OFFSET(data!$A$1, ROW()-1, R$1-1))</f>
        <v>0</v>
      </c>
      <c r="S401">
        <f ca="1">IF(ISNA(S$1), 0, OFFSET(data!$A$1, ROW()-1, S$1-1))</f>
        <v>70.395496559257396</v>
      </c>
      <c r="T401">
        <f ca="1">IF(ISNA(T$1), 0, OFFSET(data!$A$1, ROW()-1, T$1-1))</f>
        <v>544.28001307600005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-163.2840039228</v>
      </c>
      <c r="X401">
        <f ca="1">IF(ISNA(X$1), 0, OFFSET(data!$A$1, ROW()-1, X$1-1))</f>
        <v>0</v>
      </c>
      <c r="Y401">
        <f ca="1">IF(ISNA(Y$1), 0, OFFSET(data!$A$1, ROW()-1, Y$1-1))</f>
        <v>0</v>
      </c>
      <c r="Z401">
        <f ca="1">IF(ISNA(Z$1), 0, OFFSET(data!$A$1, ROW()-1, Z$1-1))</f>
        <v>1205.42580969151</v>
      </c>
      <c r="AA401" t="str">
        <f ca="1">IF(ISNA(AA$1), #N/A, OFFSET(data!$A$1, ROW()-1, AA$1-1))</f>
        <v>typical</v>
      </c>
      <c r="AB401">
        <f t="shared" ca="1" si="68"/>
        <v>2030</v>
      </c>
      <c r="AC401">
        <f t="shared" ca="1" si="69"/>
        <v>10</v>
      </c>
      <c r="AD401" t="str">
        <f t="shared" ca="1" si="70"/>
        <v>10/28/2030</v>
      </c>
      <c r="AE401" t="str">
        <f t="shared" ca="1" si="71"/>
        <v/>
      </c>
      <c r="AF401" s="6">
        <f t="shared" ca="1" si="72"/>
        <v>1.20542580969151</v>
      </c>
      <c r="AG401">
        <f t="shared" ca="1" si="73"/>
        <v>380.99600915320002</v>
      </c>
      <c r="AH401">
        <f t="shared" ca="1" si="74"/>
        <v>70.395496559257396</v>
      </c>
      <c r="AI401">
        <f t="shared" ca="1" si="75"/>
        <v>0</v>
      </c>
      <c r="AJ401">
        <f t="shared" ca="1" si="76"/>
        <v>0</v>
      </c>
      <c r="AK401">
        <f t="shared" ca="1" si="77"/>
        <v>57.599999999999902</v>
      </c>
      <c r="AL401">
        <f t="shared" ca="1" si="78"/>
        <v>0.11251259394263</v>
      </c>
    </row>
    <row r="402" spans="1:38" hidden="1">
      <c r="A402" t="str">
        <f ca="1">IF(ISNA(A$1), 0, OFFSET(data!$A$1, ROW()-1, A$1-1))</f>
        <v>Oahu</v>
      </c>
      <c r="B402">
        <f ca="1">IF(ISNA(B$1), 0, OFFSET(data!$A$1, ROW()-1, B$1-1))</f>
        <v>2030</v>
      </c>
      <c r="C402" t="str">
        <f ca="1">IF(ISNA(C$1), 0, OFFSET(data!$A$1, ROW()-1, C$1-1))</f>
        <v>2030-10-28-06:00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178.2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17.9221722572263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253.72217225722599</v>
      </c>
      <c r="R402">
        <f ca="1">IF(ISNA(R$1), 0, OFFSET(data!$A$1, ROW()-1, R$1-1))</f>
        <v>0</v>
      </c>
      <c r="S402">
        <f ca="1">IF(ISNA(S$1), 0, OFFSET(data!$A$1, ROW()-1, S$1-1))</f>
        <v>343.15881693397301</v>
      </c>
      <c r="T402">
        <f ca="1">IF(ISNA(T$1), 0, OFFSET(data!$A$1, ROW()-1, T$1-1))</f>
        <v>852.68712741599995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-255.80613822479901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1205.42580969151</v>
      </c>
      <c r="AA402" t="str">
        <f ca="1">IF(ISNA(AA$1), #N/A, OFFSET(data!$A$1, ROW()-1, AA$1-1))</f>
        <v>typical</v>
      </c>
      <c r="AB402">
        <f t="shared" ca="1" si="68"/>
        <v>2030</v>
      </c>
      <c r="AC402">
        <f t="shared" ca="1" si="69"/>
        <v>10</v>
      </c>
      <c r="AD402" t="str">
        <f t="shared" ca="1" si="70"/>
        <v>10/28/2030</v>
      </c>
      <c r="AE402" t="str">
        <f t="shared" ca="1" si="71"/>
        <v/>
      </c>
      <c r="AF402" s="6">
        <f t="shared" ca="1" si="72"/>
        <v>1.20542580969151</v>
      </c>
      <c r="AG402">
        <f t="shared" ca="1" si="73"/>
        <v>596.88098919120091</v>
      </c>
      <c r="AH402">
        <f t="shared" ca="1" si="74"/>
        <v>343.15881693397301</v>
      </c>
      <c r="AI402">
        <f t="shared" ca="1" si="75"/>
        <v>0</v>
      </c>
      <c r="AJ402">
        <f t="shared" ca="1" si="76"/>
        <v>0</v>
      </c>
      <c r="AK402">
        <f t="shared" ca="1" si="77"/>
        <v>57.599999999999902</v>
      </c>
      <c r="AL402">
        <f t="shared" ca="1" si="78"/>
        <v>17.9221722572263</v>
      </c>
    </row>
    <row r="403" spans="1:38" hidden="1">
      <c r="A403" t="str">
        <f ca="1">IF(ISNA(A$1), 0, OFFSET(data!$A$1, ROW()-1, A$1-1))</f>
        <v>Oahu</v>
      </c>
      <c r="B403">
        <f ca="1">IF(ISNA(B$1), 0, OFFSET(data!$A$1, ROW()-1, B$1-1))</f>
        <v>2030</v>
      </c>
      <c r="C403" t="str">
        <f ca="1">IF(ISNA(C$1), 0, OFFSET(data!$A$1, ROW()-1, C$1-1))</f>
        <v>2030-10-28-08:00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43.836793887724298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566.00615380404497</v>
      </c>
      <c r="L403">
        <f ca="1">IF(ISNA(L$1), 0, OFFSET(data!$A$1, ROW()-1, L$1-1))</f>
        <v>57.599999999999902</v>
      </c>
      <c r="M403">
        <f ca="1">IF(ISNA(M$1), 0, OFFSET(data!$A$1, ROW()-1, M$1-1))</f>
        <v>5.5641987310299799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673.00714642280002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961.43878060400004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-288.43163418120002</v>
      </c>
      <c r="X403">
        <f ca="1">IF(ISNA(X$1), 0, OFFSET(data!$A$1, ROW()-1, X$1-1))</f>
        <v>0</v>
      </c>
      <c r="Y403">
        <f ca="1">IF(ISNA(Y$1), 0, OFFSET(data!$A$1, ROW()-1, Y$1-1))</f>
        <v>0</v>
      </c>
      <c r="Z403">
        <f ca="1">IF(ISNA(Z$1), 0, OFFSET(data!$A$1, ROW()-1, Z$1-1))</f>
        <v>992.73690374747002</v>
      </c>
      <c r="AA403" t="str">
        <f ca="1">IF(ISNA(AA$1), #N/A, OFFSET(data!$A$1, ROW()-1, AA$1-1))</f>
        <v>typical</v>
      </c>
      <c r="AB403">
        <f t="shared" ca="1" si="68"/>
        <v>2030</v>
      </c>
      <c r="AC403">
        <f t="shared" ca="1" si="69"/>
        <v>10</v>
      </c>
      <c r="AD403" t="str">
        <f t="shared" ca="1" si="70"/>
        <v>10/28/2030</v>
      </c>
      <c r="AE403" t="str">
        <f t="shared" ca="1" si="71"/>
        <v/>
      </c>
      <c r="AF403" s="6">
        <f t="shared" ca="1" si="72"/>
        <v>0.99273690374747003</v>
      </c>
      <c r="AG403">
        <f t="shared" ca="1" si="73"/>
        <v>673.00714642280002</v>
      </c>
      <c r="AH403">
        <f t="shared" ca="1" si="74"/>
        <v>0</v>
      </c>
      <c r="AI403">
        <f t="shared" ca="1" si="75"/>
        <v>0</v>
      </c>
      <c r="AJ403">
        <f t="shared" ca="1" si="76"/>
        <v>566.00615380404497</v>
      </c>
      <c r="AK403">
        <f t="shared" ca="1" si="77"/>
        <v>57.599999999999902</v>
      </c>
      <c r="AL403">
        <f t="shared" ca="1" si="78"/>
        <v>5.5641987310299799</v>
      </c>
    </row>
    <row r="404" spans="1:38" hidden="1">
      <c r="A404" t="str">
        <f ca="1">IF(ISNA(A$1), 0, OFFSET(data!$A$1, ROW()-1, A$1-1))</f>
        <v>Oahu</v>
      </c>
      <c r="B404">
        <f ca="1">IF(ISNA(B$1), 0, OFFSET(data!$A$1, ROW()-1, B$1-1))</f>
        <v>2030</v>
      </c>
      <c r="C404" t="str">
        <f ca="1">IF(ISNA(C$1), 0, OFFSET(data!$A$1, ROW()-1, C$1-1))</f>
        <v>2030-10-28-10:00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2113.9952562224998</v>
      </c>
      <c r="L404">
        <f ca="1">IF(ISNA(L$1), 0, OFFSET(data!$A$1, ROW()-1, L$1-1))</f>
        <v>57.599999999999902</v>
      </c>
      <c r="M404">
        <f ca="1">IF(ISNA(M$1), 0, OFFSET(data!$A$1, ROW()-1, M$1-1))</f>
        <v>2.5467477229925102</v>
      </c>
      <c r="N404">
        <f ca="1">IF(ISNA(N$1), 0, OFFSET(data!$A$1, ROW()-1, N$1-1))</f>
        <v>-1.4210854715202001E-14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2174.1420039454902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1049.31332778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774.828676165498</v>
      </c>
      <c r="X404">
        <f ca="1">IF(ISNA(X$1), 0, OFFSET(data!$A$1, ROW()-1, X$1-1))</f>
        <v>0</v>
      </c>
      <c r="Y404">
        <f ca="1">IF(ISNA(Y$1), 0, OFFSET(data!$A$1, ROW()-1, Y$1-1))</f>
        <v>350</v>
      </c>
      <c r="Z404">
        <f ca="1">IF(ISNA(Z$1), 0, OFFSET(data!$A$1, ROW()-1, Z$1-1))</f>
        <v>836.72928993529899</v>
      </c>
      <c r="AA404" t="str">
        <f ca="1">IF(ISNA(AA$1), #N/A, OFFSET(data!$A$1, ROW()-1, AA$1-1))</f>
        <v>typical</v>
      </c>
      <c r="AB404">
        <f t="shared" ca="1" si="68"/>
        <v>2030</v>
      </c>
      <c r="AC404">
        <f t="shared" ca="1" si="69"/>
        <v>10</v>
      </c>
      <c r="AD404" t="str">
        <f t="shared" ca="1" si="70"/>
        <v>10/28/2030</v>
      </c>
      <c r="AE404" t="str">
        <f t="shared" ca="1" si="71"/>
        <v/>
      </c>
      <c r="AF404" s="6">
        <f t="shared" ca="1" si="72"/>
        <v>0.83672928993529905</v>
      </c>
      <c r="AG404">
        <f t="shared" ca="1" si="73"/>
        <v>1824.1420039454979</v>
      </c>
      <c r="AH404">
        <f t="shared" ca="1" si="74"/>
        <v>350</v>
      </c>
      <c r="AI404">
        <f t="shared" ca="1" si="75"/>
        <v>0</v>
      </c>
      <c r="AJ404">
        <f t="shared" ca="1" si="76"/>
        <v>2113.9952562224998</v>
      </c>
      <c r="AK404">
        <f t="shared" ca="1" si="77"/>
        <v>57.599999999999902</v>
      </c>
      <c r="AL404">
        <f t="shared" ca="1" si="78"/>
        <v>2.5467477229925102</v>
      </c>
    </row>
    <row r="405" spans="1:38" hidden="1">
      <c r="A405" t="str">
        <f ca="1">IF(ISNA(A$1), 0, OFFSET(data!$A$1, ROW()-1, A$1-1))</f>
        <v>Oahu</v>
      </c>
      <c r="B405">
        <f ca="1">IF(ISNA(B$1), 0, OFFSET(data!$A$1, ROW()-1, B$1-1))</f>
        <v>2030</v>
      </c>
      <c r="C405" t="str">
        <f ca="1">IF(ISNA(C$1), 0, OFFSET(data!$A$1, ROW()-1, C$1-1))</f>
        <v>2030-10-28-12:00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2289.7895621010498</v>
      </c>
      <c r="L405">
        <f ca="1">IF(ISNA(L$1), 0, OFFSET(data!$A$1, ROW()-1, L$1-1))</f>
        <v>57.599999999999902</v>
      </c>
      <c r="M405">
        <f ca="1">IF(ISNA(M$1), 0, OFFSET(data!$A$1, ROW()-1, M$1-1))</f>
        <v>7.4074543723842297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2354.7970164734402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1065.67381787</v>
      </c>
      <c r="U405">
        <f ca="1">IF(ISNA(U$1), 0, OFFSET(data!$A$1, ROW()-1, U$1-1))</f>
        <v>0</v>
      </c>
      <c r="V405">
        <f ca="1">IF(ISNA(V$1), 0, OFFSET(data!$A$1, ROW()-1, V$1-1))</f>
        <v>404.83335561331899</v>
      </c>
      <c r="W405">
        <f ca="1">IF(ISNA(W$1), 0, OFFSET(data!$A$1, ROW()-1, W$1-1))</f>
        <v>534.289842990122</v>
      </c>
      <c r="X405">
        <f ca="1">IF(ISNA(X$1), 0, OFFSET(data!$A$1, ROW()-1, X$1-1))</f>
        <v>0</v>
      </c>
      <c r="Y405">
        <f ca="1">IF(ISNA(Y$1), 0, OFFSET(data!$A$1, ROW()-1, Y$1-1))</f>
        <v>350</v>
      </c>
      <c r="Z405">
        <f ca="1">IF(ISNA(Z$1), 0, OFFSET(data!$A$1, ROW()-1, Z$1-1))</f>
        <v>836.72928993529899</v>
      </c>
      <c r="AA405" t="str">
        <f ca="1">IF(ISNA(AA$1), #N/A, OFFSET(data!$A$1, ROW()-1, AA$1-1))</f>
        <v>typical</v>
      </c>
      <c r="AB405">
        <f t="shared" ca="1" si="68"/>
        <v>2030</v>
      </c>
      <c r="AC405">
        <f t="shared" ca="1" si="69"/>
        <v>10</v>
      </c>
      <c r="AD405" t="str">
        <f t="shared" ca="1" si="70"/>
        <v>10/28/2030</v>
      </c>
      <c r="AE405" t="str">
        <f t="shared" ca="1" si="71"/>
        <v>10/28/2030</v>
      </c>
      <c r="AF405" s="6">
        <f t="shared" ca="1" si="72"/>
        <v>0.83672928993529905</v>
      </c>
      <c r="AG405">
        <f t="shared" ca="1" si="73"/>
        <v>1599.963660860122</v>
      </c>
      <c r="AH405">
        <f t="shared" ca="1" si="74"/>
        <v>350</v>
      </c>
      <c r="AI405">
        <f t="shared" ca="1" si="75"/>
        <v>404.83335561331899</v>
      </c>
      <c r="AJ405">
        <f t="shared" ca="1" si="76"/>
        <v>2289.7895621010498</v>
      </c>
      <c r="AK405">
        <f t="shared" ca="1" si="77"/>
        <v>57.599999999999902</v>
      </c>
      <c r="AL405">
        <f t="shared" ca="1" si="78"/>
        <v>7.4074543723842297</v>
      </c>
    </row>
    <row r="406" spans="1:38" hidden="1">
      <c r="A406" t="str">
        <f ca="1">IF(ISNA(A$1), 0, OFFSET(data!$A$1, ROW()-1, A$1-1))</f>
        <v>Oahu</v>
      </c>
      <c r="B406">
        <f ca="1">IF(ISNA(B$1), 0, OFFSET(data!$A$1, ROW()-1, B$1-1))</f>
        <v>2030</v>
      </c>
      <c r="C406" t="str">
        <f ca="1">IF(ISNA(C$1), 0, OFFSET(data!$A$1, ROW()-1, C$1-1))</f>
        <v>2030-10-28-14:00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1873.8659507493401</v>
      </c>
      <c r="L406">
        <f ca="1">IF(ISNA(L$1), 0, OFFSET(data!$A$1, ROW()-1, L$1-1))</f>
        <v>57.599999999999902</v>
      </c>
      <c r="M406">
        <f ca="1">IF(ISNA(M$1), 0, OFFSET(data!$A$1, ROW()-1, M$1-1))</f>
        <v>3.06963378242139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1934.5355845317599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1058.57842013</v>
      </c>
      <c r="U406">
        <f ca="1">IF(ISNA(U$1), 0, OFFSET(data!$A$1, ROW()-1, U$1-1))</f>
        <v>0</v>
      </c>
      <c r="V406">
        <f ca="1">IF(ISNA(V$1), 0, OFFSET(data!$A$1, ROW()-1, V$1-1))</f>
        <v>0</v>
      </c>
      <c r="W406">
        <f ca="1">IF(ISNA(W$1), 0, OFFSET(data!$A$1, ROW()-1, W$1-1))</f>
        <v>525.95716440176295</v>
      </c>
      <c r="X406">
        <f ca="1">IF(ISNA(X$1), 0, OFFSET(data!$A$1, ROW()-1, X$1-1))</f>
        <v>0</v>
      </c>
      <c r="Y406">
        <f ca="1">IF(ISNA(Y$1), 0, OFFSET(data!$A$1, ROW()-1, Y$1-1))</f>
        <v>350</v>
      </c>
      <c r="Z406">
        <f ca="1">IF(ISNA(Z$1), 0, OFFSET(data!$A$1, ROW()-1, Z$1-1))</f>
        <v>836.72928993529899</v>
      </c>
      <c r="AA406" t="str">
        <f ca="1">IF(ISNA(AA$1), #N/A, OFFSET(data!$A$1, ROW()-1, AA$1-1))</f>
        <v>typical</v>
      </c>
      <c r="AB406">
        <f t="shared" ca="1" si="68"/>
        <v>2030</v>
      </c>
      <c r="AC406">
        <f t="shared" ca="1" si="69"/>
        <v>10</v>
      </c>
      <c r="AD406" t="str">
        <f t="shared" ca="1" si="70"/>
        <v>10/28/2030</v>
      </c>
      <c r="AE406" t="str">
        <f t="shared" ca="1" si="71"/>
        <v/>
      </c>
      <c r="AF406" s="6">
        <f t="shared" ca="1" si="72"/>
        <v>0.83672928993529905</v>
      </c>
      <c r="AG406">
        <f t="shared" ca="1" si="73"/>
        <v>1584.5355845317631</v>
      </c>
      <c r="AH406">
        <f t="shared" ca="1" si="74"/>
        <v>350</v>
      </c>
      <c r="AI406">
        <f t="shared" ca="1" si="75"/>
        <v>0</v>
      </c>
      <c r="AJ406">
        <f t="shared" ca="1" si="76"/>
        <v>1873.8659507493401</v>
      </c>
      <c r="AK406">
        <f t="shared" ca="1" si="77"/>
        <v>57.599999999999902</v>
      </c>
      <c r="AL406">
        <f t="shared" ca="1" si="78"/>
        <v>3.06963378242139</v>
      </c>
    </row>
    <row r="407" spans="1:38" hidden="1">
      <c r="A407" t="str">
        <f ca="1">IF(ISNA(A$1), 0, OFFSET(data!$A$1, ROW()-1, A$1-1))</f>
        <v>Oahu</v>
      </c>
      <c r="B407">
        <f ca="1">IF(ISNA(B$1), 0, OFFSET(data!$A$1, ROW()-1, B$1-1))</f>
        <v>2030</v>
      </c>
      <c r="C407" t="str">
        <f ca="1">IF(ISNA(C$1), 0, OFFSET(data!$A$1, ROW()-1, C$1-1))</f>
        <v>2030-10-28-16:00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1387.71395555203</v>
      </c>
      <c r="L407">
        <f ca="1">IF(ISNA(L$1), 0, OFFSET(data!$A$1, ROW()-1, L$1-1))</f>
        <v>57.599999999999902</v>
      </c>
      <c r="M407">
        <f ca="1">IF(ISNA(M$1), 0, OFFSET(data!$A$1, ROW()-1, M$1-1))</f>
        <v>5.5424765103162601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1450.85643206235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1045.9839975299999</v>
      </c>
      <c r="U407">
        <f ca="1">IF(ISNA(U$1), 0, OFFSET(data!$A$1, ROW()-1, U$1-1))</f>
        <v>0</v>
      </c>
      <c r="V407">
        <f ca="1">IF(ISNA(V$1), 0, OFFSET(data!$A$1, ROW()-1, V$1-1))</f>
        <v>52.285771288540502</v>
      </c>
      <c r="W407">
        <f ca="1">IF(ISNA(W$1), 0, OFFSET(data!$A$1, ROW()-1, W$1-1))</f>
        <v>2.5866632438160102</v>
      </c>
      <c r="X407">
        <f ca="1">IF(ISNA(X$1), 0, OFFSET(data!$A$1, ROW()-1, X$1-1))</f>
        <v>0</v>
      </c>
      <c r="Y407">
        <f ca="1">IF(ISNA(Y$1), 0, OFFSET(data!$A$1, ROW()-1, Y$1-1))</f>
        <v>350</v>
      </c>
      <c r="Z407">
        <f ca="1">IF(ISNA(Z$1), 0, OFFSET(data!$A$1, ROW()-1, Z$1-1))</f>
        <v>836.72928993529899</v>
      </c>
      <c r="AA407" t="str">
        <f ca="1">IF(ISNA(AA$1), #N/A, OFFSET(data!$A$1, ROW()-1, AA$1-1))</f>
        <v>typical</v>
      </c>
      <c r="AB407">
        <f t="shared" ca="1" si="68"/>
        <v>2030</v>
      </c>
      <c r="AC407">
        <f t="shared" ca="1" si="69"/>
        <v>10</v>
      </c>
      <c r="AD407" t="str">
        <f t="shared" ca="1" si="70"/>
        <v>10/28/2030</v>
      </c>
      <c r="AE407" t="str">
        <f t="shared" ca="1" si="71"/>
        <v/>
      </c>
      <c r="AF407" s="6">
        <f t="shared" ca="1" si="72"/>
        <v>0.83672928993529905</v>
      </c>
      <c r="AG407">
        <f t="shared" ca="1" si="73"/>
        <v>1048.5706607738159</v>
      </c>
      <c r="AH407">
        <f t="shared" ca="1" si="74"/>
        <v>350</v>
      </c>
      <c r="AI407">
        <f t="shared" ca="1" si="75"/>
        <v>52.285771288540502</v>
      </c>
      <c r="AJ407">
        <f t="shared" ca="1" si="76"/>
        <v>1387.71395555203</v>
      </c>
      <c r="AK407">
        <f t="shared" ca="1" si="77"/>
        <v>57.599999999999902</v>
      </c>
      <c r="AL407">
        <f t="shared" ca="1" si="78"/>
        <v>5.5424765103162601</v>
      </c>
    </row>
    <row r="408" spans="1:38" hidden="1">
      <c r="A408" t="str">
        <f ca="1">IF(ISNA(A$1), 0, OFFSET(data!$A$1, ROW()-1, A$1-1))</f>
        <v>Oahu</v>
      </c>
      <c r="B408">
        <f ca="1">IF(ISNA(B$1), 0, OFFSET(data!$A$1, ROW()-1, B$1-1))</f>
        <v>2030</v>
      </c>
      <c r="C408" t="str">
        <f ca="1">IF(ISNA(C$1), 0, OFFSET(data!$A$1, ROW()-1, C$1-1))</f>
        <v>2030-10-28-18:00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178.2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18.602452428254299</v>
      </c>
      <c r="L408">
        <f ca="1">IF(ISNA(L$1), 0, OFFSET(data!$A$1, ROW()-1, L$1-1))</f>
        <v>57.599999999999902</v>
      </c>
      <c r="M408">
        <f ca="1">IF(ISNA(M$1), 0, OFFSET(data!$A$1, ROW()-1, M$1-1))</f>
        <v>76.664073325206104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331.06652575345998</v>
      </c>
      <c r="R408">
        <f ca="1">IF(ISNA(R$1), 0, OFFSET(data!$A$1, ROW()-1, R$1-1))</f>
        <v>117.34338076453901</v>
      </c>
      <c r="S408">
        <f ca="1">IF(ISNA(S$1), 0, OFFSET(data!$A$1, ROW()-1, S$1-1))</f>
        <v>350</v>
      </c>
      <c r="T408">
        <f ca="1">IF(ISNA(T$1), 0, OFFSET(data!$A$1, ROW()-1, T$1-1))</f>
        <v>1140.5855807400001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-342.175674222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1205.42580969151</v>
      </c>
      <c r="AA408" t="str">
        <f ca="1">IF(ISNA(AA$1), #N/A, OFFSET(data!$A$1, ROW()-1, AA$1-1))</f>
        <v>typical</v>
      </c>
      <c r="AB408">
        <f t="shared" ca="1" si="68"/>
        <v>2030</v>
      </c>
      <c r="AC408">
        <f t="shared" ca="1" si="69"/>
        <v>10</v>
      </c>
      <c r="AD408" t="str">
        <f t="shared" ca="1" si="70"/>
        <v>10/28/2030</v>
      </c>
      <c r="AE408" t="str">
        <f t="shared" ca="1" si="71"/>
        <v/>
      </c>
      <c r="AF408" s="6">
        <f t="shared" ca="1" si="72"/>
        <v>1.20542580969151</v>
      </c>
      <c r="AG408">
        <f t="shared" ca="1" si="73"/>
        <v>798.40990651800007</v>
      </c>
      <c r="AH408">
        <f t="shared" ca="1" si="74"/>
        <v>350</v>
      </c>
      <c r="AI408">
        <f t="shared" ca="1" si="75"/>
        <v>117.34338076453901</v>
      </c>
      <c r="AJ408">
        <f t="shared" ca="1" si="76"/>
        <v>18.602452428254299</v>
      </c>
      <c r="AK408">
        <f t="shared" ca="1" si="77"/>
        <v>57.599999999999902</v>
      </c>
      <c r="AL408">
        <f t="shared" ca="1" si="78"/>
        <v>76.664073325206104</v>
      </c>
    </row>
    <row r="409" spans="1:38" hidden="1">
      <c r="A409" t="str">
        <f ca="1">IF(ISNA(A$1), 0, OFFSET(data!$A$1, ROW()-1, A$1-1))</f>
        <v>Oahu</v>
      </c>
      <c r="B409">
        <f ca="1">IF(ISNA(B$1), 0, OFFSET(data!$A$1, ROW()-1, B$1-1))</f>
        <v>2030</v>
      </c>
      <c r="C409" t="str">
        <f ca="1">IF(ISNA(C$1), 0, OFFSET(data!$A$1, ROW()-1, C$1-1))</f>
        <v>2030-10-28-20:00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178.2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68.5790368352949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304.37903683529498</v>
      </c>
      <c r="R409">
        <f ca="1">IF(ISNA(R$1), 0, OFFSET(data!$A$1, ROW()-1, R$1-1))</f>
        <v>225.495964411855</v>
      </c>
      <c r="S409">
        <f ca="1">IF(ISNA(S$1), 0, OFFSET(data!$A$1, ROW()-1, S$1-1))</f>
        <v>149.627212435449</v>
      </c>
      <c r="T409">
        <f ca="1">IF(ISNA(T$1), 0, OFFSET(data!$A$1, ROW()-1, T$1-1))</f>
        <v>970.71744811799999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-291.215234435399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1205.42580969151</v>
      </c>
      <c r="AA409" t="str">
        <f ca="1">IF(ISNA(AA$1), #N/A, OFFSET(data!$A$1, ROW()-1, AA$1-1))</f>
        <v>typical</v>
      </c>
      <c r="AB409">
        <f t="shared" ca="1" si="68"/>
        <v>2030</v>
      </c>
      <c r="AC409">
        <f t="shared" ca="1" si="69"/>
        <v>10</v>
      </c>
      <c r="AD409" t="str">
        <f t="shared" ca="1" si="70"/>
        <v>10/28/2030</v>
      </c>
      <c r="AE409" t="str">
        <f t="shared" ca="1" si="71"/>
        <v/>
      </c>
      <c r="AF409" s="6">
        <f t="shared" ca="1" si="72"/>
        <v>1.20542580969151</v>
      </c>
      <c r="AG409">
        <f t="shared" ca="1" si="73"/>
        <v>679.502213682601</v>
      </c>
      <c r="AH409">
        <f t="shared" ca="1" si="74"/>
        <v>149.627212435449</v>
      </c>
      <c r="AI409">
        <f t="shared" ca="1" si="75"/>
        <v>225.495964411855</v>
      </c>
      <c r="AJ409">
        <f t="shared" ca="1" si="76"/>
        <v>0</v>
      </c>
      <c r="AK409">
        <f t="shared" ca="1" si="77"/>
        <v>57.599999999999902</v>
      </c>
      <c r="AL409">
        <f t="shared" ca="1" si="78"/>
        <v>68.5790368352949</v>
      </c>
    </row>
    <row r="410" spans="1:38" hidden="1">
      <c r="A410" t="str">
        <f ca="1">IF(ISNA(A$1), 0, OFFSET(data!$A$1, ROW()-1, A$1-1))</f>
        <v>Oahu</v>
      </c>
      <c r="B410">
        <f ca="1">IF(ISNA(B$1), 0, OFFSET(data!$A$1, ROW()-1, B$1-1))</f>
        <v>2030</v>
      </c>
      <c r="C410" t="str">
        <f ca="1">IF(ISNA(C$1), 0, OFFSET(data!$A$1, ROW()-1, C$1-1))</f>
        <v>2030-10-28-22:00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178.2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55.385136516730398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291.18513651672998</v>
      </c>
      <c r="R410">
        <f ca="1">IF(ISNA(R$1), 0, OFFSET(data!$A$1, ROW()-1, R$1-1))</f>
        <v>0</v>
      </c>
      <c r="S410">
        <f ca="1">IF(ISNA(S$1), 0, OFFSET(data!$A$1, ROW()-1, S$1-1))</f>
        <v>198.44110720876901</v>
      </c>
      <c r="T410">
        <f ca="1">IF(ISNA(T$1), 0, OFFSET(data!$A$1, ROW()-1, T$1-1))</f>
        <v>699.46606246500005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-209.8398187395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1205.42580969151</v>
      </c>
      <c r="AA410" t="str">
        <f ca="1">IF(ISNA(AA$1), #N/A, OFFSET(data!$A$1, ROW()-1, AA$1-1))</f>
        <v>typical</v>
      </c>
      <c r="AB410">
        <f t="shared" ca="1" si="68"/>
        <v>2030</v>
      </c>
      <c r="AC410">
        <f t="shared" ca="1" si="69"/>
        <v>10</v>
      </c>
      <c r="AD410" t="str">
        <f t="shared" ca="1" si="70"/>
        <v>10/28/2030</v>
      </c>
      <c r="AE410" t="str">
        <f t="shared" ca="1" si="71"/>
        <v/>
      </c>
      <c r="AF410" s="6">
        <f t="shared" ca="1" si="72"/>
        <v>1.20542580969151</v>
      </c>
      <c r="AG410">
        <f t="shared" ca="1" si="73"/>
        <v>489.62624372550005</v>
      </c>
      <c r="AH410">
        <f t="shared" ca="1" si="74"/>
        <v>198.44110720876901</v>
      </c>
      <c r="AI410">
        <f t="shared" ca="1" si="75"/>
        <v>0</v>
      </c>
      <c r="AJ410">
        <f t="shared" ca="1" si="76"/>
        <v>0</v>
      </c>
      <c r="AK410">
        <f t="shared" ca="1" si="77"/>
        <v>57.599999999999902</v>
      </c>
      <c r="AL410">
        <f t="shared" ca="1" si="78"/>
        <v>55.385136516730398</v>
      </c>
    </row>
    <row r="411" spans="1:38" hidden="1">
      <c r="A411" t="str">
        <f ca="1">IF(ISNA(A$1), 0, OFFSET(data!$A$1, ROW()-1, A$1-1))</f>
        <v>Oahu</v>
      </c>
      <c r="B411">
        <f ca="1">IF(ISNA(B$1), 0, OFFSET(data!$A$1, ROW()-1, B$1-1))</f>
        <v>2030</v>
      </c>
      <c r="C411" t="str">
        <f ca="1">IF(ISNA(C$1), 0, OFFSET(data!$A$1, ROW()-1, C$1-1))</f>
        <v>2030-12-04-00:00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14.2371182492187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71.837118249218705</v>
      </c>
      <c r="R411">
        <f ca="1">IF(ISNA(R$1), 0, OFFSET(data!$A$1, ROW()-1, R$1-1))</f>
        <v>226.71485258930699</v>
      </c>
      <c r="S411">
        <f ca="1">IF(ISNA(S$1), 0, OFFSET(data!$A$1, ROW()-1, S$1-1))</f>
        <v>75.942911488773703</v>
      </c>
      <c r="T411">
        <f ca="1">IF(ISNA(T$1), 0, OFFSET(data!$A$1, ROW()-1, T$1-1))</f>
        <v>534.99268903899997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-160.49780671169901</v>
      </c>
      <c r="X411">
        <f ca="1">IF(ISNA(X$1), 0, OFFSET(data!$A$1, ROW()-1, X$1-1))</f>
        <v>0</v>
      </c>
      <c r="Y411">
        <f ca="1">IF(ISNA(Y$1), 0, OFFSET(data!$A$1, ROW()-1, Y$1-1))</f>
        <v>0</v>
      </c>
      <c r="Z411">
        <f ca="1">IF(ISNA(Z$1), 0, OFFSET(data!$A$1, ROW()-1, Z$1-1))</f>
        <v>11045.3566156863</v>
      </c>
      <c r="AA411" t="str">
        <f ca="1">IF(ISNA(AA$1), #N/A, OFFSET(data!$A$1, ROW()-1, AA$1-1))</f>
        <v>peak</v>
      </c>
      <c r="AB411">
        <f t="shared" ca="1" si="68"/>
        <v>2030</v>
      </c>
      <c r="AC411">
        <f t="shared" ca="1" si="69"/>
        <v>12</v>
      </c>
      <c r="AD411" t="str">
        <f t="shared" ca="1" si="70"/>
        <v>12/04/2030</v>
      </c>
      <c r="AE411" t="str">
        <f t="shared" ca="1" si="71"/>
        <v/>
      </c>
      <c r="AF411" s="6">
        <f t="shared" ca="1" si="72"/>
        <v>11.0453566156863</v>
      </c>
      <c r="AG411">
        <f t="shared" ca="1" si="73"/>
        <v>374.49488232730096</v>
      </c>
      <c r="AH411">
        <f t="shared" ca="1" si="74"/>
        <v>75.942911488773703</v>
      </c>
      <c r="AI411">
        <f t="shared" ca="1" si="75"/>
        <v>226.71485258930699</v>
      </c>
      <c r="AJ411">
        <f t="shared" ca="1" si="76"/>
        <v>0</v>
      </c>
      <c r="AK411">
        <f t="shared" ca="1" si="77"/>
        <v>57.599999999999902</v>
      </c>
      <c r="AL411">
        <f t="shared" ca="1" si="78"/>
        <v>14.2371182492187</v>
      </c>
    </row>
    <row r="412" spans="1:38" hidden="1">
      <c r="A412" t="str">
        <f ca="1">IF(ISNA(A$1), 0, OFFSET(data!$A$1, ROW()-1, A$1-1))</f>
        <v>Oahu</v>
      </c>
      <c r="B412">
        <f ca="1">IF(ISNA(B$1), 0, OFFSET(data!$A$1, ROW()-1, B$1-1))</f>
        <v>2030</v>
      </c>
      <c r="C412" t="str">
        <f ca="1">IF(ISNA(C$1), 0, OFFSET(data!$A$1, ROW()-1, C$1-1))</f>
        <v>2030-12-04-02:00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38.732354253900603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96.332354253900604</v>
      </c>
      <c r="R412">
        <f ca="1">IF(ISNA(R$1), 0, OFFSET(data!$A$1, ROW()-1, R$1-1))</f>
        <v>116.63651882631299</v>
      </c>
      <c r="S412">
        <f ca="1">IF(ISNA(S$1), 0, OFFSET(data!$A$1, ROW()-1, S$1-1))</f>
        <v>117.919704008785</v>
      </c>
      <c r="T412">
        <f ca="1">IF(ISNA(T$1), 0, OFFSET(data!$A$1, ROW()-1, T$1-1))</f>
        <v>472.69796726999999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-141.809390181</v>
      </c>
      <c r="X412">
        <f ca="1">IF(ISNA(X$1), 0, OFFSET(data!$A$1, ROW()-1, X$1-1))</f>
        <v>0</v>
      </c>
      <c r="Y412">
        <f ca="1">IF(ISNA(Y$1), 0, OFFSET(data!$A$1, ROW()-1, Y$1-1))</f>
        <v>0</v>
      </c>
      <c r="Z412">
        <f ca="1">IF(ISNA(Z$1), 0, OFFSET(data!$A$1, ROW()-1, Z$1-1))</f>
        <v>11045.3566156863</v>
      </c>
      <c r="AA412" t="str">
        <f ca="1">IF(ISNA(AA$1), #N/A, OFFSET(data!$A$1, ROW()-1, AA$1-1))</f>
        <v>peak</v>
      </c>
      <c r="AB412">
        <f t="shared" ca="1" si="68"/>
        <v>2030</v>
      </c>
      <c r="AC412">
        <f t="shared" ca="1" si="69"/>
        <v>12</v>
      </c>
      <c r="AD412" t="str">
        <f t="shared" ca="1" si="70"/>
        <v>12/04/2030</v>
      </c>
      <c r="AE412" t="str">
        <f t="shared" ca="1" si="71"/>
        <v/>
      </c>
      <c r="AF412" s="6">
        <f t="shared" ca="1" si="72"/>
        <v>11.0453566156863</v>
      </c>
      <c r="AG412">
        <f t="shared" ca="1" si="73"/>
        <v>330.88857708900002</v>
      </c>
      <c r="AH412">
        <f t="shared" ca="1" si="74"/>
        <v>117.919704008785</v>
      </c>
      <c r="AI412">
        <f t="shared" ca="1" si="75"/>
        <v>116.63651882631299</v>
      </c>
      <c r="AJ412">
        <f t="shared" ca="1" si="76"/>
        <v>0</v>
      </c>
      <c r="AK412">
        <f t="shared" ca="1" si="77"/>
        <v>57.599999999999902</v>
      </c>
      <c r="AL412">
        <f t="shared" ca="1" si="78"/>
        <v>38.732354253900603</v>
      </c>
    </row>
    <row r="413" spans="1:38" hidden="1">
      <c r="A413" t="str">
        <f ca="1">IF(ISNA(A$1), 0, OFFSET(data!$A$1, ROW()-1, A$1-1))</f>
        <v>Oahu</v>
      </c>
      <c r="B413">
        <f ca="1">IF(ISNA(B$1), 0, OFFSET(data!$A$1, ROW()-1, B$1-1))</f>
        <v>2030</v>
      </c>
      <c r="C413" t="str">
        <f ca="1">IF(ISNA(C$1), 0, OFFSET(data!$A$1, ROW()-1, C$1-1))</f>
        <v>2030-12-04-04:00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55.984884555197198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113.58488455519699</v>
      </c>
      <c r="R413">
        <f ca="1">IF(ISNA(R$1), 0, OFFSET(data!$A$1, ROW()-1, R$1-1))</f>
        <v>46.595631065202802</v>
      </c>
      <c r="S413">
        <f ca="1">IF(ISNA(S$1), 0, OFFSET(data!$A$1, ROW()-1, S$1-1))</f>
        <v>250</v>
      </c>
      <c r="T413">
        <f ca="1">IF(ISNA(T$1), 0, OFFSET(data!$A$1, ROW()-1, T$1-1))</f>
        <v>585.97216517200002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-175.79164955159999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11045.3566156863</v>
      </c>
      <c r="AA413" t="str">
        <f ca="1">IF(ISNA(AA$1), #N/A, OFFSET(data!$A$1, ROW()-1, AA$1-1))</f>
        <v>peak</v>
      </c>
      <c r="AB413">
        <f t="shared" ca="1" si="68"/>
        <v>2030</v>
      </c>
      <c r="AC413">
        <f t="shared" ca="1" si="69"/>
        <v>12</v>
      </c>
      <c r="AD413" t="str">
        <f t="shared" ca="1" si="70"/>
        <v>12/04/2030</v>
      </c>
      <c r="AE413" t="str">
        <f t="shared" ca="1" si="71"/>
        <v/>
      </c>
      <c r="AF413" s="6">
        <f t="shared" ca="1" si="72"/>
        <v>11.0453566156863</v>
      </c>
      <c r="AG413">
        <f t="shared" ca="1" si="73"/>
        <v>410.1805156204</v>
      </c>
      <c r="AH413">
        <f t="shared" ca="1" si="74"/>
        <v>250</v>
      </c>
      <c r="AI413">
        <f t="shared" ca="1" si="75"/>
        <v>46.595631065202802</v>
      </c>
      <c r="AJ413">
        <f t="shared" ca="1" si="76"/>
        <v>0</v>
      </c>
      <c r="AK413">
        <f t="shared" ca="1" si="77"/>
        <v>57.599999999999902</v>
      </c>
      <c r="AL413">
        <f t="shared" ca="1" si="78"/>
        <v>55.984884555197198</v>
      </c>
    </row>
    <row r="414" spans="1:38" hidden="1">
      <c r="A414" t="str">
        <f ca="1">IF(ISNA(A$1), 0, OFFSET(data!$A$1, ROW()-1, A$1-1))</f>
        <v>Oahu</v>
      </c>
      <c r="B414">
        <f ca="1">IF(ISNA(B$1), 0, OFFSET(data!$A$1, ROW()-1, B$1-1))</f>
        <v>2030</v>
      </c>
      <c r="C414" t="str">
        <f ca="1">IF(ISNA(C$1), 0, OFFSET(data!$A$1, ROW()-1, C$1-1))</f>
        <v>2030-12-04-06:00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83.954545877880605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141.55454587788</v>
      </c>
      <c r="R414">
        <f ca="1">IF(ISNA(R$1), 0, OFFSET(data!$A$1, ROW()-1, R$1-1))</f>
        <v>178.971472862019</v>
      </c>
      <c r="S414">
        <f ca="1">IF(ISNA(S$1), 0, OFFSET(data!$A$1, ROW()-1, S$1-1))</f>
        <v>335</v>
      </c>
      <c r="T414">
        <f ca="1">IF(ISNA(T$1), 0, OFFSET(data!$A$1, ROW()-1, T$1-1))</f>
        <v>936.46574105699995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-280.93972231709898</v>
      </c>
      <c r="X414">
        <f ca="1">IF(ISNA(X$1), 0, OFFSET(data!$A$1, ROW()-1, X$1-1))</f>
        <v>0</v>
      </c>
      <c r="Y414">
        <f ca="1">IF(ISNA(Y$1), 0, OFFSET(data!$A$1, ROW()-1, Y$1-1))</f>
        <v>0</v>
      </c>
      <c r="Z414">
        <f ca="1">IF(ISNA(Z$1), 0, OFFSET(data!$A$1, ROW()-1, Z$1-1))</f>
        <v>11045.3566156863</v>
      </c>
      <c r="AA414" t="str">
        <f ca="1">IF(ISNA(AA$1), #N/A, OFFSET(data!$A$1, ROW()-1, AA$1-1))</f>
        <v>peak</v>
      </c>
      <c r="AB414">
        <f t="shared" ca="1" si="68"/>
        <v>2030</v>
      </c>
      <c r="AC414">
        <f t="shared" ca="1" si="69"/>
        <v>12</v>
      </c>
      <c r="AD414" t="str">
        <f t="shared" ca="1" si="70"/>
        <v>12/04/2030</v>
      </c>
      <c r="AE414" t="str">
        <f t="shared" ca="1" si="71"/>
        <v/>
      </c>
      <c r="AF414" s="6">
        <f t="shared" ca="1" si="72"/>
        <v>11.0453566156863</v>
      </c>
      <c r="AG414">
        <f t="shared" ca="1" si="73"/>
        <v>655.52601873990102</v>
      </c>
      <c r="AH414">
        <f t="shared" ca="1" si="74"/>
        <v>335</v>
      </c>
      <c r="AI414">
        <f t="shared" ca="1" si="75"/>
        <v>178.971472862019</v>
      </c>
      <c r="AJ414">
        <f t="shared" ca="1" si="76"/>
        <v>0</v>
      </c>
      <c r="AK414">
        <f t="shared" ca="1" si="77"/>
        <v>57.599999999999902</v>
      </c>
      <c r="AL414">
        <f t="shared" ca="1" si="78"/>
        <v>83.954545877880605</v>
      </c>
    </row>
    <row r="415" spans="1:38" hidden="1">
      <c r="A415" t="str">
        <f ca="1">IF(ISNA(A$1), 0, OFFSET(data!$A$1, ROW()-1, A$1-1))</f>
        <v>Oahu</v>
      </c>
      <c r="B415">
        <f ca="1">IF(ISNA(B$1), 0, OFFSET(data!$A$1, ROW()-1, B$1-1))</f>
        <v>2030</v>
      </c>
      <c r="C415" t="str">
        <f ca="1">IF(ISNA(C$1), 0, OFFSET(data!$A$1, ROW()-1, C$1-1))</f>
        <v>2030-12-04-08:00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1674.7535998388901</v>
      </c>
      <c r="L415">
        <f ca="1">IF(ISNA(L$1), 0, OFFSET(data!$A$1, ROW()-1, L$1-1))</f>
        <v>0</v>
      </c>
      <c r="M415">
        <f ca="1">IF(ISNA(M$1), 0, OFFSET(data!$A$1, ROW()-1, M$1-1))</f>
        <v>114.381584778011</v>
      </c>
      <c r="N415">
        <f ca="1">IF(ISNA(N$1), 0, OFFSET(data!$A$1, ROW()-1, N$1-1))</f>
        <v>3.5527136788005001E-15</v>
      </c>
      <c r="O415">
        <f ca="1">IF(ISNA(O$1), 0, OFFSET(data!$A$1, ROW()-1, O$1-1))</f>
        <v>57.599999999999902</v>
      </c>
      <c r="P415">
        <f ca="1">IF(ISNA(P$1), 0, OFFSET(data!$A$1, ROW()-1, P$1-1))</f>
        <v>0</v>
      </c>
      <c r="Q415">
        <f ca="1">IF(ISNA(Q$1), 0, OFFSET(data!$A$1, ROW()-1, Q$1-1))</f>
        <v>1789.1351846169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1049.73993896</v>
      </c>
      <c r="U415">
        <f ca="1">IF(ISNA(U$1), 0, OFFSET(data!$A$1, ROW()-1, U$1-1))</f>
        <v>0</v>
      </c>
      <c r="V415">
        <f ca="1">IF(ISNA(V$1), 0, OFFSET(data!$A$1, ROW()-1, V$1-1))</f>
        <v>404.83335561331899</v>
      </c>
      <c r="W415">
        <f ca="1">IF(ISNA(W$1), 0, OFFSET(data!$A$1, ROW()-1, W$1-1))</f>
        <v>-15.4381099564102</v>
      </c>
      <c r="X415">
        <f ca="1">IF(ISNA(X$1), 0, OFFSET(data!$A$1, ROW()-1, X$1-1))</f>
        <v>0</v>
      </c>
      <c r="Y415">
        <f ca="1">IF(ISNA(Y$1), 0, OFFSET(data!$A$1, ROW()-1, Y$1-1))</f>
        <v>350</v>
      </c>
      <c r="Z415">
        <f ca="1">IF(ISNA(Z$1), 0, OFFSET(data!$A$1, ROW()-1, Z$1-1))</f>
        <v>-505.72797618349398</v>
      </c>
      <c r="AA415" t="str">
        <f ca="1">IF(ISNA(AA$1), #N/A, OFFSET(data!$A$1, ROW()-1, AA$1-1))</f>
        <v>peak</v>
      </c>
      <c r="AB415">
        <f t="shared" ca="1" si="68"/>
        <v>2030</v>
      </c>
      <c r="AC415">
        <f t="shared" ca="1" si="69"/>
        <v>12</v>
      </c>
      <c r="AD415" t="str">
        <f t="shared" ca="1" si="70"/>
        <v>12/04/2030</v>
      </c>
      <c r="AE415" t="str">
        <f t="shared" ca="1" si="71"/>
        <v/>
      </c>
      <c r="AF415" s="6">
        <f t="shared" ca="1" si="72"/>
        <v>-0.50572797618349397</v>
      </c>
      <c r="AG415">
        <f t="shared" ca="1" si="73"/>
        <v>1034.3018290035898</v>
      </c>
      <c r="AH415">
        <f t="shared" ca="1" si="74"/>
        <v>350</v>
      </c>
      <c r="AI415">
        <f t="shared" ca="1" si="75"/>
        <v>404.83335561331899</v>
      </c>
      <c r="AJ415">
        <f t="shared" ca="1" si="76"/>
        <v>1674.7535998388901</v>
      </c>
      <c r="AK415">
        <f t="shared" ca="1" si="77"/>
        <v>57.599999999999902</v>
      </c>
      <c r="AL415">
        <f t="shared" ca="1" si="78"/>
        <v>114.381584778011</v>
      </c>
    </row>
    <row r="416" spans="1:38" hidden="1">
      <c r="A416" t="str">
        <f ca="1">IF(ISNA(A$1), 0, OFFSET(data!$A$1, ROW()-1, A$1-1))</f>
        <v>Oahu</v>
      </c>
      <c r="B416">
        <f ca="1">IF(ISNA(B$1), 0, OFFSET(data!$A$1, ROW()-1, B$1-1))</f>
        <v>2030</v>
      </c>
      <c r="C416" t="str">
        <f ca="1">IF(ISNA(C$1), 0, OFFSET(data!$A$1, ROW()-1, C$1-1))</f>
        <v>2030-12-04-10:00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2053.6205192103698</v>
      </c>
      <c r="L416">
        <f ca="1">IF(ISNA(L$1), 0, OFFSET(data!$A$1, ROW()-1, L$1-1))</f>
        <v>0</v>
      </c>
      <c r="M416">
        <f ca="1">IF(ISNA(M$1), 0, OFFSET(data!$A$1, ROW()-1, M$1-1))</f>
        <v>135.52143887093601</v>
      </c>
      <c r="N416">
        <f ca="1">IF(ISNA(N$1), 0, OFFSET(data!$A$1, ROW()-1, N$1-1))</f>
        <v>0</v>
      </c>
      <c r="O416">
        <f ca="1">IF(ISNA(O$1), 0, OFFSET(data!$A$1, ROW()-1, O$1-1))</f>
        <v>57.599999999999902</v>
      </c>
      <c r="P416">
        <f ca="1">IF(ISNA(P$1), 0, OFFSET(data!$A$1, ROW()-1, P$1-1))</f>
        <v>0</v>
      </c>
      <c r="Q416">
        <f ca="1">IF(ISNA(Q$1), 0, OFFSET(data!$A$1, ROW()-1, Q$1-1))</f>
        <v>2189.1419580812999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1121.51108473</v>
      </c>
      <c r="U416">
        <f ca="1">IF(ISNA(U$1), 0, OFFSET(data!$A$1, ROW()-1, U$1-1))</f>
        <v>0</v>
      </c>
      <c r="V416">
        <f ca="1">IF(ISNA(V$1), 0, OFFSET(data!$A$1, ROW()-1, V$1-1))</f>
        <v>404.83335561331899</v>
      </c>
      <c r="W416">
        <f ca="1">IF(ISNA(W$1), 0, OFFSET(data!$A$1, ROW()-1, W$1-1))</f>
        <v>312.79751773798802</v>
      </c>
      <c r="X416">
        <f ca="1">IF(ISNA(X$1), 0, OFFSET(data!$A$1, ROW()-1, X$1-1))</f>
        <v>0</v>
      </c>
      <c r="Y416">
        <f ca="1">IF(ISNA(Y$1), 0, OFFSET(data!$A$1, ROW()-1, Y$1-1))</f>
        <v>350</v>
      </c>
      <c r="Z416">
        <f ca="1">IF(ISNA(Z$1), 0, OFFSET(data!$A$1, ROW()-1, Z$1-1))</f>
        <v>-505.72797618349398</v>
      </c>
      <c r="AA416" t="str">
        <f ca="1">IF(ISNA(AA$1), #N/A, OFFSET(data!$A$1, ROW()-1, AA$1-1))</f>
        <v>peak</v>
      </c>
      <c r="AB416">
        <f t="shared" ca="1" si="68"/>
        <v>2030</v>
      </c>
      <c r="AC416">
        <f t="shared" ca="1" si="69"/>
        <v>12</v>
      </c>
      <c r="AD416" t="str">
        <f t="shared" ca="1" si="70"/>
        <v>12/04/2030</v>
      </c>
      <c r="AE416" t="str">
        <f t="shared" ca="1" si="71"/>
        <v/>
      </c>
      <c r="AF416" s="6">
        <f t="shared" ca="1" si="72"/>
        <v>-0.50572797618349397</v>
      </c>
      <c r="AG416">
        <f t="shared" ca="1" si="73"/>
        <v>1434.3086024679881</v>
      </c>
      <c r="AH416">
        <f t="shared" ca="1" si="74"/>
        <v>350</v>
      </c>
      <c r="AI416">
        <f t="shared" ca="1" si="75"/>
        <v>404.83335561331899</v>
      </c>
      <c r="AJ416">
        <f t="shared" ca="1" si="76"/>
        <v>2053.6205192103698</v>
      </c>
      <c r="AK416">
        <f t="shared" ca="1" si="77"/>
        <v>57.599999999999902</v>
      </c>
      <c r="AL416">
        <f t="shared" ca="1" si="78"/>
        <v>135.52143887093601</v>
      </c>
    </row>
    <row r="417" spans="1:38" hidden="1">
      <c r="A417" t="str">
        <f ca="1">IF(ISNA(A$1), 0, OFFSET(data!$A$1, ROW()-1, A$1-1))</f>
        <v>Oahu</v>
      </c>
      <c r="B417">
        <f ca="1">IF(ISNA(B$1), 0, OFFSET(data!$A$1, ROW()-1, B$1-1))</f>
        <v>2030</v>
      </c>
      <c r="C417" t="str">
        <f ca="1">IF(ISNA(C$1), 0, OFFSET(data!$A$1, ROW()-1, C$1-1))</f>
        <v>2030-12-04-12:00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2037.72676772197</v>
      </c>
      <c r="L417">
        <f ca="1">IF(ISNA(L$1), 0, OFFSET(data!$A$1, ROW()-1, L$1-1))</f>
        <v>0</v>
      </c>
      <c r="M417">
        <f ca="1">IF(ISNA(M$1), 0, OFFSET(data!$A$1, ROW()-1, M$1-1))</f>
        <v>159.112301256801</v>
      </c>
      <c r="N417">
        <f ca="1">IF(ISNA(N$1), 0, OFFSET(data!$A$1, ROW()-1, N$1-1))</f>
        <v>0</v>
      </c>
      <c r="O417">
        <f ca="1">IF(ISNA(O$1), 0, OFFSET(data!$A$1, ROW()-1, O$1-1))</f>
        <v>57.599999999999902</v>
      </c>
      <c r="P417">
        <f ca="1">IF(ISNA(P$1), 0, OFFSET(data!$A$1, ROW()-1, P$1-1))</f>
        <v>0</v>
      </c>
      <c r="Q417">
        <f ca="1">IF(ISNA(Q$1), 0, OFFSET(data!$A$1, ROW()-1, Q$1-1))</f>
        <v>2196.8390689787698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1130.5714082699999</v>
      </c>
      <c r="U417">
        <f ca="1">IF(ISNA(U$1), 0, OFFSET(data!$A$1, ROW()-1, U$1-1))</f>
        <v>0</v>
      </c>
      <c r="V417">
        <f ca="1">IF(ISNA(V$1), 0, OFFSET(data!$A$1, ROW()-1, V$1-1))</f>
        <v>404.83335561331899</v>
      </c>
      <c r="W417">
        <f ca="1">IF(ISNA(W$1), 0, OFFSET(data!$A$1, ROW()-1, W$1-1))</f>
        <v>311.43430509545902</v>
      </c>
      <c r="X417">
        <f ca="1">IF(ISNA(X$1), 0, OFFSET(data!$A$1, ROW()-1, X$1-1))</f>
        <v>0</v>
      </c>
      <c r="Y417">
        <f ca="1">IF(ISNA(Y$1), 0, OFFSET(data!$A$1, ROW()-1, Y$1-1))</f>
        <v>350</v>
      </c>
      <c r="Z417">
        <f ca="1">IF(ISNA(Z$1), 0, OFFSET(data!$A$1, ROW()-1, Z$1-1))</f>
        <v>-505.72797618349398</v>
      </c>
      <c r="AA417" t="str">
        <f ca="1">IF(ISNA(AA$1), #N/A, OFFSET(data!$A$1, ROW()-1, AA$1-1))</f>
        <v>peak</v>
      </c>
      <c r="AB417">
        <f t="shared" ca="1" si="68"/>
        <v>2030</v>
      </c>
      <c r="AC417">
        <f t="shared" ca="1" si="69"/>
        <v>12</v>
      </c>
      <c r="AD417" t="str">
        <f t="shared" ca="1" si="70"/>
        <v>12/04/2030</v>
      </c>
      <c r="AE417" t="str">
        <f t="shared" ca="1" si="71"/>
        <v>12/04/2030</v>
      </c>
      <c r="AF417" s="6">
        <f t="shared" ca="1" si="72"/>
        <v>-0.50572797618349397</v>
      </c>
      <c r="AG417">
        <f t="shared" ca="1" si="73"/>
        <v>1442.0057133654589</v>
      </c>
      <c r="AH417">
        <f t="shared" ca="1" si="74"/>
        <v>350</v>
      </c>
      <c r="AI417">
        <f t="shared" ca="1" si="75"/>
        <v>404.83335561331899</v>
      </c>
      <c r="AJ417">
        <f t="shared" ca="1" si="76"/>
        <v>2037.72676772197</v>
      </c>
      <c r="AK417">
        <f t="shared" ca="1" si="77"/>
        <v>57.599999999999902</v>
      </c>
      <c r="AL417">
        <f t="shared" ca="1" si="78"/>
        <v>159.112301256801</v>
      </c>
    </row>
    <row r="418" spans="1:38" hidden="1">
      <c r="A418" t="str">
        <f ca="1">IF(ISNA(A$1), 0, OFFSET(data!$A$1, ROW()-1, A$1-1))</f>
        <v>Oahu</v>
      </c>
      <c r="B418">
        <f ca="1">IF(ISNA(B$1), 0, OFFSET(data!$A$1, ROW()-1, B$1-1))</f>
        <v>2030</v>
      </c>
      <c r="C418" t="str">
        <f ca="1">IF(ISNA(C$1), 0, OFFSET(data!$A$1, ROW()-1, C$1-1))</f>
        <v>2030-12-04-14:00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2399.12351713116</v>
      </c>
      <c r="L418">
        <f ca="1">IF(ISNA(L$1), 0, OFFSET(data!$A$1, ROW()-1, L$1-1))</f>
        <v>0</v>
      </c>
      <c r="M418">
        <f ca="1">IF(ISNA(M$1), 0, OFFSET(data!$A$1, ROW()-1, M$1-1))</f>
        <v>167.27724225742</v>
      </c>
      <c r="N418">
        <f ca="1">IF(ISNA(N$1), 0, OFFSET(data!$A$1, ROW()-1, N$1-1))</f>
        <v>-7.1054273576010003E-15</v>
      </c>
      <c r="O418">
        <f ca="1">IF(ISNA(O$1), 0, OFFSET(data!$A$1, ROW()-1, O$1-1))</f>
        <v>57.599999999999902</v>
      </c>
      <c r="P418">
        <f ca="1">IF(ISNA(P$1), 0, OFFSET(data!$A$1, ROW()-1, P$1-1))</f>
        <v>0</v>
      </c>
      <c r="Q418">
        <f ca="1">IF(ISNA(Q$1), 0, OFFSET(data!$A$1, ROW()-1, Q$1-1))</f>
        <v>2566.4007593885799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1114.0078404599999</v>
      </c>
      <c r="U418">
        <f ca="1">IF(ISNA(U$1), 0, OFFSET(data!$A$1, ROW()-1, U$1-1))</f>
        <v>0</v>
      </c>
      <c r="V418">
        <f ca="1">IF(ISNA(V$1), 0, OFFSET(data!$A$1, ROW()-1, V$1-1))</f>
        <v>404.83335561331899</v>
      </c>
      <c r="W418">
        <f ca="1">IF(ISNA(W$1), 0, OFFSET(data!$A$1, ROW()-1, W$1-1))</f>
        <v>697.55956331526602</v>
      </c>
      <c r="X418">
        <f ca="1">IF(ISNA(X$1), 0, OFFSET(data!$A$1, ROW()-1, X$1-1))</f>
        <v>0</v>
      </c>
      <c r="Y418">
        <f ca="1">IF(ISNA(Y$1), 0, OFFSET(data!$A$1, ROW()-1, Y$1-1))</f>
        <v>350</v>
      </c>
      <c r="Z418">
        <f ca="1">IF(ISNA(Z$1), 0, OFFSET(data!$A$1, ROW()-1, Z$1-1))</f>
        <v>-505.72797618349398</v>
      </c>
      <c r="AA418" t="str">
        <f ca="1">IF(ISNA(AA$1), #N/A, OFFSET(data!$A$1, ROW()-1, AA$1-1))</f>
        <v>peak</v>
      </c>
      <c r="AB418">
        <f t="shared" ca="1" si="68"/>
        <v>2030</v>
      </c>
      <c r="AC418">
        <f t="shared" ca="1" si="69"/>
        <v>12</v>
      </c>
      <c r="AD418" t="str">
        <f t="shared" ca="1" si="70"/>
        <v>12/04/2030</v>
      </c>
      <c r="AE418" t="str">
        <f t="shared" ca="1" si="71"/>
        <v/>
      </c>
      <c r="AF418" s="6">
        <f t="shared" ca="1" si="72"/>
        <v>-0.50572797618349397</v>
      </c>
      <c r="AG418">
        <f t="shared" ca="1" si="73"/>
        <v>1811.567403775266</v>
      </c>
      <c r="AH418">
        <f t="shared" ca="1" si="74"/>
        <v>350</v>
      </c>
      <c r="AI418">
        <f t="shared" ca="1" si="75"/>
        <v>404.83335561331899</v>
      </c>
      <c r="AJ418">
        <f t="shared" ca="1" si="76"/>
        <v>2399.12351713116</v>
      </c>
      <c r="AK418">
        <f t="shared" ca="1" si="77"/>
        <v>57.599999999999902</v>
      </c>
      <c r="AL418">
        <f t="shared" ca="1" si="78"/>
        <v>167.27724225742</v>
      </c>
    </row>
    <row r="419" spans="1:38" hidden="1">
      <c r="A419" t="str">
        <f ca="1">IF(ISNA(A$1), 0, OFFSET(data!$A$1, ROW()-1, A$1-1))</f>
        <v>Oahu</v>
      </c>
      <c r="B419">
        <f ca="1">IF(ISNA(B$1), 0, OFFSET(data!$A$1, ROW()-1, B$1-1))</f>
        <v>2030</v>
      </c>
      <c r="C419" t="str">
        <f ca="1">IF(ISNA(C$1), 0, OFFSET(data!$A$1, ROW()-1, C$1-1))</f>
        <v>2030-12-04-16:00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2061.99726398349</v>
      </c>
      <c r="L419">
        <f ca="1">IF(ISNA(L$1), 0, OFFSET(data!$A$1, ROW()-1, L$1-1))</f>
        <v>43.502350856619898</v>
      </c>
      <c r="M419">
        <f ca="1">IF(ISNA(M$1), 0, OFFSET(data!$A$1, ROW()-1, M$1-1))</f>
        <v>149.68819593129601</v>
      </c>
      <c r="N419">
        <f ca="1">IF(ISNA(N$1), 0, OFFSET(data!$A$1, ROW()-1, N$1-1))</f>
        <v>7.1054273576010003E-15</v>
      </c>
      <c r="O419">
        <f ca="1">IF(ISNA(O$1), 0, OFFSET(data!$A$1, ROW()-1, O$1-1))</f>
        <v>14.09764914338</v>
      </c>
      <c r="P419">
        <f ca="1">IF(ISNA(P$1), 0, OFFSET(data!$A$1, ROW()-1, P$1-1))</f>
        <v>0</v>
      </c>
      <c r="Q419">
        <f ca="1">IF(ISNA(Q$1), 0, OFFSET(data!$A$1, ROW()-1, Q$1-1))</f>
        <v>2255.1878107714101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1121.7527654600001</v>
      </c>
      <c r="U419">
        <f ca="1">IF(ISNA(U$1), 0, OFFSET(data!$A$1, ROW()-1, U$1-1))</f>
        <v>0</v>
      </c>
      <c r="V419">
        <f ca="1">IF(ISNA(V$1), 0, OFFSET(data!$A$1, ROW()-1, V$1-1))</f>
        <v>404.83335561331899</v>
      </c>
      <c r="W419">
        <f ca="1">IF(ISNA(W$1), 0, OFFSET(data!$A$1, ROW()-1, W$1-1))</f>
        <v>378.60168969809399</v>
      </c>
      <c r="X419">
        <f ca="1">IF(ISNA(X$1), 0, OFFSET(data!$A$1, ROW()-1, X$1-1))</f>
        <v>0</v>
      </c>
      <c r="Y419">
        <f ca="1">IF(ISNA(Y$1), 0, OFFSET(data!$A$1, ROW()-1, Y$1-1))</f>
        <v>350</v>
      </c>
      <c r="Z419">
        <f ca="1">IF(ISNA(Z$1), 0, OFFSET(data!$A$1, ROW()-1, Z$1-1))</f>
        <v>-505.72797618349398</v>
      </c>
      <c r="AA419" t="str">
        <f ca="1">IF(ISNA(AA$1), #N/A, OFFSET(data!$A$1, ROW()-1, AA$1-1))</f>
        <v>peak</v>
      </c>
      <c r="AB419">
        <f t="shared" ca="1" si="68"/>
        <v>2030</v>
      </c>
      <c r="AC419">
        <f t="shared" ca="1" si="69"/>
        <v>12</v>
      </c>
      <c r="AD419" t="str">
        <f t="shared" ca="1" si="70"/>
        <v>12/04/2030</v>
      </c>
      <c r="AE419" t="str">
        <f t="shared" ca="1" si="71"/>
        <v/>
      </c>
      <c r="AF419" s="6">
        <f t="shared" ca="1" si="72"/>
        <v>-0.50572797618349397</v>
      </c>
      <c r="AG419">
        <f t="shared" ca="1" si="73"/>
        <v>1500.354455158094</v>
      </c>
      <c r="AH419">
        <f t="shared" ca="1" si="74"/>
        <v>350</v>
      </c>
      <c r="AI419">
        <f t="shared" ca="1" si="75"/>
        <v>404.83335561331899</v>
      </c>
      <c r="AJ419">
        <f t="shared" ca="1" si="76"/>
        <v>2061.99726398349</v>
      </c>
      <c r="AK419">
        <f t="shared" ca="1" si="77"/>
        <v>57.599999999999895</v>
      </c>
      <c r="AL419">
        <f t="shared" ca="1" si="78"/>
        <v>149.68819593129601</v>
      </c>
    </row>
    <row r="420" spans="1:38" hidden="1">
      <c r="A420" t="str">
        <f ca="1">IF(ISNA(A$1), 0, OFFSET(data!$A$1, ROW()-1, A$1-1))</f>
        <v>Oahu</v>
      </c>
      <c r="B420">
        <f ca="1">IF(ISNA(B$1), 0, OFFSET(data!$A$1, ROW()-1, B$1-1))</f>
        <v>2030</v>
      </c>
      <c r="C420" t="str">
        <f ca="1">IF(ISNA(C$1), 0, OFFSET(data!$A$1, ROW()-1, C$1-1))</f>
        <v>2030-12-04-18:00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140.059296535454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197.65929653545399</v>
      </c>
      <c r="R420">
        <f ca="1">IF(ISNA(R$1), 0, OFFSET(data!$A$1, ROW()-1, R$1-1))</f>
        <v>404.83335561331899</v>
      </c>
      <c r="S420">
        <f ca="1">IF(ISNA(S$1), 0, OFFSET(data!$A$1, ROW()-1, S$1-1))</f>
        <v>259.05708851122603</v>
      </c>
      <c r="T420">
        <f ca="1">IF(ISNA(T$1), 0, OFFSET(data!$A$1, ROW()-1, T$1-1))</f>
        <v>1230.7853438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-369.235603139999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11045.3566156863</v>
      </c>
      <c r="AA420" t="str">
        <f ca="1">IF(ISNA(AA$1), #N/A, OFFSET(data!$A$1, ROW()-1, AA$1-1))</f>
        <v>peak</v>
      </c>
      <c r="AB420">
        <f t="shared" ca="1" si="68"/>
        <v>2030</v>
      </c>
      <c r="AC420">
        <f t="shared" ca="1" si="69"/>
        <v>12</v>
      </c>
      <c r="AD420" t="str">
        <f t="shared" ca="1" si="70"/>
        <v>12/04/2030</v>
      </c>
      <c r="AE420" t="str">
        <f t="shared" ca="1" si="71"/>
        <v/>
      </c>
      <c r="AF420" s="6">
        <f t="shared" ca="1" si="72"/>
        <v>11.0453566156863</v>
      </c>
      <c r="AG420">
        <f t="shared" ca="1" si="73"/>
        <v>861.54974066000091</v>
      </c>
      <c r="AH420">
        <f t="shared" ca="1" si="74"/>
        <v>259.05708851122603</v>
      </c>
      <c r="AI420">
        <f t="shared" ca="1" si="75"/>
        <v>404.83335561331899</v>
      </c>
      <c r="AJ420">
        <f t="shared" ca="1" si="76"/>
        <v>0</v>
      </c>
      <c r="AK420">
        <f t="shared" ca="1" si="77"/>
        <v>57.599999999999902</v>
      </c>
      <c r="AL420">
        <f t="shared" ca="1" si="78"/>
        <v>140.059296535454</v>
      </c>
    </row>
    <row r="421" spans="1:38" hidden="1">
      <c r="A421" t="str">
        <f ca="1">IF(ISNA(A$1), 0, OFFSET(data!$A$1, ROW()-1, A$1-1))</f>
        <v>Oahu</v>
      </c>
      <c r="B421">
        <f ca="1">IF(ISNA(B$1), 0, OFFSET(data!$A$1, ROW()-1, B$1-1))</f>
        <v>2030</v>
      </c>
      <c r="C421" t="str">
        <f ca="1">IF(ISNA(C$1), 0, OFFSET(data!$A$1, ROW()-1, C$1-1))</f>
        <v>2030-12-04-20:00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104.24843676446601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161.84843676446599</v>
      </c>
      <c r="R421">
        <f ca="1">IF(ISNA(R$1), 0, OFFSET(data!$A$1, ROW()-1, R$1-1))</f>
        <v>404.83335561331899</v>
      </c>
      <c r="S421">
        <f ca="1">IF(ISNA(S$1), 0, OFFSET(data!$A$1, ROW()-1, S$1-1))</f>
        <v>179.580295991214</v>
      </c>
      <c r="T421">
        <f ca="1">IF(ISNA(T$1), 0, OFFSET(data!$A$1, ROW()-1, T$1-1))</f>
        <v>1066.0886976700001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-319.82660930100002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11045.3566156863</v>
      </c>
      <c r="AA421" t="str">
        <f ca="1">IF(ISNA(AA$1), #N/A, OFFSET(data!$A$1, ROW()-1, AA$1-1))</f>
        <v>peak</v>
      </c>
      <c r="AB421">
        <f t="shared" ca="1" si="68"/>
        <v>2030</v>
      </c>
      <c r="AC421">
        <f t="shared" ca="1" si="69"/>
        <v>12</v>
      </c>
      <c r="AD421" t="str">
        <f t="shared" ca="1" si="70"/>
        <v>12/04/2030</v>
      </c>
      <c r="AE421" t="str">
        <f t="shared" ca="1" si="71"/>
        <v/>
      </c>
      <c r="AF421" s="6">
        <f t="shared" ca="1" si="72"/>
        <v>11.0453566156863</v>
      </c>
      <c r="AG421">
        <f t="shared" ca="1" si="73"/>
        <v>746.26208836900014</v>
      </c>
      <c r="AH421">
        <f t="shared" ca="1" si="74"/>
        <v>179.580295991214</v>
      </c>
      <c r="AI421">
        <f t="shared" ca="1" si="75"/>
        <v>404.83335561331899</v>
      </c>
      <c r="AJ421">
        <f t="shared" ca="1" si="76"/>
        <v>0</v>
      </c>
      <c r="AK421">
        <f t="shared" ca="1" si="77"/>
        <v>57.599999999999902</v>
      </c>
      <c r="AL421">
        <f t="shared" ca="1" si="78"/>
        <v>104.24843676446601</v>
      </c>
    </row>
    <row r="422" spans="1:38" hidden="1">
      <c r="A422" t="str">
        <f ca="1">IF(ISNA(A$1), 0, OFFSET(data!$A$1, ROW()-1, A$1-1))</f>
        <v>Oahu</v>
      </c>
      <c r="B422">
        <f ca="1">IF(ISNA(B$1), 0, OFFSET(data!$A$1, ROW()-1, B$1-1))</f>
        <v>2030</v>
      </c>
      <c r="C422" t="str">
        <f ca="1">IF(ISNA(C$1), 0, OFFSET(data!$A$1, ROW()-1, C$1-1))</f>
        <v>2030-12-04-22:00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105.519867291534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163.11986729153401</v>
      </c>
      <c r="R422">
        <f ca="1">IF(ISNA(R$1), 0, OFFSET(data!$A$1, ROW()-1, R$1-1))</f>
        <v>139.53989698046499</v>
      </c>
      <c r="S422">
        <f ca="1">IF(ISNA(S$1), 0, OFFSET(data!$A$1, ROW()-1, S$1-1))</f>
        <v>250</v>
      </c>
      <c r="T422">
        <f ca="1">IF(ISNA(T$1), 0, OFFSET(data!$A$1, ROW()-1, T$1-1))</f>
        <v>789.51394895999999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-236.85418468799901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11045.3566156863</v>
      </c>
      <c r="AA422" t="str">
        <f ca="1">IF(ISNA(AA$1), #N/A, OFFSET(data!$A$1, ROW()-1, AA$1-1))</f>
        <v>peak</v>
      </c>
      <c r="AB422">
        <f t="shared" ca="1" si="68"/>
        <v>2030</v>
      </c>
      <c r="AC422">
        <f t="shared" ca="1" si="69"/>
        <v>12</v>
      </c>
      <c r="AD422" t="str">
        <f t="shared" ca="1" si="70"/>
        <v>12/04/2030</v>
      </c>
      <c r="AE422" t="str">
        <f t="shared" ca="1" si="71"/>
        <v/>
      </c>
      <c r="AF422" s="6">
        <f t="shared" ca="1" si="72"/>
        <v>11.0453566156863</v>
      </c>
      <c r="AG422">
        <f t="shared" ca="1" si="73"/>
        <v>552.65976427200098</v>
      </c>
      <c r="AH422">
        <f t="shared" ca="1" si="74"/>
        <v>250</v>
      </c>
      <c r="AI422">
        <f t="shared" ca="1" si="75"/>
        <v>139.53989698046499</v>
      </c>
      <c r="AJ422">
        <f t="shared" ca="1" si="76"/>
        <v>0</v>
      </c>
      <c r="AK422">
        <f t="shared" ca="1" si="77"/>
        <v>57.599999999999902</v>
      </c>
      <c r="AL422">
        <f t="shared" ca="1" si="78"/>
        <v>105.519867291534</v>
      </c>
    </row>
    <row r="423" spans="1:38" hidden="1">
      <c r="A423" t="str">
        <f ca="1">IF(ISNA(A$1), 0, OFFSET(data!$A$1, ROW()-1, A$1-1))</f>
        <v>Oahu</v>
      </c>
      <c r="B423">
        <f ca="1">IF(ISNA(B$1), 0, OFFSET(data!$A$1, ROW()-1, B$1-1))</f>
        <v>2030</v>
      </c>
      <c r="C423" t="str">
        <f ca="1">IF(ISNA(C$1), 0, OFFSET(data!$A$1, ROW()-1, C$1-1))</f>
        <v>2030-12-09-00:00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19.904206881511801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49.015111421567802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126.519318303079</v>
      </c>
      <c r="R423">
        <f ca="1">IF(ISNA(R$1), 0, OFFSET(data!$A$1, ROW()-1, R$1-1))</f>
        <v>0</v>
      </c>
      <c r="S423">
        <f ca="1">IF(ISNA(S$1), 0, OFFSET(data!$A$1, ROW()-1, S$1-1))</f>
        <v>201.88565710661999</v>
      </c>
      <c r="T423">
        <f ca="1">IF(ISNA(T$1), 0, OFFSET(data!$A$1, ROW()-1, T$1-1))</f>
        <v>469.14996487100001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-140.74498946130001</v>
      </c>
      <c r="X423">
        <f ca="1">IF(ISNA(X$1), 0, OFFSET(data!$A$1, ROW()-1, X$1-1))</f>
        <v>0</v>
      </c>
      <c r="Y423">
        <f ca="1">IF(ISNA(Y$1), 0, OFFSET(data!$A$1, ROW()-1, Y$1-1))</f>
        <v>0</v>
      </c>
      <c r="Z423">
        <f ca="1">IF(ISNA(Z$1), 0, OFFSET(data!$A$1, ROW()-1, Z$1-1))</f>
        <v>992.73690374747002</v>
      </c>
      <c r="AA423" t="str">
        <f ca="1">IF(ISNA(AA$1), #N/A, OFFSET(data!$A$1, ROW()-1, AA$1-1))</f>
        <v>typical</v>
      </c>
      <c r="AB423">
        <f t="shared" ca="1" si="68"/>
        <v>2030</v>
      </c>
      <c r="AC423">
        <f t="shared" ca="1" si="69"/>
        <v>12</v>
      </c>
      <c r="AD423" t="str">
        <f t="shared" ca="1" si="70"/>
        <v>12/09/2030</v>
      </c>
      <c r="AE423" t="str">
        <f t="shared" ca="1" si="71"/>
        <v/>
      </c>
      <c r="AF423" s="6">
        <f t="shared" ca="1" si="72"/>
        <v>0.99273690374747003</v>
      </c>
      <c r="AG423">
        <f t="shared" ca="1" si="73"/>
        <v>328.4049754097</v>
      </c>
      <c r="AH423">
        <f t="shared" ca="1" si="74"/>
        <v>201.88565710661999</v>
      </c>
      <c r="AI423">
        <f t="shared" ca="1" si="75"/>
        <v>0</v>
      </c>
      <c r="AJ423">
        <f t="shared" ca="1" si="76"/>
        <v>0</v>
      </c>
      <c r="AK423">
        <f t="shared" ca="1" si="77"/>
        <v>57.599999999999902</v>
      </c>
      <c r="AL423">
        <f t="shared" ca="1" si="78"/>
        <v>49.015111421567802</v>
      </c>
    </row>
    <row r="424" spans="1:38" hidden="1">
      <c r="A424" t="str">
        <f ca="1">IF(ISNA(A$1), 0, OFFSET(data!$A$1, ROW()-1, A$1-1))</f>
        <v>Oahu</v>
      </c>
      <c r="B424">
        <f ca="1">IF(ISNA(B$1), 0, OFFSET(data!$A$1, ROW()-1, B$1-1))</f>
        <v>2030</v>
      </c>
      <c r="C424" t="str">
        <f ca="1">IF(ISNA(C$1), 0, OFFSET(data!$A$1, ROW()-1, C$1-1))</f>
        <v>2030-12-09-02:00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178.2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28.715505182703499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264.51550518270301</v>
      </c>
      <c r="R424">
        <f ca="1">IF(ISNA(R$1), 0, OFFSET(data!$A$1, ROW()-1, R$1-1))</f>
        <v>0</v>
      </c>
      <c r="S424">
        <f ca="1">IF(ISNA(S$1), 0, OFFSET(data!$A$1, ROW()-1, S$1-1))</f>
        <v>22.4260582460964</v>
      </c>
      <c r="T424">
        <f ca="1">IF(ISNA(T$1), 0, OFFSET(data!$A$1, ROW()-1, T$1-1))</f>
        <v>409.91651918399998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-122.97495575519901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992.73690374747002</v>
      </c>
      <c r="AA424" t="str">
        <f ca="1">IF(ISNA(AA$1), #N/A, OFFSET(data!$A$1, ROW()-1, AA$1-1))</f>
        <v>typical</v>
      </c>
      <c r="AB424">
        <f t="shared" ca="1" si="68"/>
        <v>2030</v>
      </c>
      <c r="AC424">
        <f t="shared" ca="1" si="69"/>
        <v>12</v>
      </c>
      <c r="AD424" t="str">
        <f t="shared" ca="1" si="70"/>
        <v>12/09/2030</v>
      </c>
      <c r="AE424" t="str">
        <f t="shared" ca="1" si="71"/>
        <v/>
      </c>
      <c r="AF424" s="6">
        <f t="shared" ca="1" si="72"/>
        <v>0.99273690374747003</v>
      </c>
      <c r="AG424">
        <f t="shared" ca="1" si="73"/>
        <v>286.94156342880098</v>
      </c>
      <c r="AH424">
        <f t="shared" ca="1" si="74"/>
        <v>22.4260582460964</v>
      </c>
      <c r="AI424">
        <f t="shared" ca="1" si="75"/>
        <v>0</v>
      </c>
      <c r="AJ424">
        <f t="shared" ca="1" si="76"/>
        <v>0</v>
      </c>
      <c r="AK424">
        <f t="shared" ca="1" si="77"/>
        <v>57.599999999999902</v>
      </c>
      <c r="AL424">
        <f t="shared" ca="1" si="78"/>
        <v>28.715505182703499</v>
      </c>
    </row>
    <row r="425" spans="1:38" hidden="1">
      <c r="A425" t="str">
        <f ca="1">IF(ISNA(A$1), 0, OFFSET(data!$A$1, ROW()-1, A$1-1))</f>
        <v>Oahu</v>
      </c>
      <c r="B425">
        <f ca="1">IF(ISNA(B$1), 0, OFFSET(data!$A$1, ROW()-1, B$1-1))</f>
        <v>2030</v>
      </c>
      <c r="C425" t="str">
        <f ca="1">IF(ISNA(C$1), 0, OFFSET(data!$A$1, ROW()-1, C$1-1))</f>
        <v>2030-12-09-04:00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178.2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78.586151038464706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314.38615103846399</v>
      </c>
      <c r="R425">
        <f ca="1">IF(ISNA(R$1), 0, OFFSET(data!$A$1, ROW()-1, R$1-1))</f>
        <v>0</v>
      </c>
      <c r="S425">
        <f ca="1">IF(ISNA(S$1), 0, OFFSET(data!$A$1, ROW()-1, S$1-1))</f>
        <v>39.082178403735199</v>
      </c>
      <c r="T425">
        <f ca="1">IF(ISNA(T$1), 0, OFFSET(data!$A$1, ROW()-1, T$1-1))</f>
        <v>504.95475634600001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-151.48642690380001</v>
      </c>
      <c r="X425">
        <f ca="1">IF(ISNA(X$1), 0, OFFSET(data!$A$1, ROW()-1, X$1-1))</f>
        <v>0</v>
      </c>
      <c r="Y425">
        <f ca="1">IF(ISNA(Y$1), 0, OFFSET(data!$A$1, ROW()-1, Y$1-1))</f>
        <v>0</v>
      </c>
      <c r="Z425">
        <f ca="1">IF(ISNA(Z$1), 0, OFFSET(data!$A$1, ROW()-1, Z$1-1))</f>
        <v>992.73690374747002</v>
      </c>
      <c r="AA425" t="str">
        <f ca="1">IF(ISNA(AA$1), #N/A, OFFSET(data!$A$1, ROW()-1, AA$1-1))</f>
        <v>typical</v>
      </c>
      <c r="AB425">
        <f t="shared" ca="1" si="68"/>
        <v>2030</v>
      </c>
      <c r="AC425">
        <f t="shared" ca="1" si="69"/>
        <v>12</v>
      </c>
      <c r="AD425" t="str">
        <f t="shared" ca="1" si="70"/>
        <v>12/09/2030</v>
      </c>
      <c r="AE425" t="str">
        <f t="shared" ca="1" si="71"/>
        <v/>
      </c>
      <c r="AF425" s="6">
        <f t="shared" ca="1" si="72"/>
        <v>0.99273690374747003</v>
      </c>
      <c r="AG425">
        <f t="shared" ca="1" si="73"/>
        <v>353.4683294422</v>
      </c>
      <c r="AH425">
        <f t="shared" ca="1" si="74"/>
        <v>39.082178403735199</v>
      </c>
      <c r="AI425">
        <f t="shared" ca="1" si="75"/>
        <v>0</v>
      </c>
      <c r="AJ425">
        <f t="shared" ca="1" si="76"/>
        <v>0</v>
      </c>
      <c r="AK425">
        <f t="shared" ca="1" si="77"/>
        <v>57.599999999999902</v>
      </c>
      <c r="AL425">
        <f t="shared" ca="1" si="78"/>
        <v>78.586151038464706</v>
      </c>
    </row>
    <row r="426" spans="1:38" hidden="1">
      <c r="A426" t="str">
        <f ca="1">IF(ISNA(A$1), 0, OFFSET(data!$A$1, ROW()-1, A$1-1))</f>
        <v>Oahu</v>
      </c>
      <c r="B426">
        <f ca="1">IF(ISNA(B$1), 0, OFFSET(data!$A$1, ROW()-1, B$1-1))</f>
        <v>2030</v>
      </c>
      <c r="C426" t="str">
        <f ca="1">IF(ISNA(C$1), 0, OFFSET(data!$A$1, ROW()-1, C$1-1))</f>
        <v>2030-12-09-06:00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178.2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82.208164191389301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318.00816419138903</v>
      </c>
      <c r="R426">
        <f ca="1">IF(ISNA(R$1), 0, OFFSET(data!$A$1, ROW()-1, R$1-1))</f>
        <v>9.5786083140106193</v>
      </c>
      <c r="S426">
        <f ca="1">IF(ISNA(S$1), 0, OFFSET(data!$A$1, ROW()-1, S$1-1))</f>
        <v>250</v>
      </c>
      <c r="T426">
        <f ca="1">IF(ISNA(T$1), 0, OFFSET(data!$A$1, ROW()-1, T$1-1))</f>
        <v>825.12396072199999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-247.53718821659999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992.73690374747002</v>
      </c>
      <c r="AA426" t="str">
        <f ca="1">IF(ISNA(AA$1), #N/A, OFFSET(data!$A$1, ROW()-1, AA$1-1))</f>
        <v>typical</v>
      </c>
      <c r="AB426">
        <f t="shared" ca="1" si="68"/>
        <v>2030</v>
      </c>
      <c r="AC426">
        <f t="shared" ca="1" si="69"/>
        <v>12</v>
      </c>
      <c r="AD426" t="str">
        <f t="shared" ca="1" si="70"/>
        <v>12/09/2030</v>
      </c>
      <c r="AE426" t="str">
        <f t="shared" ca="1" si="71"/>
        <v/>
      </c>
      <c r="AF426" s="6">
        <f t="shared" ca="1" si="72"/>
        <v>0.99273690374747003</v>
      </c>
      <c r="AG426">
        <f t="shared" ca="1" si="73"/>
        <v>577.58677250539995</v>
      </c>
      <c r="AH426">
        <f t="shared" ca="1" si="74"/>
        <v>250</v>
      </c>
      <c r="AI426">
        <f t="shared" ca="1" si="75"/>
        <v>9.5786083140106193</v>
      </c>
      <c r="AJ426">
        <f t="shared" ca="1" si="76"/>
        <v>0</v>
      </c>
      <c r="AK426">
        <f t="shared" ca="1" si="77"/>
        <v>57.599999999999902</v>
      </c>
      <c r="AL426">
        <f t="shared" ca="1" si="78"/>
        <v>82.208164191389301</v>
      </c>
    </row>
    <row r="427" spans="1:38" hidden="1">
      <c r="A427" t="str">
        <f ca="1">IF(ISNA(A$1), 0, OFFSET(data!$A$1, ROW()-1, A$1-1))</f>
        <v>Oahu</v>
      </c>
      <c r="B427">
        <f ca="1">IF(ISNA(B$1), 0, OFFSET(data!$A$1, ROW()-1, B$1-1))</f>
        <v>2030</v>
      </c>
      <c r="C427" t="str">
        <f ca="1">IF(ISNA(C$1), 0, OFFSET(data!$A$1, ROW()-1, C$1-1))</f>
        <v>2030-12-09-08:00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1570.3032656384601</v>
      </c>
      <c r="L427">
        <f ca="1">IF(ISNA(L$1), 0, OFFSET(data!$A$1, ROW()-1, L$1-1))</f>
        <v>57.599999999999902</v>
      </c>
      <c r="M427">
        <f ca="1">IF(ISNA(M$1), 0, OFFSET(data!$A$1, ROW()-1, M$1-1))</f>
        <v>56.758142808009197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1684.66140844647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926.38445428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408.27695416647498</v>
      </c>
      <c r="X427">
        <f ca="1">IF(ISNA(X$1), 0, OFFSET(data!$A$1, ROW()-1, X$1-1))</f>
        <v>0</v>
      </c>
      <c r="Y427">
        <f ca="1">IF(ISNA(Y$1), 0, OFFSET(data!$A$1, ROW()-1, Y$1-1))</f>
        <v>350</v>
      </c>
      <c r="Z427">
        <f ca="1">IF(ISNA(Z$1), 0, OFFSET(data!$A$1, ROW()-1, Z$1-1))</f>
        <v>677.21261047726898</v>
      </c>
      <c r="AA427" t="str">
        <f ca="1">IF(ISNA(AA$1), #N/A, OFFSET(data!$A$1, ROW()-1, AA$1-1))</f>
        <v>typical</v>
      </c>
      <c r="AB427">
        <f t="shared" ca="1" si="68"/>
        <v>2030</v>
      </c>
      <c r="AC427">
        <f t="shared" ca="1" si="69"/>
        <v>12</v>
      </c>
      <c r="AD427" t="str">
        <f t="shared" ca="1" si="70"/>
        <v>12/09/2030</v>
      </c>
      <c r="AE427" t="str">
        <f t="shared" ca="1" si="71"/>
        <v/>
      </c>
      <c r="AF427" s="6">
        <f t="shared" ca="1" si="72"/>
        <v>0.67721261047726899</v>
      </c>
      <c r="AG427">
        <f t="shared" ca="1" si="73"/>
        <v>1334.661408446475</v>
      </c>
      <c r="AH427">
        <f t="shared" ca="1" si="74"/>
        <v>350</v>
      </c>
      <c r="AI427">
        <f t="shared" ca="1" si="75"/>
        <v>0</v>
      </c>
      <c r="AJ427">
        <f t="shared" ca="1" si="76"/>
        <v>1570.3032656384601</v>
      </c>
      <c r="AK427">
        <f t="shared" ca="1" si="77"/>
        <v>57.599999999999902</v>
      </c>
      <c r="AL427">
        <f t="shared" ca="1" si="78"/>
        <v>56.758142808009197</v>
      </c>
    </row>
    <row r="428" spans="1:38" hidden="1">
      <c r="A428" t="str">
        <f ca="1">IF(ISNA(A$1), 0, OFFSET(data!$A$1, ROW()-1, A$1-1))</f>
        <v>Oahu</v>
      </c>
      <c r="B428">
        <f ca="1">IF(ISNA(B$1), 0, OFFSET(data!$A$1, ROW()-1, B$1-1))</f>
        <v>2030</v>
      </c>
      <c r="C428" t="str">
        <f ca="1">IF(ISNA(C$1), 0, OFFSET(data!$A$1, ROW()-1, C$1-1))</f>
        <v>2030-12-09-10:00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2062.7907429064799</v>
      </c>
      <c r="L428">
        <f ca="1">IF(ISNA(L$1), 0, OFFSET(data!$A$1, ROW()-1, L$1-1))</f>
        <v>57.599999999999902</v>
      </c>
      <c r="M428">
        <f ca="1">IF(ISNA(M$1), 0, OFFSET(data!$A$1, ROW()-1, M$1-1))</f>
        <v>20.2609527928043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2140.65169569929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1014.29989352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776.35180217928996</v>
      </c>
      <c r="X428">
        <f ca="1">IF(ISNA(X$1), 0, OFFSET(data!$A$1, ROW()-1, X$1-1))</f>
        <v>0</v>
      </c>
      <c r="Y428">
        <f ca="1">IF(ISNA(Y$1), 0, OFFSET(data!$A$1, ROW()-1, Y$1-1))</f>
        <v>350</v>
      </c>
      <c r="Z428">
        <f ca="1">IF(ISNA(Z$1), 0, OFFSET(data!$A$1, ROW()-1, Z$1-1))</f>
        <v>677.21261047726898</v>
      </c>
      <c r="AA428" t="str">
        <f ca="1">IF(ISNA(AA$1), #N/A, OFFSET(data!$A$1, ROW()-1, AA$1-1))</f>
        <v>typical</v>
      </c>
      <c r="AB428">
        <f t="shared" ca="1" si="68"/>
        <v>2030</v>
      </c>
      <c r="AC428">
        <f t="shared" ca="1" si="69"/>
        <v>12</v>
      </c>
      <c r="AD428" t="str">
        <f t="shared" ca="1" si="70"/>
        <v>12/09/2030</v>
      </c>
      <c r="AE428" t="str">
        <f t="shared" ca="1" si="71"/>
        <v/>
      </c>
      <c r="AF428" s="6">
        <f t="shared" ca="1" si="72"/>
        <v>0.67721261047726899</v>
      </c>
      <c r="AG428">
        <f t="shared" ca="1" si="73"/>
        <v>1790.65169569929</v>
      </c>
      <c r="AH428">
        <f t="shared" ca="1" si="74"/>
        <v>350</v>
      </c>
      <c r="AI428">
        <f t="shared" ca="1" si="75"/>
        <v>0</v>
      </c>
      <c r="AJ428">
        <f t="shared" ca="1" si="76"/>
        <v>2062.7907429064799</v>
      </c>
      <c r="AK428">
        <f t="shared" ca="1" si="77"/>
        <v>57.599999999999902</v>
      </c>
      <c r="AL428">
        <f t="shared" ca="1" si="78"/>
        <v>20.2609527928043</v>
      </c>
    </row>
    <row r="429" spans="1:38" hidden="1">
      <c r="A429" t="str">
        <f ca="1">IF(ISNA(A$1), 0, OFFSET(data!$A$1, ROW()-1, A$1-1))</f>
        <v>Oahu</v>
      </c>
      <c r="B429">
        <f ca="1">IF(ISNA(B$1), 0, OFFSET(data!$A$1, ROW()-1, B$1-1))</f>
        <v>2030</v>
      </c>
      <c r="C429" t="str">
        <f ca="1">IF(ISNA(C$1), 0, OFFSET(data!$A$1, ROW()-1, C$1-1))</f>
        <v>2030-12-09-12:00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2099.98786022065</v>
      </c>
      <c r="L429">
        <f ca="1">IF(ISNA(L$1), 0, OFFSET(data!$A$1, ROW()-1, L$1-1))</f>
        <v>57.599999999999902</v>
      </c>
      <c r="M429">
        <f ca="1">IF(ISNA(M$1), 0, OFFSET(data!$A$1, ROW()-1, M$1-1))</f>
        <v>6.4852610499024497</v>
      </c>
      <c r="N429">
        <f ca="1">IF(ISNA(N$1), 0, OFFSET(data!$A$1, ROW()-1, N$1-1))</f>
        <v>7.1054273576010003E-15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2164.07312127055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1045.1106896199999</v>
      </c>
      <c r="U429">
        <f ca="1">IF(ISNA(U$1), 0, OFFSET(data!$A$1, ROW()-1, U$1-1))</f>
        <v>0</v>
      </c>
      <c r="V429">
        <f ca="1">IF(ISNA(V$1), 0, OFFSET(data!$A$1, ROW()-1, V$1-1))</f>
        <v>34.0149088389037</v>
      </c>
      <c r="W429">
        <f ca="1">IF(ISNA(W$1), 0, OFFSET(data!$A$1, ROW()-1, W$1-1))</f>
        <v>734.94752281165097</v>
      </c>
      <c r="X429">
        <f ca="1">IF(ISNA(X$1), 0, OFFSET(data!$A$1, ROW()-1, X$1-1))</f>
        <v>0</v>
      </c>
      <c r="Y429">
        <f ca="1">IF(ISNA(Y$1), 0, OFFSET(data!$A$1, ROW()-1, Y$1-1))</f>
        <v>350</v>
      </c>
      <c r="Z429">
        <f ca="1">IF(ISNA(Z$1), 0, OFFSET(data!$A$1, ROW()-1, Z$1-1))</f>
        <v>677.21261047726898</v>
      </c>
      <c r="AA429" t="str">
        <f ca="1">IF(ISNA(AA$1), #N/A, OFFSET(data!$A$1, ROW()-1, AA$1-1))</f>
        <v>typical</v>
      </c>
      <c r="AB429">
        <f t="shared" ca="1" si="68"/>
        <v>2030</v>
      </c>
      <c r="AC429">
        <f t="shared" ca="1" si="69"/>
        <v>12</v>
      </c>
      <c r="AD429" t="str">
        <f t="shared" ca="1" si="70"/>
        <v>12/09/2030</v>
      </c>
      <c r="AE429" t="str">
        <f t="shared" ca="1" si="71"/>
        <v>12/09/2030</v>
      </c>
      <c r="AF429" s="6">
        <f t="shared" ca="1" si="72"/>
        <v>0.67721261047726899</v>
      </c>
      <c r="AG429">
        <f t="shared" ca="1" si="73"/>
        <v>1780.0582124316509</v>
      </c>
      <c r="AH429">
        <f t="shared" ca="1" si="74"/>
        <v>350</v>
      </c>
      <c r="AI429">
        <f t="shared" ca="1" si="75"/>
        <v>34.0149088389037</v>
      </c>
      <c r="AJ429">
        <f t="shared" ca="1" si="76"/>
        <v>2099.98786022065</v>
      </c>
      <c r="AK429">
        <f t="shared" ca="1" si="77"/>
        <v>57.599999999999902</v>
      </c>
      <c r="AL429">
        <f t="shared" ca="1" si="78"/>
        <v>6.4852610499024497</v>
      </c>
    </row>
    <row r="430" spans="1:38" hidden="1">
      <c r="A430" t="str">
        <f ca="1">IF(ISNA(A$1), 0, OFFSET(data!$A$1, ROW()-1, A$1-1))</f>
        <v>Oahu</v>
      </c>
      <c r="B430">
        <f ca="1">IF(ISNA(B$1), 0, OFFSET(data!$A$1, ROW()-1, B$1-1))</f>
        <v>2030</v>
      </c>
      <c r="C430" t="str">
        <f ca="1">IF(ISNA(C$1), 0, OFFSET(data!$A$1, ROW()-1, C$1-1))</f>
        <v>2030-12-09-14:00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1578.1028530426199</v>
      </c>
      <c r="L430">
        <f ca="1">IF(ISNA(L$1), 0, OFFSET(data!$A$1, ROW()-1, L$1-1))</f>
        <v>57.599999999999902</v>
      </c>
      <c r="M430">
        <f ca="1">IF(ISNA(M$1), 0, OFFSET(data!$A$1, ROW()-1, M$1-1))</f>
        <v>5.5815003796759299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1641.2843534223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1021.28619023</v>
      </c>
      <c r="U430">
        <f ca="1">IF(ISNA(U$1), 0, OFFSET(data!$A$1, ROW()-1, U$1-1))</f>
        <v>0</v>
      </c>
      <c r="V430">
        <f ca="1">IF(ISNA(V$1), 0, OFFSET(data!$A$1, ROW()-1, V$1-1))</f>
        <v>404.83335561331899</v>
      </c>
      <c r="W430">
        <f ca="1">IF(ISNA(W$1), 0, OFFSET(data!$A$1, ROW()-1, W$1-1))</f>
        <v>-134.83519242101701</v>
      </c>
      <c r="X430">
        <f ca="1">IF(ISNA(X$1), 0, OFFSET(data!$A$1, ROW()-1, X$1-1))</f>
        <v>0</v>
      </c>
      <c r="Y430">
        <f ca="1">IF(ISNA(Y$1), 0, OFFSET(data!$A$1, ROW()-1, Y$1-1))</f>
        <v>350</v>
      </c>
      <c r="Z430">
        <f ca="1">IF(ISNA(Z$1), 0, OFFSET(data!$A$1, ROW()-1, Z$1-1))</f>
        <v>677.21261047726898</v>
      </c>
      <c r="AA430" t="str">
        <f ca="1">IF(ISNA(AA$1), #N/A, OFFSET(data!$A$1, ROW()-1, AA$1-1))</f>
        <v>typical</v>
      </c>
      <c r="AB430">
        <f t="shared" ca="1" si="68"/>
        <v>2030</v>
      </c>
      <c r="AC430">
        <f t="shared" ca="1" si="69"/>
        <v>12</v>
      </c>
      <c r="AD430" t="str">
        <f t="shared" ca="1" si="70"/>
        <v>12/09/2030</v>
      </c>
      <c r="AE430" t="str">
        <f t="shared" ca="1" si="71"/>
        <v/>
      </c>
      <c r="AF430" s="6">
        <f t="shared" ca="1" si="72"/>
        <v>0.67721261047726899</v>
      </c>
      <c r="AG430">
        <f t="shared" ca="1" si="73"/>
        <v>886.45099780898295</v>
      </c>
      <c r="AH430">
        <f t="shared" ca="1" si="74"/>
        <v>350</v>
      </c>
      <c r="AI430">
        <f t="shared" ca="1" si="75"/>
        <v>404.83335561331899</v>
      </c>
      <c r="AJ430">
        <f t="shared" ca="1" si="76"/>
        <v>1578.1028530426199</v>
      </c>
      <c r="AK430">
        <f t="shared" ca="1" si="77"/>
        <v>57.599999999999902</v>
      </c>
      <c r="AL430">
        <f t="shared" ca="1" si="78"/>
        <v>5.5815003796759299</v>
      </c>
    </row>
    <row r="431" spans="1:38" hidden="1">
      <c r="A431" t="str">
        <f ca="1">IF(ISNA(A$1), 0, OFFSET(data!$A$1, ROW()-1, A$1-1))</f>
        <v>Oahu</v>
      </c>
      <c r="B431">
        <f ca="1">IF(ISNA(B$1), 0, OFFSET(data!$A$1, ROW()-1, B$1-1))</f>
        <v>2030</v>
      </c>
      <c r="C431" t="str">
        <f ca="1">IF(ISNA(C$1), 0, OFFSET(data!$A$1, ROW()-1, C$1-1))</f>
        <v>2030-12-09-16:00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746.22357645050795</v>
      </c>
      <c r="L431">
        <f ca="1">IF(ISNA(L$1), 0, OFFSET(data!$A$1, ROW()-1, L$1-1))</f>
        <v>57.599999999999902</v>
      </c>
      <c r="M431">
        <f ca="1">IF(ISNA(M$1), 0, OFFSET(data!$A$1, ROW()-1, M$1-1))</f>
        <v>12.118950358623101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815.94252680913098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1011.83021273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-303.549063818999</v>
      </c>
      <c r="X431">
        <f ca="1">IF(ISNA(X$1), 0, OFFSET(data!$A$1, ROW()-1, X$1-1))</f>
        <v>0</v>
      </c>
      <c r="Y431">
        <f ca="1">IF(ISNA(Y$1), 0, OFFSET(data!$A$1, ROW()-1, Y$1-1))</f>
        <v>107.66137789813099</v>
      </c>
      <c r="Z431">
        <f ca="1">IF(ISNA(Z$1), 0, OFFSET(data!$A$1, ROW()-1, Z$1-1))</f>
        <v>764.40741588555204</v>
      </c>
      <c r="AA431" t="str">
        <f ca="1">IF(ISNA(AA$1), #N/A, OFFSET(data!$A$1, ROW()-1, AA$1-1))</f>
        <v>typical</v>
      </c>
      <c r="AB431">
        <f t="shared" ca="1" si="68"/>
        <v>2030</v>
      </c>
      <c r="AC431">
        <f t="shared" ca="1" si="69"/>
        <v>12</v>
      </c>
      <c r="AD431" t="str">
        <f t="shared" ca="1" si="70"/>
        <v>12/09/2030</v>
      </c>
      <c r="AE431" t="str">
        <f t="shared" ca="1" si="71"/>
        <v/>
      </c>
      <c r="AF431" s="6">
        <f t="shared" ca="1" si="72"/>
        <v>0.76440741588555206</v>
      </c>
      <c r="AG431">
        <f t="shared" ca="1" si="73"/>
        <v>708.28114891100097</v>
      </c>
      <c r="AH431">
        <f t="shared" ca="1" si="74"/>
        <v>107.66137789813099</v>
      </c>
      <c r="AI431">
        <f t="shared" ca="1" si="75"/>
        <v>0</v>
      </c>
      <c r="AJ431">
        <f t="shared" ca="1" si="76"/>
        <v>746.22357645050795</v>
      </c>
      <c r="AK431">
        <f t="shared" ca="1" si="77"/>
        <v>57.599999999999902</v>
      </c>
      <c r="AL431">
        <f t="shared" ca="1" si="78"/>
        <v>12.118950358623101</v>
      </c>
    </row>
    <row r="432" spans="1:38" hidden="1">
      <c r="A432" t="str">
        <f ca="1">IF(ISNA(A$1), 0, OFFSET(data!$A$1, ROW()-1, A$1-1))</f>
        <v>Oahu</v>
      </c>
      <c r="B432">
        <f ca="1">IF(ISNA(B$1), 0, OFFSET(data!$A$1, ROW()-1, B$1-1))</f>
        <v>2030</v>
      </c>
      <c r="C432" t="str">
        <f ca="1">IF(ISNA(C$1), 0, OFFSET(data!$A$1, ROW()-1, C$1-1))</f>
        <v>2030-12-09-18:00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178.2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34.781104883319998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270.58110488331999</v>
      </c>
      <c r="R432">
        <f ca="1">IF(ISNA(R$1), 0, OFFSET(data!$A$1, ROW()-1, R$1-1))</f>
        <v>277.69278797525999</v>
      </c>
      <c r="S432">
        <f ca="1">IF(ISNA(S$1), 0, OFFSET(data!$A$1, ROW()-1, S$1-1))</f>
        <v>221.40488300041901</v>
      </c>
      <c r="T432">
        <f ca="1">IF(ISNA(T$1), 0, OFFSET(data!$A$1, ROW()-1, T$1-1))</f>
        <v>1099.5411083700001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-329.86233251099998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992.73690374747002</v>
      </c>
      <c r="AA432" t="str">
        <f ca="1">IF(ISNA(AA$1), #N/A, OFFSET(data!$A$1, ROW()-1, AA$1-1))</f>
        <v>typical</v>
      </c>
      <c r="AB432">
        <f t="shared" ca="1" si="68"/>
        <v>2030</v>
      </c>
      <c r="AC432">
        <f t="shared" ca="1" si="69"/>
        <v>12</v>
      </c>
      <c r="AD432" t="str">
        <f t="shared" ca="1" si="70"/>
        <v>12/09/2030</v>
      </c>
      <c r="AE432" t="str">
        <f t="shared" ca="1" si="71"/>
        <v/>
      </c>
      <c r="AF432" s="6">
        <f t="shared" ca="1" si="72"/>
        <v>0.99273690374747003</v>
      </c>
      <c r="AG432">
        <f t="shared" ca="1" si="73"/>
        <v>769.6787758590001</v>
      </c>
      <c r="AH432">
        <f t="shared" ca="1" si="74"/>
        <v>221.40488300041901</v>
      </c>
      <c r="AI432">
        <f t="shared" ca="1" si="75"/>
        <v>277.69278797525999</v>
      </c>
      <c r="AJ432">
        <f t="shared" ca="1" si="76"/>
        <v>0</v>
      </c>
      <c r="AK432">
        <f t="shared" ca="1" si="77"/>
        <v>57.599999999999902</v>
      </c>
      <c r="AL432">
        <f t="shared" ca="1" si="78"/>
        <v>34.781104883319998</v>
      </c>
    </row>
    <row r="433" spans="1:38" hidden="1">
      <c r="A433" t="str">
        <f ca="1">IF(ISNA(A$1), 0, OFFSET(data!$A$1, ROW()-1, A$1-1))</f>
        <v>Oahu</v>
      </c>
      <c r="B433">
        <f ca="1">IF(ISNA(B$1), 0, OFFSET(data!$A$1, ROW()-1, B$1-1))</f>
        <v>2030</v>
      </c>
      <c r="C433" t="str">
        <f ca="1">IF(ISNA(C$1), 0, OFFSET(data!$A$1, ROW()-1, C$1-1))</f>
        <v>2030-12-09-20:00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178.2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35.981801118603798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271.78180111860303</v>
      </c>
      <c r="R433">
        <f ca="1">IF(ISNA(R$1), 0, OFFSET(data!$A$1, ROW()-1, R$1-1))</f>
        <v>41.864802049895999</v>
      </c>
      <c r="S433">
        <f ca="1">IF(ISNA(S$1), 0, OFFSET(data!$A$1, ROW()-1, S$1-1))</f>
        <v>350</v>
      </c>
      <c r="T433">
        <f ca="1">IF(ISNA(T$1), 0, OFFSET(data!$A$1, ROW()-1, T$1-1))</f>
        <v>948.06657595499996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-284.41997278649899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992.73690374747002</v>
      </c>
      <c r="AA433" t="str">
        <f ca="1">IF(ISNA(AA$1), #N/A, OFFSET(data!$A$1, ROW()-1, AA$1-1))</f>
        <v>typical</v>
      </c>
      <c r="AB433">
        <f t="shared" ca="1" si="68"/>
        <v>2030</v>
      </c>
      <c r="AC433">
        <f t="shared" ca="1" si="69"/>
        <v>12</v>
      </c>
      <c r="AD433" t="str">
        <f t="shared" ca="1" si="70"/>
        <v>12/09/2030</v>
      </c>
      <c r="AE433" t="str">
        <f t="shared" ca="1" si="71"/>
        <v/>
      </c>
      <c r="AF433" s="6">
        <f t="shared" ca="1" si="72"/>
        <v>0.99273690374747003</v>
      </c>
      <c r="AG433">
        <f t="shared" ca="1" si="73"/>
        <v>663.64660316850097</v>
      </c>
      <c r="AH433">
        <f t="shared" ca="1" si="74"/>
        <v>350</v>
      </c>
      <c r="AI433">
        <f t="shared" ca="1" si="75"/>
        <v>41.864802049895999</v>
      </c>
      <c r="AJ433">
        <f t="shared" ca="1" si="76"/>
        <v>0</v>
      </c>
      <c r="AK433">
        <f t="shared" ca="1" si="77"/>
        <v>57.599999999999902</v>
      </c>
      <c r="AL433">
        <f t="shared" ca="1" si="78"/>
        <v>35.981801118603798</v>
      </c>
    </row>
    <row r="434" spans="1:38" hidden="1">
      <c r="A434" t="str">
        <f ca="1">IF(ISNA(A$1), 0, OFFSET(data!$A$1, ROW()-1, A$1-1))</f>
        <v>Oahu</v>
      </c>
      <c r="B434">
        <f ca="1">IF(ISNA(B$1), 0, OFFSET(data!$A$1, ROW()-1, B$1-1))</f>
        <v>2030</v>
      </c>
      <c r="C434" t="str">
        <f ca="1">IF(ISNA(C$1), 0, OFFSET(data!$A$1, ROW()-1, C$1-1))</f>
        <v>2030-12-09-22:00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178.2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44.4872161023101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280.28721610231003</v>
      </c>
      <c r="R434">
        <f ca="1">IF(ISNA(R$1), 0, OFFSET(data!$A$1, ROW()-1, R$1-1))</f>
        <v>0</v>
      </c>
      <c r="S434">
        <f ca="1">IF(ISNA(S$1), 0, OFFSET(data!$A$1, ROW()-1, S$1-1))</f>
        <v>196.10048422468901</v>
      </c>
      <c r="T434">
        <f ca="1">IF(ISNA(T$1), 0, OFFSET(data!$A$1, ROW()-1, T$1-1))</f>
        <v>680.55385761000002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-204.16615728299999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992.73690374747002</v>
      </c>
      <c r="AA434" t="str">
        <f ca="1">IF(ISNA(AA$1), #N/A, OFFSET(data!$A$1, ROW()-1, AA$1-1))</f>
        <v>typical</v>
      </c>
      <c r="AB434">
        <f t="shared" ca="1" si="68"/>
        <v>2030</v>
      </c>
      <c r="AC434">
        <f t="shared" ca="1" si="69"/>
        <v>12</v>
      </c>
      <c r="AD434" t="str">
        <f t="shared" ca="1" si="70"/>
        <v>12/09/2030</v>
      </c>
      <c r="AE434" t="str">
        <f t="shared" ca="1" si="71"/>
        <v/>
      </c>
      <c r="AF434" s="6">
        <f t="shared" ca="1" si="72"/>
        <v>0.99273690374747003</v>
      </c>
      <c r="AG434">
        <f t="shared" ca="1" si="73"/>
        <v>476.38770032700006</v>
      </c>
      <c r="AH434">
        <f t="shared" ca="1" si="74"/>
        <v>196.10048422468901</v>
      </c>
      <c r="AI434">
        <f t="shared" ca="1" si="75"/>
        <v>0</v>
      </c>
      <c r="AJ434">
        <f t="shared" ca="1" si="76"/>
        <v>0</v>
      </c>
      <c r="AK434">
        <f t="shared" ca="1" si="77"/>
        <v>57.599999999999902</v>
      </c>
      <c r="AL434">
        <f t="shared" ca="1" si="78"/>
        <v>44.4872161023101</v>
      </c>
    </row>
    <row r="435" spans="1:38">
      <c r="A435" t="str">
        <f ca="1">IF(ISNA(A$1), 0, OFFSET(data!$A$1, ROW()-1, A$1-1))</f>
        <v>Oahu</v>
      </c>
      <c r="B435">
        <f ca="1">IF(ISNA(B$1), 0, OFFSET(data!$A$1, ROW()-1, B$1-1))</f>
        <v>2035</v>
      </c>
      <c r="C435" t="str">
        <f ca="1">IF(ISNA(C$1), 0, OFFSET(data!$A$1, ROW()-1, C$1-1))</f>
        <v>2035-02-06-00:00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177.50992810907701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235.109928109077</v>
      </c>
      <c r="R435">
        <f ca="1">IF(ISNA(R$1), 0, OFFSET(data!$A$1, ROW()-1, R$1-1))</f>
        <v>104.956047276422</v>
      </c>
      <c r="S435">
        <f ca="1">IF(ISNA(S$1), 0, OFFSET(data!$A$1, ROW()-1, S$1-1))</f>
        <v>0</v>
      </c>
      <c r="T435">
        <f ca="1">IF(ISNA(T$1), 0, OFFSET(data!$A$1, ROW()-1, T$1-1))</f>
        <v>485.80853626499999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-145.74256087949999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89.786756444444407</v>
      </c>
      <c r="AA435" t="str">
        <f ca="1">IF(ISNA(AA$1), #N/A, OFFSET(data!$A$1, ROW()-1, AA$1-1))</f>
        <v>peak</v>
      </c>
      <c r="AB435">
        <f t="shared" ref="AB435:AB466" ca="1" si="79">VALUE(LEFT(C435, 4))</f>
        <v>2035</v>
      </c>
      <c r="AC435">
        <f t="shared" ref="AC435:AC466" ca="1" si="80">VALUE(MID(C435, 6, 2))</f>
        <v>2</v>
      </c>
      <c r="AD435" t="str">
        <f t="shared" ref="AD435:AD466" ca="1" si="81">SUBSTITUTE(MID(C435,6,6)&amp;LEFT(C435,4), "-", "/")</f>
        <v>02/06/2035</v>
      </c>
      <c r="AE435" t="str">
        <f t="shared" ref="AE435:AE466" ca="1" si="82">IF(RIGHT(C435, 5)="12:00", AD435, "")</f>
        <v/>
      </c>
      <c r="AF435" s="6">
        <f t="shared" ref="AF435:AF466" ca="1" si="83">Z435/1000</f>
        <v>8.9786756444444407E-2</v>
      </c>
      <c r="AG435">
        <f t="shared" ref="AG435:AG466" ca="1" si="84">T435+W435</f>
        <v>340.0659753855</v>
      </c>
      <c r="AH435">
        <f t="shared" ref="AH435:AH466" ca="1" si="85">MAX(S435,Y435)</f>
        <v>0</v>
      </c>
      <c r="AI435">
        <f t="shared" ref="AI435:AI466" ca="1" si="86">MAX(R435,V435)</f>
        <v>104.956047276422</v>
      </c>
      <c r="AJ435">
        <f t="shared" ref="AJ435:AJ466" ca="1" si="87">K435+N435</f>
        <v>0</v>
      </c>
      <c r="AK435">
        <f t="shared" ref="AK435:AK466" ca="1" si="88">L435+O435</f>
        <v>57.599999999999902</v>
      </c>
      <c r="AL435">
        <f t="shared" ref="AL435:AL466" ca="1" si="89">M435+P435</f>
        <v>177.50992810907701</v>
      </c>
    </row>
    <row r="436" spans="1:38">
      <c r="A436" t="str">
        <f ca="1">IF(ISNA(A$1), 0, OFFSET(data!$A$1, ROW()-1, A$1-1))</f>
        <v>Oahu</v>
      </c>
      <c r="B436">
        <f ca="1">IF(ISNA(B$1), 0, OFFSET(data!$A$1, ROW()-1, B$1-1))</f>
        <v>2035</v>
      </c>
      <c r="C436" t="str">
        <f ca="1">IF(ISNA(C$1), 0, OFFSET(data!$A$1, ROW()-1, C$1-1))</f>
        <v>2035-02-06-02:00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170.115339907758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227.71533990775799</v>
      </c>
      <c r="R436">
        <f ca="1">IF(ISNA(R$1), 0, OFFSET(data!$A$1, ROW()-1, R$1-1))</f>
        <v>0</v>
      </c>
      <c r="S436">
        <f ca="1">IF(ISNA(S$1), 0, OFFSET(data!$A$1, ROW()-1, S$1-1))</f>
        <v>73.911036567441002</v>
      </c>
      <c r="T436">
        <f ca="1">IF(ISNA(T$1), 0, OFFSET(data!$A$1, ROW()-1, T$1-1))</f>
        <v>430.89482353599999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-129.26844706079899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89.786756444444407</v>
      </c>
      <c r="AA436" t="str">
        <f ca="1">IF(ISNA(AA$1), #N/A, OFFSET(data!$A$1, ROW()-1, AA$1-1))</f>
        <v>peak</v>
      </c>
      <c r="AB436">
        <f t="shared" ca="1" si="79"/>
        <v>2035</v>
      </c>
      <c r="AC436">
        <f t="shared" ca="1" si="80"/>
        <v>2</v>
      </c>
      <c r="AD436" t="str">
        <f t="shared" ca="1" si="81"/>
        <v>02/06/2035</v>
      </c>
      <c r="AE436" t="str">
        <f t="shared" ca="1" si="82"/>
        <v/>
      </c>
      <c r="AF436" s="6">
        <f t="shared" ca="1" si="83"/>
        <v>8.9786756444444407E-2</v>
      </c>
      <c r="AG436">
        <f t="shared" ca="1" si="84"/>
        <v>301.62637647520103</v>
      </c>
      <c r="AH436">
        <f t="shared" ca="1" si="85"/>
        <v>73.911036567441002</v>
      </c>
      <c r="AI436">
        <f t="shared" ca="1" si="86"/>
        <v>0</v>
      </c>
      <c r="AJ436">
        <f t="shared" ca="1" si="87"/>
        <v>0</v>
      </c>
      <c r="AK436">
        <f t="shared" ca="1" si="88"/>
        <v>57.599999999999902</v>
      </c>
      <c r="AL436">
        <f t="shared" ca="1" si="89"/>
        <v>170.115339907758</v>
      </c>
    </row>
    <row r="437" spans="1:38">
      <c r="A437" t="str">
        <f ca="1">IF(ISNA(A$1), 0, OFFSET(data!$A$1, ROW()-1, A$1-1))</f>
        <v>Oahu</v>
      </c>
      <c r="B437">
        <f ca="1">IF(ISNA(B$1), 0, OFFSET(data!$A$1, ROW()-1, B$1-1))</f>
        <v>2035</v>
      </c>
      <c r="C437" t="str">
        <f ca="1">IF(ISNA(C$1), 0, OFFSET(data!$A$1, ROW()-1, C$1-1))</f>
        <v>2035-02-06-04:00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140.25989690914199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197.85989690914201</v>
      </c>
      <c r="R437">
        <f ca="1">IF(ISNA(R$1), 0, OFFSET(data!$A$1, ROW()-1, R$1-1))</f>
        <v>0</v>
      </c>
      <c r="S437">
        <f ca="1">IF(ISNA(S$1), 0, OFFSET(data!$A$1, ROW()-1, S$1-1))</f>
        <v>178.87008834275699</v>
      </c>
      <c r="T437">
        <f ca="1">IF(ISNA(T$1), 0, OFFSET(data!$A$1, ROW()-1, T$1-1))</f>
        <v>538.18569321699999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-161.4557079651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89.786756444444407</v>
      </c>
      <c r="AA437" t="str">
        <f ca="1">IF(ISNA(AA$1), #N/A, OFFSET(data!$A$1, ROW()-1, AA$1-1))</f>
        <v>peak</v>
      </c>
      <c r="AB437">
        <f t="shared" ca="1" si="79"/>
        <v>2035</v>
      </c>
      <c r="AC437">
        <f t="shared" ca="1" si="80"/>
        <v>2</v>
      </c>
      <c r="AD437" t="str">
        <f t="shared" ca="1" si="81"/>
        <v>02/06/2035</v>
      </c>
      <c r="AE437" t="str">
        <f t="shared" ca="1" si="82"/>
        <v/>
      </c>
      <c r="AF437" s="6">
        <f t="shared" ca="1" si="83"/>
        <v>8.9786756444444407E-2</v>
      </c>
      <c r="AG437">
        <f t="shared" ca="1" si="84"/>
        <v>376.72998525189996</v>
      </c>
      <c r="AH437">
        <f t="shared" ca="1" si="85"/>
        <v>178.87008834275699</v>
      </c>
      <c r="AI437">
        <f t="shared" ca="1" si="86"/>
        <v>0</v>
      </c>
      <c r="AJ437">
        <f t="shared" ca="1" si="87"/>
        <v>0</v>
      </c>
      <c r="AK437">
        <f t="shared" ca="1" si="88"/>
        <v>57.599999999999902</v>
      </c>
      <c r="AL437">
        <f t="shared" ca="1" si="89"/>
        <v>140.25989690914199</v>
      </c>
    </row>
    <row r="438" spans="1:38">
      <c r="A438" t="str">
        <f ca="1">IF(ISNA(A$1), 0, OFFSET(data!$A$1, ROW()-1, A$1-1))</f>
        <v>Oahu</v>
      </c>
      <c r="B438">
        <f ca="1">IF(ISNA(B$1), 0, OFFSET(data!$A$1, ROW()-1, B$1-1))</f>
        <v>2035</v>
      </c>
      <c r="C438" t="str">
        <f ca="1">IF(ISNA(C$1), 0, OFFSET(data!$A$1, ROW()-1, C$1-1))</f>
        <v>2035-02-06-06:00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167.05115810497699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224.65115810497699</v>
      </c>
      <c r="R438">
        <f ca="1">IF(ISNA(R$1), 0, OFFSET(data!$A$1, ROW()-1, R$1-1))</f>
        <v>96.021438850221003</v>
      </c>
      <c r="S438">
        <f ca="1">IF(ISNA(S$1), 0, OFFSET(data!$A$1, ROW()-1, S$1-1))</f>
        <v>294.71887508980097</v>
      </c>
      <c r="T438">
        <f ca="1">IF(ISNA(T$1), 0, OFFSET(data!$A$1, ROW()-1, T$1-1))</f>
        <v>879.13067435000005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-263.73920230499999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89.786756444444407</v>
      </c>
      <c r="AA438" t="str">
        <f ca="1">IF(ISNA(AA$1), #N/A, OFFSET(data!$A$1, ROW()-1, AA$1-1))</f>
        <v>peak</v>
      </c>
      <c r="AB438">
        <f t="shared" ca="1" si="79"/>
        <v>2035</v>
      </c>
      <c r="AC438">
        <f t="shared" ca="1" si="80"/>
        <v>2</v>
      </c>
      <c r="AD438" t="str">
        <f t="shared" ca="1" si="81"/>
        <v>02/06/2035</v>
      </c>
      <c r="AE438" t="str">
        <f t="shared" ca="1" si="82"/>
        <v/>
      </c>
      <c r="AF438" s="6">
        <f t="shared" ca="1" si="83"/>
        <v>8.9786756444444407E-2</v>
      </c>
      <c r="AG438">
        <f t="shared" ca="1" si="84"/>
        <v>615.391472045</v>
      </c>
      <c r="AH438">
        <f t="shared" ca="1" si="85"/>
        <v>294.71887508980097</v>
      </c>
      <c r="AI438">
        <f t="shared" ca="1" si="86"/>
        <v>96.021438850221003</v>
      </c>
      <c r="AJ438">
        <f t="shared" ca="1" si="87"/>
        <v>0</v>
      </c>
      <c r="AK438">
        <f t="shared" ca="1" si="88"/>
        <v>57.599999999999902</v>
      </c>
      <c r="AL438">
        <f t="shared" ca="1" si="89"/>
        <v>167.05115810497699</v>
      </c>
    </row>
    <row r="439" spans="1:38">
      <c r="A439" t="str">
        <f ca="1">IF(ISNA(A$1), 0, OFFSET(data!$A$1, ROW()-1, A$1-1))</f>
        <v>Oahu</v>
      </c>
      <c r="B439">
        <f ca="1">IF(ISNA(B$1), 0, OFFSET(data!$A$1, ROW()-1, B$1-1))</f>
        <v>2035</v>
      </c>
      <c r="C439" t="str">
        <f ca="1">IF(ISNA(C$1), 0, OFFSET(data!$A$1, ROW()-1, C$1-1))</f>
        <v>2035-02-06-08:00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1060.87315375908</v>
      </c>
      <c r="L439">
        <f ca="1">IF(ISNA(L$1), 0, OFFSET(data!$A$1, ROW()-1, L$1-1))</f>
        <v>0</v>
      </c>
      <c r="M439">
        <f ca="1">IF(ISNA(M$1), 0, OFFSET(data!$A$1, ROW()-1, M$1-1))</f>
        <v>72.297988759771798</v>
      </c>
      <c r="N439">
        <f ca="1">IF(ISNA(N$1), 0, OFFSET(data!$A$1, ROW()-1, N$1-1))</f>
        <v>610.56351260295605</v>
      </c>
      <c r="O439">
        <f ca="1">IF(ISNA(O$1), 0, OFFSET(data!$A$1, ROW()-1, O$1-1))</f>
        <v>57.599999999999902</v>
      </c>
      <c r="P439">
        <f ca="1">IF(ISNA(P$1), 0, OFFSET(data!$A$1, ROW()-1, P$1-1))</f>
        <v>77.275217408029306</v>
      </c>
      <c r="Q439">
        <f ca="1">IF(ISNA(Q$1), 0, OFFSET(data!$A$1, ROW()-1, Q$1-1))</f>
        <v>1133.1711425188601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958.18995440799995</v>
      </c>
      <c r="U439">
        <f ca="1">IF(ISNA(U$1), 0, OFFSET(data!$A$1, ROW()-1, U$1-1))</f>
        <v>0</v>
      </c>
      <c r="V439">
        <f ca="1">IF(ISNA(V$1), 0, OFFSET(data!$A$1, ROW()-1, V$1-1))</f>
        <v>0</v>
      </c>
      <c r="W439">
        <f ca="1">IF(ISNA(W$1), 0, OFFSET(data!$A$1, ROW()-1, W$1-1))</f>
        <v>-175.018811889137</v>
      </c>
      <c r="X439">
        <f ca="1">IF(ISNA(X$1), 0, OFFSET(data!$A$1, ROW()-1, X$1-1))</f>
        <v>0</v>
      </c>
      <c r="Y439">
        <f ca="1">IF(ISNA(Y$1), 0, OFFSET(data!$A$1, ROW()-1, Y$1-1))</f>
        <v>350</v>
      </c>
      <c r="Z439">
        <f ca="1">IF(ISNA(Z$1), 0, OFFSET(data!$A$1, ROW()-1, Z$1-1))</f>
        <v>0</v>
      </c>
      <c r="AA439" t="str">
        <f ca="1">IF(ISNA(AA$1), #N/A, OFFSET(data!$A$1, ROW()-1, AA$1-1))</f>
        <v>peak</v>
      </c>
      <c r="AB439">
        <f t="shared" ca="1" si="79"/>
        <v>2035</v>
      </c>
      <c r="AC439">
        <f t="shared" ca="1" si="80"/>
        <v>2</v>
      </c>
      <c r="AD439" t="str">
        <f t="shared" ca="1" si="81"/>
        <v>02/06/2035</v>
      </c>
      <c r="AE439" t="str">
        <f t="shared" ca="1" si="82"/>
        <v/>
      </c>
      <c r="AF439" s="6">
        <f t="shared" ca="1" si="83"/>
        <v>0</v>
      </c>
      <c r="AG439">
        <f t="shared" ca="1" si="84"/>
        <v>783.17114251886301</v>
      </c>
      <c r="AH439">
        <f t="shared" ca="1" si="85"/>
        <v>350</v>
      </c>
      <c r="AI439">
        <f t="shared" ca="1" si="86"/>
        <v>0</v>
      </c>
      <c r="AJ439">
        <f t="shared" ca="1" si="87"/>
        <v>1671.436666362036</v>
      </c>
      <c r="AK439">
        <f t="shared" ca="1" si="88"/>
        <v>57.599999999999902</v>
      </c>
      <c r="AL439">
        <f t="shared" ca="1" si="89"/>
        <v>149.57320616780112</v>
      </c>
    </row>
    <row r="440" spans="1:38">
      <c r="A440" t="str">
        <f ca="1">IF(ISNA(A$1), 0, OFFSET(data!$A$1, ROW()-1, A$1-1))</f>
        <v>Oahu</v>
      </c>
      <c r="B440">
        <f ca="1">IF(ISNA(B$1), 0, OFFSET(data!$A$1, ROW()-1, B$1-1))</f>
        <v>2035</v>
      </c>
      <c r="C440" t="str">
        <f ca="1">IF(ISNA(C$1), 0, OFFSET(data!$A$1, ROW()-1, C$1-1))</f>
        <v>2035-02-06-10:00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1605.6103254570501</v>
      </c>
      <c r="L440">
        <f ca="1">IF(ISNA(L$1), 0, OFFSET(data!$A$1, ROW()-1, L$1-1))</f>
        <v>0</v>
      </c>
      <c r="M440">
        <f ca="1">IF(ISNA(M$1), 0, OFFSET(data!$A$1, ROW()-1, M$1-1))</f>
        <v>124.038302774982</v>
      </c>
      <c r="N440">
        <f ca="1">IF(ISNA(N$1), 0, OFFSET(data!$A$1, ROW()-1, N$1-1))</f>
        <v>805.84173613349799</v>
      </c>
      <c r="O440">
        <f ca="1">IF(ISNA(O$1), 0, OFFSET(data!$A$1, ROW()-1, O$1-1))</f>
        <v>57.599999999999902</v>
      </c>
      <c r="P440">
        <f ca="1">IF(ISNA(P$1), 0, OFFSET(data!$A$1, ROW()-1, P$1-1))</f>
        <v>4.9463374857640003</v>
      </c>
      <c r="Q440">
        <f ca="1">IF(ISNA(Q$1), 0, OFFSET(data!$A$1, ROW()-1, Q$1-1))</f>
        <v>1729.64862823203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1036.8241877200001</v>
      </c>
      <c r="U440">
        <f ca="1">IF(ISNA(U$1), 0, OFFSET(data!$A$1, ROW()-1, U$1-1))</f>
        <v>0</v>
      </c>
      <c r="V440">
        <f ca="1">IF(ISNA(V$1), 0, OFFSET(data!$A$1, ROW()-1, V$1-1))</f>
        <v>404.83335561331899</v>
      </c>
      <c r="W440">
        <f ca="1">IF(ISNA(W$1), 0, OFFSET(data!$A$1, ROW()-1, W$1-1))</f>
        <v>-62.008915101282497</v>
      </c>
      <c r="X440">
        <f ca="1">IF(ISNA(X$1), 0, OFFSET(data!$A$1, ROW()-1, X$1-1))</f>
        <v>0</v>
      </c>
      <c r="Y440">
        <f ca="1">IF(ISNA(Y$1), 0, OFFSET(data!$A$1, ROW()-1, Y$1-1))</f>
        <v>350</v>
      </c>
      <c r="Z440">
        <f ca="1">IF(ISNA(Z$1), 0, OFFSET(data!$A$1, ROW()-1, Z$1-1))</f>
        <v>0</v>
      </c>
      <c r="AA440" t="str">
        <f ca="1">IF(ISNA(AA$1), #N/A, OFFSET(data!$A$1, ROW()-1, AA$1-1))</f>
        <v>peak</v>
      </c>
      <c r="AB440">
        <f t="shared" ca="1" si="79"/>
        <v>2035</v>
      </c>
      <c r="AC440">
        <f t="shared" ca="1" si="80"/>
        <v>2</v>
      </c>
      <c r="AD440" t="str">
        <f t="shared" ca="1" si="81"/>
        <v>02/06/2035</v>
      </c>
      <c r="AE440" t="str">
        <f t="shared" ca="1" si="82"/>
        <v/>
      </c>
      <c r="AF440" s="6">
        <f t="shared" ca="1" si="83"/>
        <v>0</v>
      </c>
      <c r="AG440">
        <f t="shared" ca="1" si="84"/>
        <v>974.81527261871759</v>
      </c>
      <c r="AH440">
        <f t="shared" ca="1" si="85"/>
        <v>350</v>
      </c>
      <c r="AI440">
        <f t="shared" ca="1" si="86"/>
        <v>404.83335561331899</v>
      </c>
      <c r="AJ440">
        <f t="shared" ca="1" si="87"/>
        <v>2411.4520615905481</v>
      </c>
      <c r="AK440">
        <f t="shared" ca="1" si="88"/>
        <v>57.599999999999902</v>
      </c>
      <c r="AL440">
        <f t="shared" ca="1" si="89"/>
        <v>128.984640260746</v>
      </c>
    </row>
    <row r="441" spans="1:38">
      <c r="A441" t="str">
        <f ca="1">IF(ISNA(A$1), 0, OFFSET(data!$A$1, ROW()-1, A$1-1))</f>
        <v>Oahu</v>
      </c>
      <c r="B441">
        <f ca="1">IF(ISNA(B$1), 0, OFFSET(data!$A$1, ROW()-1, B$1-1))</f>
        <v>2035</v>
      </c>
      <c r="C441" t="str">
        <f ca="1">IF(ISNA(C$1), 0, OFFSET(data!$A$1, ROW()-1, C$1-1))</f>
        <v>2035-02-06-12:00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2655.1248370654898</v>
      </c>
      <c r="L441">
        <f ca="1">IF(ISNA(L$1), 0, OFFSET(data!$A$1, ROW()-1, L$1-1))</f>
        <v>0</v>
      </c>
      <c r="M441">
        <f ca="1">IF(ISNA(M$1), 0, OFFSET(data!$A$1, ROW()-1, M$1-1))</f>
        <v>105.97018924115601</v>
      </c>
      <c r="N441">
        <f ca="1">IF(ISNA(N$1), 0, OFFSET(data!$A$1, ROW()-1, N$1-1))</f>
        <v>0.36127639504600401</v>
      </c>
      <c r="O441">
        <f ca="1">IF(ISNA(O$1), 0, OFFSET(data!$A$1, ROW()-1, O$1-1))</f>
        <v>57.599999999999902</v>
      </c>
      <c r="P441">
        <f ca="1">IF(ISNA(P$1), 0, OFFSET(data!$A$1, ROW()-1, P$1-1))</f>
        <v>0</v>
      </c>
      <c r="Q441">
        <f ca="1">IF(ISNA(Q$1), 0, OFFSET(data!$A$1, ROW()-1, Q$1-1))</f>
        <v>2761.0950263066502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1044.33811702</v>
      </c>
      <c r="U441">
        <f ca="1">IF(ISNA(U$1), 0, OFFSET(data!$A$1, ROW()-1, U$1-1))</f>
        <v>0</v>
      </c>
      <c r="V441">
        <f ca="1">IF(ISNA(V$1), 0, OFFSET(data!$A$1, ROW()-1, V$1-1))</f>
        <v>271.424321770804</v>
      </c>
      <c r="W441">
        <f ca="1">IF(ISNA(W$1), 0, OFFSET(data!$A$1, ROW()-1, W$1-1))</f>
        <v>1095.33258751584</v>
      </c>
      <c r="X441">
        <f ca="1">IF(ISNA(X$1), 0, OFFSET(data!$A$1, ROW()-1, X$1-1))</f>
        <v>0</v>
      </c>
      <c r="Y441">
        <f ca="1">IF(ISNA(Y$1), 0, OFFSET(data!$A$1, ROW()-1, Y$1-1))</f>
        <v>350</v>
      </c>
      <c r="Z441">
        <f ca="1">IF(ISNA(Z$1), 0, OFFSET(data!$A$1, ROW()-1, Z$1-1))</f>
        <v>0</v>
      </c>
      <c r="AA441" t="str">
        <f ca="1">IF(ISNA(AA$1), #N/A, OFFSET(data!$A$1, ROW()-1, AA$1-1))</f>
        <v>peak</v>
      </c>
      <c r="AB441">
        <f t="shared" ca="1" si="79"/>
        <v>2035</v>
      </c>
      <c r="AC441">
        <f t="shared" ca="1" si="80"/>
        <v>2</v>
      </c>
      <c r="AD441" t="str">
        <f t="shared" ca="1" si="81"/>
        <v>02/06/2035</v>
      </c>
      <c r="AE441" t="str">
        <f t="shared" ca="1" si="82"/>
        <v>02/06/2035</v>
      </c>
      <c r="AF441" s="6">
        <f t="shared" ca="1" si="83"/>
        <v>0</v>
      </c>
      <c r="AG441">
        <f t="shared" ca="1" si="84"/>
        <v>2139.6707045358398</v>
      </c>
      <c r="AH441">
        <f t="shared" ca="1" si="85"/>
        <v>350</v>
      </c>
      <c r="AI441">
        <f t="shared" ca="1" si="86"/>
        <v>271.424321770804</v>
      </c>
      <c r="AJ441">
        <f t="shared" ca="1" si="87"/>
        <v>2655.4861134605358</v>
      </c>
      <c r="AK441">
        <f t="shared" ca="1" si="88"/>
        <v>57.599999999999902</v>
      </c>
      <c r="AL441">
        <f t="shared" ca="1" si="89"/>
        <v>105.97018924115601</v>
      </c>
    </row>
    <row r="442" spans="1:38">
      <c r="A442" t="str">
        <f ca="1">IF(ISNA(A$1), 0, OFFSET(data!$A$1, ROW()-1, A$1-1))</f>
        <v>Oahu</v>
      </c>
      <c r="B442">
        <f ca="1">IF(ISNA(B$1), 0, OFFSET(data!$A$1, ROW()-1, B$1-1))</f>
        <v>2035</v>
      </c>
      <c r="C442" t="str">
        <f ca="1">IF(ISNA(C$1), 0, OFFSET(data!$A$1, ROW()-1, C$1-1))</f>
        <v>2035-02-06-14:00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1405.5873529037001</v>
      </c>
      <c r="L442">
        <f ca="1">IF(ISNA(L$1), 0, OFFSET(data!$A$1, ROW()-1, L$1-1))</f>
        <v>0</v>
      </c>
      <c r="M442">
        <f ca="1">IF(ISNA(M$1), 0, OFFSET(data!$A$1, ROW()-1, M$1-1))</f>
        <v>88.901584815610505</v>
      </c>
      <c r="N442">
        <f ca="1">IF(ISNA(N$1), 0, OFFSET(data!$A$1, ROW()-1, N$1-1))</f>
        <v>1040.8157421281301</v>
      </c>
      <c r="O442">
        <f ca="1">IF(ISNA(O$1), 0, OFFSET(data!$A$1, ROW()-1, O$1-1))</f>
        <v>57.599999999999902</v>
      </c>
      <c r="P442">
        <f ca="1">IF(ISNA(P$1), 0, OFFSET(data!$A$1, ROW()-1, P$1-1))</f>
        <v>19.6761302518556</v>
      </c>
      <c r="Q442">
        <f ca="1">IF(ISNA(Q$1), 0, OFFSET(data!$A$1, ROW()-1, Q$1-1))</f>
        <v>1494.4889377193099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1056.6508315799999</v>
      </c>
      <c r="U442">
        <f ca="1">IF(ISNA(U$1), 0, OFFSET(data!$A$1, ROW()-1, U$1-1))</f>
        <v>0</v>
      </c>
      <c r="V442">
        <f ca="1">IF(ISNA(V$1), 0, OFFSET(data!$A$1, ROW()-1, V$1-1))</f>
        <v>404.83335561331899</v>
      </c>
      <c r="W442">
        <f ca="1">IF(ISNA(W$1), 0, OFFSET(data!$A$1, ROW()-1, W$1-1))</f>
        <v>-316.99524947399999</v>
      </c>
      <c r="X442">
        <f ca="1">IF(ISNA(X$1), 0, OFFSET(data!$A$1, ROW()-1, X$1-1))</f>
        <v>0</v>
      </c>
      <c r="Y442">
        <f ca="1">IF(ISNA(Y$1), 0, OFFSET(data!$A$1, ROW()-1, Y$1-1))</f>
        <v>350</v>
      </c>
      <c r="Z442">
        <f ca="1">IF(ISNA(Z$1), 0, OFFSET(data!$A$1, ROW()-1, Z$1-1))</f>
        <v>0</v>
      </c>
      <c r="AA442" t="str">
        <f ca="1">IF(ISNA(AA$1), #N/A, OFFSET(data!$A$1, ROW()-1, AA$1-1))</f>
        <v>peak</v>
      </c>
      <c r="AB442">
        <f t="shared" ca="1" si="79"/>
        <v>2035</v>
      </c>
      <c r="AC442">
        <f t="shared" ca="1" si="80"/>
        <v>2</v>
      </c>
      <c r="AD442" t="str">
        <f t="shared" ca="1" si="81"/>
        <v>02/06/2035</v>
      </c>
      <c r="AE442" t="str">
        <f t="shared" ca="1" si="82"/>
        <v/>
      </c>
      <c r="AF442" s="6">
        <f t="shared" ca="1" si="83"/>
        <v>0</v>
      </c>
      <c r="AG442">
        <f t="shared" ca="1" si="84"/>
        <v>739.65558210599988</v>
      </c>
      <c r="AH442">
        <f t="shared" ca="1" si="85"/>
        <v>350</v>
      </c>
      <c r="AI442">
        <f t="shared" ca="1" si="86"/>
        <v>404.83335561331899</v>
      </c>
      <c r="AJ442">
        <f t="shared" ca="1" si="87"/>
        <v>2446.4030950318302</v>
      </c>
      <c r="AK442">
        <f t="shared" ca="1" si="88"/>
        <v>57.599999999999902</v>
      </c>
      <c r="AL442">
        <f t="shared" ca="1" si="89"/>
        <v>108.5777150674661</v>
      </c>
    </row>
    <row r="443" spans="1:38">
      <c r="A443" t="str">
        <f ca="1">IF(ISNA(A$1), 0, OFFSET(data!$A$1, ROW()-1, A$1-1))</f>
        <v>Oahu</v>
      </c>
      <c r="B443">
        <f ca="1">IF(ISNA(B$1), 0, OFFSET(data!$A$1, ROW()-1, B$1-1))</f>
        <v>2035</v>
      </c>
      <c r="C443" t="str">
        <f ca="1">IF(ISNA(C$1), 0, OFFSET(data!$A$1, ROW()-1, C$1-1))</f>
        <v>2035-02-06-16:00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2348.2743589510101</v>
      </c>
      <c r="L443">
        <f ca="1">IF(ISNA(L$1), 0, OFFSET(data!$A$1, ROW()-1, L$1-1))</f>
        <v>0</v>
      </c>
      <c r="M443">
        <f ca="1">IF(ISNA(M$1), 0, OFFSET(data!$A$1, ROW()-1, M$1-1))</f>
        <v>83.587108022557402</v>
      </c>
      <c r="N443">
        <f ca="1">IF(ISNA(N$1), 0, OFFSET(data!$A$1, ROW()-1, N$1-1))</f>
        <v>8.0636358674698201</v>
      </c>
      <c r="O443">
        <f ca="1">IF(ISNA(O$1), 0, OFFSET(data!$A$1, ROW()-1, O$1-1))</f>
        <v>57.599999999999902</v>
      </c>
      <c r="P443">
        <f ca="1">IF(ISNA(P$1), 0, OFFSET(data!$A$1, ROW()-1, P$1-1))</f>
        <v>0</v>
      </c>
      <c r="Q443">
        <f ca="1">IF(ISNA(Q$1), 0, OFFSET(data!$A$1, ROW()-1, Q$1-1))</f>
        <v>2431.8614669735698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1049.7677355799999</v>
      </c>
      <c r="U443">
        <f ca="1">IF(ISNA(U$1), 0, OFFSET(data!$A$1, ROW()-1, U$1-1))</f>
        <v>0</v>
      </c>
      <c r="V443">
        <f ca="1">IF(ISNA(V$1), 0, OFFSET(data!$A$1, ROW()-1, V$1-1))</f>
        <v>0</v>
      </c>
      <c r="W443">
        <f ca="1">IF(ISNA(W$1), 0, OFFSET(data!$A$1, ROW()-1, W$1-1))</f>
        <v>1032.0937313935699</v>
      </c>
      <c r="X443">
        <f ca="1">IF(ISNA(X$1), 0, OFFSET(data!$A$1, ROW()-1, X$1-1))</f>
        <v>0</v>
      </c>
      <c r="Y443">
        <f ca="1">IF(ISNA(Y$1), 0, OFFSET(data!$A$1, ROW()-1, Y$1-1))</f>
        <v>350</v>
      </c>
      <c r="Z443">
        <f ca="1">IF(ISNA(Z$1), 0, OFFSET(data!$A$1, ROW()-1, Z$1-1))</f>
        <v>0</v>
      </c>
      <c r="AA443" t="str">
        <f ca="1">IF(ISNA(AA$1), #N/A, OFFSET(data!$A$1, ROW()-1, AA$1-1))</f>
        <v>peak</v>
      </c>
      <c r="AB443">
        <f t="shared" ca="1" si="79"/>
        <v>2035</v>
      </c>
      <c r="AC443">
        <f t="shared" ca="1" si="80"/>
        <v>2</v>
      </c>
      <c r="AD443" t="str">
        <f t="shared" ca="1" si="81"/>
        <v>02/06/2035</v>
      </c>
      <c r="AE443" t="str">
        <f t="shared" ca="1" si="82"/>
        <v/>
      </c>
      <c r="AF443" s="6">
        <f t="shared" ca="1" si="83"/>
        <v>0</v>
      </c>
      <c r="AG443">
        <f t="shared" ca="1" si="84"/>
        <v>2081.8614669735698</v>
      </c>
      <c r="AH443">
        <f t="shared" ca="1" si="85"/>
        <v>350</v>
      </c>
      <c r="AI443">
        <f t="shared" ca="1" si="86"/>
        <v>0</v>
      </c>
      <c r="AJ443">
        <f t="shared" ca="1" si="87"/>
        <v>2356.3379948184797</v>
      </c>
      <c r="AK443">
        <f t="shared" ca="1" si="88"/>
        <v>57.599999999999902</v>
      </c>
      <c r="AL443">
        <f t="shared" ca="1" si="89"/>
        <v>83.587108022557402</v>
      </c>
    </row>
    <row r="444" spans="1:38">
      <c r="A444" t="str">
        <f ca="1">IF(ISNA(A$1), 0, OFFSET(data!$A$1, ROW()-1, A$1-1))</f>
        <v>Oahu</v>
      </c>
      <c r="B444">
        <f ca="1">IF(ISNA(B$1), 0, OFFSET(data!$A$1, ROW()-1, B$1-1))</f>
        <v>2035</v>
      </c>
      <c r="C444" t="str">
        <f ca="1">IF(ISNA(C$1), 0, OFFSET(data!$A$1, ROW()-1, C$1-1))</f>
        <v>2035-02-06-18:00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6.0338113830843803</v>
      </c>
      <c r="L444">
        <f ca="1">IF(ISNA(L$1), 0, OFFSET(data!$A$1, ROW()-1, L$1-1))</f>
        <v>57.599999999999902</v>
      </c>
      <c r="M444">
        <f ca="1">IF(ISNA(M$1), 0, OFFSET(data!$A$1, ROW()-1, M$1-1))</f>
        <v>123.34008108340601</v>
      </c>
      <c r="N444">
        <f ca="1">IF(ISNA(N$1), 0, OFFSET(data!$A$1, ROW()-1, N$1-1))</f>
        <v>-2.7755575615628901E-17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186.97389246649101</v>
      </c>
      <c r="R444">
        <f ca="1">IF(ISNA(R$1), 0, OFFSET(data!$A$1, ROW()-1, R$1-1))</f>
        <v>266.93001130850803</v>
      </c>
      <c r="S444">
        <f ca="1">IF(ISNA(S$1), 0, OFFSET(data!$A$1, ROW()-1, S$1-1))</f>
        <v>350</v>
      </c>
      <c r="T444">
        <f ca="1">IF(ISNA(T$1), 0, OFFSET(data!$A$1, ROW()-1, T$1-1))</f>
        <v>1148.4341482499999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-344.53024447499899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89.786756444444407</v>
      </c>
      <c r="AA444" t="str">
        <f ca="1">IF(ISNA(AA$1), #N/A, OFFSET(data!$A$1, ROW()-1, AA$1-1))</f>
        <v>peak</v>
      </c>
      <c r="AB444">
        <f t="shared" ca="1" si="79"/>
        <v>2035</v>
      </c>
      <c r="AC444">
        <f t="shared" ca="1" si="80"/>
        <v>2</v>
      </c>
      <c r="AD444" t="str">
        <f t="shared" ca="1" si="81"/>
        <v>02/06/2035</v>
      </c>
      <c r="AE444" t="str">
        <f t="shared" ca="1" si="82"/>
        <v/>
      </c>
      <c r="AF444" s="6">
        <f t="shared" ca="1" si="83"/>
        <v>8.9786756444444407E-2</v>
      </c>
      <c r="AG444">
        <f t="shared" ca="1" si="84"/>
        <v>803.90390377500091</v>
      </c>
      <c r="AH444">
        <f t="shared" ca="1" si="85"/>
        <v>350</v>
      </c>
      <c r="AI444">
        <f t="shared" ca="1" si="86"/>
        <v>266.93001130850803</v>
      </c>
      <c r="AJ444">
        <f t="shared" ca="1" si="87"/>
        <v>6.0338113830843803</v>
      </c>
      <c r="AK444">
        <f t="shared" ca="1" si="88"/>
        <v>57.599999999999902</v>
      </c>
      <c r="AL444">
        <f t="shared" ca="1" si="89"/>
        <v>123.34008108340601</v>
      </c>
    </row>
    <row r="445" spans="1:38">
      <c r="A445" t="str">
        <f ca="1">IF(ISNA(A$1), 0, OFFSET(data!$A$1, ROW()-1, A$1-1))</f>
        <v>Oahu</v>
      </c>
      <c r="B445">
        <f ca="1">IF(ISNA(B$1), 0, OFFSET(data!$A$1, ROW()-1, B$1-1))</f>
        <v>2035</v>
      </c>
      <c r="C445" t="str">
        <f ca="1">IF(ISNA(C$1), 0, OFFSET(data!$A$1, ROW()-1, C$1-1))</f>
        <v>2035-02-06-20:00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93.919376654042594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151.51937665404199</v>
      </c>
      <c r="R445">
        <f ca="1">IF(ISNA(R$1), 0, OFFSET(data!$A$1, ROW()-1, R$1-1))</f>
        <v>228.143222618957</v>
      </c>
      <c r="S445">
        <f ca="1">IF(ISNA(S$1), 0, OFFSET(data!$A$1, ROW()-1, S$1-1))</f>
        <v>335</v>
      </c>
      <c r="T445">
        <f ca="1">IF(ISNA(T$1), 0, OFFSET(data!$A$1, ROW()-1, T$1-1))</f>
        <v>1020.94657039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-306.28397111700002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89.786756444444407</v>
      </c>
      <c r="AA445" t="str">
        <f ca="1">IF(ISNA(AA$1), #N/A, OFFSET(data!$A$1, ROW()-1, AA$1-1))</f>
        <v>peak</v>
      </c>
      <c r="AB445">
        <f t="shared" ca="1" si="79"/>
        <v>2035</v>
      </c>
      <c r="AC445">
        <f t="shared" ca="1" si="80"/>
        <v>2</v>
      </c>
      <c r="AD445" t="str">
        <f t="shared" ca="1" si="81"/>
        <v>02/06/2035</v>
      </c>
      <c r="AE445" t="str">
        <f t="shared" ca="1" si="82"/>
        <v/>
      </c>
      <c r="AF445" s="6">
        <f t="shared" ca="1" si="83"/>
        <v>8.9786756444444407E-2</v>
      </c>
      <c r="AG445">
        <f t="shared" ca="1" si="84"/>
        <v>714.66259927300007</v>
      </c>
      <c r="AH445">
        <f t="shared" ca="1" si="85"/>
        <v>335</v>
      </c>
      <c r="AI445">
        <f t="shared" ca="1" si="86"/>
        <v>228.143222618957</v>
      </c>
      <c r="AJ445">
        <f t="shared" ca="1" si="87"/>
        <v>0</v>
      </c>
      <c r="AK445">
        <f t="shared" ca="1" si="88"/>
        <v>57.599999999999902</v>
      </c>
      <c r="AL445">
        <f t="shared" ca="1" si="89"/>
        <v>93.919376654042594</v>
      </c>
    </row>
    <row r="446" spans="1:38">
      <c r="A446" t="str">
        <f ca="1">IF(ISNA(A$1), 0, OFFSET(data!$A$1, ROW()-1, A$1-1))</f>
        <v>Oahu</v>
      </c>
      <c r="B446">
        <f ca="1">IF(ISNA(B$1), 0, OFFSET(data!$A$1, ROW()-1, B$1-1))</f>
        <v>2035</v>
      </c>
      <c r="C446" t="str">
        <f ca="1">IF(ISNA(C$1), 0, OFFSET(data!$A$1, ROW()-1, C$1-1))</f>
        <v>2035-02-06-22:00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111.526598805427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169.12659880542699</v>
      </c>
      <c r="R446">
        <f ca="1">IF(ISNA(R$1), 0, OFFSET(data!$A$1, ROW()-1, R$1-1))</f>
        <v>114.767554693972</v>
      </c>
      <c r="S446">
        <f ca="1">IF(ISNA(S$1), 0, OFFSET(data!$A$1, ROW()-1, S$1-1))</f>
        <v>235</v>
      </c>
      <c r="T446">
        <f ca="1">IF(ISNA(T$1), 0, OFFSET(data!$A$1, ROW()-1, T$1-1))</f>
        <v>741.27736214200002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-222.38320864260001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89.786756444444407</v>
      </c>
      <c r="AA446" t="str">
        <f ca="1">IF(ISNA(AA$1), #N/A, OFFSET(data!$A$1, ROW()-1, AA$1-1))</f>
        <v>peak</v>
      </c>
      <c r="AB446">
        <f t="shared" ca="1" si="79"/>
        <v>2035</v>
      </c>
      <c r="AC446">
        <f t="shared" ca="1" si="80"/>
        <v>2</v>
      </c>
      <c r="AD446" t="str">
        <f t="shared" ca="1" si="81"/>
        <v>02/06/2035</v>
      </c>
      <c r="AE446" t="str">
        <f t="shared" ca="1" si="82"/>
        <v/>
      </c>
      <c r="AF446" s="6">
        <f t="shared" ca="1" si="83"/>
        <v>8.9786756444444407E-2</v>
      </c>
      <c r="AG446">
        <f t="shared" ca="1" si="84"/>
        <v>518.89415349939998</v>
      </c>
      <c r="AH446">
        <f t="shared" ca="1" si="85"/>
        <v>235</v>
      </c>
      <c r="AI446">
        <f t="shared" ca="1" si="86"/>
        <v>114.767554693972</v>
      </c>
      <c r="AJ446">
        <f t="shared" ca="1" si="87"/>
        <v>0</v>
      </c>
      <c r="AK446">
        <f t="shared" ca="1" si="88"/>
        <v>57.599999999999902</v>
      </c>
      <c r="AL446">
        <f t="shared" ca="1" si="89"/>
        <v>111.526598805427</v>
      </c>
    </row>
    <row r="447" spans="1:38">
      <c r="A447" t="str">
        <f ca="1">IF(ISNA(A$1), 0, OFFSET(data!$A$1, ROW()-1, A$1-1))</f>
        <v>Oahu</v>
      </c>
      <c r="B447">
        <f ca="1">IF(ISNA(B$1), 0, OFFSET(data!$A$1, ROW()-1, B$1-1))</f>
        <v>2035</v>
      </c>
      <c r="C447" t="str">
        <f ca="1">IF(ISNA(C$1), 0, OFFSET(data!$A$1, ROW()-1, C$1-1))</f>
        <v>2035-02-25-00:00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1.0248683399598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58.624868339959797</v>
      </c>
      <c r="R447">
        <f ca="1">IF(ISNA(R$1), 0, OFFSET(data!$A$1, ROW()-1, R$1-1))</f>
        <v>179.236201102325</v>
      </c>
      <c r="S447">
        <f ca="1">IF(ISNA(S$1), 0, OFFSET(data!$A$1, ROW()-1, S$1-1))</f>
        <v>88.307099269414394</v>
      </c>
      <c r="T447">
        <f ca="1">IF(ISNA(T$1), 0, OFFSET(data!$A$1, ROW()-1, T$1-1))</f>
        <v>465.95452673099999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-139.7863580193</v>
      </c>
      <c r="X447">
        <f ca="1">IF(ISNA(X$1), 0, OFFSET(data!$A$1, ROW()-1, X$1-1))</f>
        <v>0</v>
      </c>
      <c r="Y447">
        <f ca="1">IF(ISNA(Y$1), 0, OFFSET(data!$A$1, ROW()-1, Y$1-1))</f>
        <v>0</v>
      </c>
      <c r="Z447">
        <f ca="1">IF(ISNA(Z$1), 0, OFFSET(data!$A$1, ROW()-1, Z$1-1))</f>
        <v>89.786756444444407</v>
      </c>
      <c r="AA447" t="str">
        <f ca="1">IF(ISNA(AA$1), #N/A, OFFSET(data!$A$1, ROW()-1, AA$1-1))</f>
        <v>typical</v>
      </c>
      <c r="AB447">
        <f t="shared" ca="1" si="79"/>
        <v>2035</v>
      </c>
      <c r="AC447">
        <f t="shared" ca="1" si="80"/>
        <v>2</v>
      </c>
      <c r="AD447" t="str">
        <f t="shared" ca="1" si="81"/>
        <v>02/25/2035</v>
      </c>
      <c r="AE447" t="str">
        <f t="shared" ca="1" si="82"/>
        <v/>
      </c>
      <c r="AF447" s="6">
        <f t="shared" ca="1" si="83"/>
        <v>8.9786756444444407E-2</v>
      </c>
      <c r="AG447">
        <f t="shared" ca="1" si="84"/>
        <v>326.16816871169999</v>
      </c>
      <c r="AH447">
        <f t="shared" ca="1" si="85"/>
        <v>88.307099269414394</v>
      </c>
      <c r="AI447">
        <f t="shared" ca="1" si="86"/>
        <v>179.236201102325</v>
      </c>
      <c r="AJ447">
        <f t="shared" ca="1" si="87"/>
        <v>0</v>
      </c>
      <c r="AK447">
        <f t="shared" ca="1" si="88"/>
        <v>57.599999999999902</v>
      </c>
      <c r="AL447">
        <f t="shared" ca="1" si="89"/>
        <v>1.0248683399598</v>
      </c>
    </row>
    <row r="448" spans="1:38">
      <c r="A448" t="str">
        <f ca="1">IF(ISNA(A$1), 0, OFFSET(data!$A$1, ROW()-1, A$1-1))</f>
        <v>Oahu</v>
      </c>
      <c r="B448">
        <f ca="1">IF(ISNA(B$1), 0, OFFSET(data!$A$1, ROW()-1, B$1-1))</f>
        <v>2035</v>
      </c>
      <c r="C448" t="str">
        <f ca="1">IF(ISNA(C$1), 0, OFFSET(data!$A$1, ROW()-1, C$1-1))</f>
        <v>2035-02-25-02:00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5.8443284914689402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63.444328491468902</v>
      </c>
      <c r="R448">
        <f ca="1">IF(ISNA(R$1), 0, OFFSET(data!$A$1, ROW()-1, R$1-1))</f>
        <v>223.046132619231</v>
      </c>
      <c r="S448">
        <f ca="1">IF(ISNA(S$1), 0, OFFSET(data!$A$1, ROW()-1, S$1-1))</f>
        <v>0</v>
      </c>
      <c r="T448">
        <f ca="1">IF(ISNA(T$1), 0, OFFSET(data!$A$1, ROW()-1, T$1-1))</f>
        <v>409.272087301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-122.78162619029899</v>
      </c>
      <c r="X448">
        <f ca="1">IF(ISNA(X$1), 0, OFFSET(data!$A$1, ROW()-1, X$1-1))</f>
        <v>0</v>
      </c>
      <c r="Y448">
        <f ca="1">IF(ISNA(Y$1), 0, OFFSET(data!$A$1, ROW()-1, Y$1-1))</f>
        <v>0</v>
      </c>
      <c r="Z448">
        <f ca="1">IF(ISNA(Z$1), 0, OFFSET(data!$A$1, ROW()-1, Z$1-1))</f>
        <v>89.786756444444407</v>
      </c>
      <c r="AA448" t="str">
        <f ca="1">IF(ISNA(AA$1), #N/A, OFFSET(data!$A$1, ROW()-1, AA$1-1))</f>
        <v>typical</v>
      </c>
      <c r="AB448">
        <f t="shared" ca="1" si="79"/>
        <v>2035</v>
      </c>
      <c r="AC448">
        <f t="shared" ca="1" si="80"/>
        <v>2</v>
      </c>
      <c r="AD448" t="str">
        <f t="shared" ca="1" si="81"/>
        <v>02/25/2035</v>
      </c>
      <c r="AE448" t="str">
        <f t="shared" ca="1" si="82"/>
        <v/>
      </c>
      <c r="AF448" s="6">
        <f t="shared" ca="1" si="83"/>
        <v>8.9786756444444407E-2</v>
      </c>
      <c r="AG448">
        <f t="shared" ca="1" si="84"/>
        <v>286.49046111070101</v>
      </c>
      <c r="AH448">
        <f t="shared" ca="1" si="85"/>
        <v>0</v>
      </c>
      <c r="AI448">
        <f t="shared" ca="1" si="86"/>
        <v>223.046132619231</v>
      </c>
      <c r="AJ448">
        <f t="shared" ca="1" si="87"/>
        <v>0</v>
      </c>
      <c r="AK448">
        <f t="shared" ca="1" si="88"/>
        <v>57.599999999999902</v>
      </c>
      <c r="AL448">
        <f t="shared" ca="1" si="89"/>
        <v>5.8443284914689402</v>
      </c>
    </row>
    <row r="449" spans="1:38">
      <c r="A449" t="str">
        <f ca="1">IF(ISNA(A$1), 0, OFFSET(data!$A$1, ROW()-1, A$1-1))</f>
        <v>Oahu</v>
      </c>
      <c r="B449">
        <f ca="1">IF(ISNA(B$1), 0, OFFSET(data!$A$1, ROW()-1, B$1-1))</f>
        <v>2035</v>
      </c>
      <c r="C449" t="str">
        <f ca="1">IF(ISNA(C$1), 0, OFFSET(data!$A$1, ROW()-1, C$1-1))</f>
        <v>2035-02-25-04:00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0.27629510447834199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57.876295104478302</v>
      </c>
      <c r="R449">
        <f ca="1">IF(ISNA(R$1), 0, OFFSET(data!$A$1, ROW()-1, R$1-1))</f>
        <v>0</v>
      </c>
      <c r="S449">
        <f ca="1">IF(ISNA(S$1), 0, OFFSET(data!$A$1, ROW()-1, S$1-1))</f>
        <v>311.981557165021</v>
      </c>
      <c r="T449">
        <f ca="1">IF(ISNA(T$1), 0, OFFSET(data!$A$1, ROW()-1, T$1-1))</f>
        <v>528.36836038499996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-158.51050811549999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89.786756444444407</v>
      </c>
      <c r="AA449" t="str">
        <f ca="1">IF(ISNA(AA$1), #N/A, OFFSET(data!$A$1, ROW()-1, AA$1-1))</f>
        <v>typical</v>
      </c>
      <c r="AB449">
        <f t="shared" ca="1" si="79"/>
        <v>2035</v>
      </c>
      <c r="AC449">
        <f t="shared" ca="1" si="80"/>
        <v>2</v>
      </c>
      <c r="AD449" t="str">
        <f t="shared" ca="1" si="81"/>
        <v>02/25/2035</v>
      </c>
      <c r="AE449" t="str">
        <f t="shared" ca="1" si="82"/>
        <v/>
      </c>
      <c r="AF449" s="6">
        <f t="shared" ca="1" si="83"/>
        <v>8.9786756444444407E-2</v>
      </c>
      <c r="AG449">
        <f t="shared" ca="1" si="84"/>
        <v>369.85785226949997</v>
      </c>
      <c r="AH449">
        <f t="shared" ca="1" si="85"/>
        <v>311.981557165021</v>
      </c>
      <c r="AI449">
        <f t="shared" ca="1" si="86"/>
        <v>0</v>
      </c>
      <c r="AJ449">
        <f t="shared" ca="1" si="87"/>
        <v>0</v>
      </c>
      <c r="AK449">
        <f t="shared" ca="1" si="88"/>
        <v>57.599999999999902</v>
      </c>
      <c r="AL449">
        <f t="shared" ca="1" si="89"/>
        <v>0.27629510447834199</v>
      </c>
    </row>
    <row r="450" spans="1:38">
      <c r="A450" t="str">
        <f ca="1">IF(ISNA(A$1), 0, OFFSET(data!$A$1, ROW()-1, A$1-1))</f>
        <v>Oahu</v>
      </c>
      <c r="B450">
        <f ca="1">IF(ISNA(B$1), 0, OFFSET(data!$A$1, ROW()-1, B$1-1))</f>
        <v>2035</v>
      </c>
      <c r="C450" t="str">
        <f ca="1">IF(ISNA(C$1), 0, OFFSET(data!$A$1, ROW()-1, C$1-1))</f>
        <v>2035-02-25-06:00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1.37797679197429</v>
      </c>
      <c r="L450">
        <f ca="1">IF(ISNA(L$1), 0, OFFSET(data!$A$1, ROW()-1, L$1-1))</f>
        <v>57.599999999999902</v>
      </c>
      <c r="M450">
        <f ca="1">IF(ISNA(M$1), 0, OFFSET(data!$A$1, ROW()-1, M$1-1))</f>
        <v>6.5890433220897302</v>
      </c>
      <c r="N450">
        <f ca="1">IF(ISNA(N$1), 0, OFFSET(data!$A$1, ROW()-1, N$1-1))</f>
        <v>-3.46944695195361E-18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65.567020114063993</v>
      </c>
      <c r="R450">
        <f ca="1">IF(ISNA(R$1), 0, OFFSET(data!$A$1, ROW()-1, R$1-1))</f>
        <v>174.102077509835</v>
      </c>
      <c r="S450">
        <f ca="1">IF(ISNA(S$1), 0, OFFSET(data!$A$1, ROW()-1, S$1-1))</f>
        <v>350</v>
      </c>
      <c r="T450">
        <f ca="1">IF(ISNA(T$1), 0, OFFSET(data!$A$1, ROW()-1, T$1-1))</f>
        <v>842.38442517700003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-252.7153275531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89.786756444444407</v>
      </c>
      <c r="AA450" t="str">
        <f ca="1">IF(ISNA(AA$1), #N/A, OFFSET(data!$A$1, ROW()-1, AA$1-1))</f>
        <v>typical</v>
      </c>
      <c r="AB450">
        <f t="shared" ca="1" si="79"/>
        <v>2035</v>
      </c>
      <c r="AC450">
        <f t="shared" ca="1" si="80"/>
        <v>2</v>
      </c>
      <c r="AD450" t="str">
        <f t="shared" ca="1" si="81"/>
        <v>02/25/2035</v>
      </c>
      <c r="AE450" t="str">
        <f t="shared" ca="1" si="82"/>
        <v/>
      </c>
      <c r="AF450" s="6">
        <f t="shared" ca="1" si="83"/>
        <v>8.9786756444444407E-2</v>
      </c>
      <c r="AG450">
        <f t="shared" ca="1" si="84"/>
        <v>589.66909762390003</v>
      </c>
      <c r="AH450">
        <f t="shared" ca="1" si="85"/>
        <v>350</v>
      </c>
      <c r="AI450">
        <f t="shared" ca="1" si="86"/>
        <v>174.102077509835</v>
      </c>
      <c r="AJ450">
        <f t="shared" ca="1" si="87"/>
        <v>1.37797679197429</v>
      </c>
      <c r="AK450">
        <f t="shared" ca="1" si="88"/>
        <v>57.599999999999902</v>
      </c>
      <c r="AL450">
        <f t="shared" ca="1" si="89"/>
        <v>6.5890433220897302</v>
      </c>
    </row>
    <row r="451" spans="1:38">
      <c r="A451" t="str">
        <f ca="1">IF(ISNA(A$1), 0, OFFSET(data!$A$1, ROW()-1, A$1-1))</f>
        <v>Oahu</v>
      </c>
      <c r="B451">
        <f ca="1">IF(ISNA(B$1), 0, OFFSET(data!$A$1, ROW()-1, B$1-1))</f>
        <v>2035</v>
      </c>
      <c r="C451" t="str">
        <f ca="1">IF(ISNA(C$1), 0, OFFSET(data!$A$1, ROW()-1, C$1-1))</f>
        <v>2035-02-25-08:00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1433.2707189130999</v>
      </c>
      <c r="L451">
        <f ca="1">IF(ISNA(L$1), 0, OFFSET(data!$A$1, ROW()-1, L$1-1))</f>
        <v>0</v>
      </c>
      <c r="M451">
        <f ca="1">IF(ISNA(M$1), 0, OFFSET(data!$A$1, ROW()-1, M$1-1))</f>
        <v>1.61525047781813</v>
      </c>
      <c r="N451">
        <f ca="1">IF(ISNA(N$1), 0, OFFSET(data!$A$1, ROW()-1, N$1-1))</f>
        <v>618.42532760809604</v>
      </c>
      <c r="O451">
        <f ca="1">IF(ISNA(O$1), 0, OFFSET(data!$A$1, ROW()-1, O$1-1))</f>
        <v>57.599999999999902</v>
      </c>
      <c r="P451">
        <f ca="1">IF(ISNA(P$1), 0, OFFSET(data!$A$1, ROW()-1, P$1-1))</f>
        <v>2.7336827059868298</v>
      </c>
      <c r="Q451">
        <f ca="1">IF(ISNA(Q$1), 0, OFFSET(data!$A$1, ROW()-1, Q$1-1))</f>
        <v>1434.8859693909101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971.50373396800001</v>
      </c>
      <c r="U451">
        <f ca="1">IF(ISNA(U$1), 0, OFFSET(data!$A$1, ROW()-1, U$1-1))</f>
        <v>0</v>
      </c>
      <c r="V451">
        <f ca="1">IF(ISNA(V$1), 0, OFFSET(data!$A$1, ROW()-1, V$1-1))</f>
        <v>404.83335561331899</v>
      </c>
      <c r="W451">
        <f ca="1">IF(ISNA(W$1), 0, OFFSET(data!$A$1, ROW()-1, W$1-1))</f>
        <v>-291.45112019039999</v>
      </c>
      <c r="X451">
        <f ca="1">IF(ISNA(X$1), 0, OFFSET(data!$A$1, ROW()-1, X$1-1))</f>
        <v>0</v>
      </c>
      <c r="Y451">
        <f ca="1">IF(ISNA(Y$1), 0, OFFSET(data!$A$1, ROW()-1, Y$1-1))</f>
        <v>350</v>
      </c>
      <c r="Z451">
        <f ca="1">IF(ISNA(Z$1), 0, OFFSET(data!$A$1, ROW()-1, Z$1-1))</f>
        <v>0</v>
      </c>
      <c r="AA451" t="str">
        <f ca="1">IF(ISNA(AA$1), #N/A, OFFSET(data!$A$1, ROW()-1, AA$1-1))</f>
        <v>typical</v>
      </c>
      <c r="AB451">
        <f t="shared" ca="1" si="79"/>
        <v>2035</v>
      </c>
      <c r="AC451">
        <f t="shared" ca="1" si="80"/>
        <v>2</v>
      </c>
      <c r="AD451" t="str">
        <f t="shared" ca="1" si="81"/>
        <v>02/25/2035</v>
      </c>
      <c r="AE451" t="str">
        <f t="shared" ca="1" si="82"/>
        <v/>
      </c>
      <c r="AF451" s="6">
        <f t="shared" ca="1" si="83"/>
        <v>0</v>
      </c>
      <c r="AG451">
        <f t="shared" ca="1" si="84"/>
        <v>680.05261377760007</v>
      </c>
      <c r="AH451">
        <f t="shared" ca="1" si="85"/>
        <v>350</v>
      </c>
      <c r="AI451">
        <f t="shared" ca="1" si="86"/>
        <v>404.83335561331899</v>
      </c>
      <c r="AJ451">
        <f t="shared" ca="1" si="87"/>
        <v>2051.696046521196</v>
      </c>
      <c r="AK451">
        <f t="shared" ca="1" si="88"/>
        <v>57.599999999999902</v>
      </c>
      <c r="AL451">
        <f t="shared" ca="1" si="89"/>
        <v>4.3489331838049594</v>
      </c>
    </row>
    <row r="452" spans="1:38">
      <c r="A452" t="str">
        <f ca="1">IF(ISNA(A$1), 0, OFFSET(data!$A$1, ROW()-1, A$1-1))</f>
        <v>Oahu</v>
      </c>
      <c r="B452">
        <f ca="1">IF(ISNA(B$1), 0, OFFSET(data!$A$1, ROW()-1, B$1-1))</f>
        <v>2035</v>
      </c>
      <c r="C452" t="str">
        <f ca="1">IF(ISNA(C$1), 0, OFFSET(data!$A$1, ROW()-1, C$1-1))</f>
        <v>2035-02-25-10:00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2211.9397950907301</v>
      </c>
      <c r="L452">
        <f ca="1">IF(ISNA(L$1), 0, OFFSET(data!$A$1, ROW()-1, L$1-1))</f>
        <v>0</v>
      </c>
      <c r="M452">
        <f ca="1">IF(ISNA(M$1), 0, OFFSET(data!$A$1, ROW()-1, M$1-1))</f>
        <v>7.4903051656930799</v>
      </c>
      <c r="N452">
        <f ca="1">IF(ISNA(N$1), 0, OFFSET(data!$A$1, ROW()-1, N$1-1))</f>
        <v>403.62080993509397</v>
      </c>
      <c r="O452">
        <f ca="1">IF(ISNA(O$1), 0, OFFSET(data!$A$1, ROW()-1, O$1-1))</f>
        <v>57.599999999999902</v>
      </c>
      <c r="P452">
        <f ca="1">IF(ISNA(P$1), 0, OFFSET(data!$A$1, ROW()-1, P$1-1))</f>
        <v>0.27806077590616202</v>
      </c>
      <c r="Q452">
        <f ca="1">IF(ISNA(Q$1), 0, OFFSET(data!$A$1, ROW()-1, Q$1-1))</f>
        <v>2219.4301002564198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1013.96756899</v>
      </c>
      <c r="U452">
        <f ca="1">IF(ISNA(U$1), 0, OFFSET(data!$A$1, ROW()-1, U$1-1))</f>
        <v>0</v>
      </c>
      <c r="V452">
        <f ca="1">IF(ISNA(V$1), 0, OFFSET(data!$A$1, ROW()-1, V$1-1))</f>
        <v>404.83335561331899</v>
      </c>
      <c r="W452">
        <f ca="1">IF(ISNA(W$1), 0, OFFSET(data!$A$1, ROW()-1, W$1-1))</f>
        <v>450.62917565310698</v>
      </c>
      <c r="X452">
        <f ca="1">IF(ISNA(X$1), 0, OFFSET(data!$A$1, ROW()-1, X$1-1))</f>
        <v>0</v>
      </c>
      <c r="Y452">
        <f ca="1">IF(ISNA(Y$1), 0, OFFSET(data!$A$1, ROW()-1, Y$1-1))</f>
        <v>350</v>
      </c>
      <c r="Z452">
        <f ca="1">IF(ISNA(Z$1), 0, OFFSET(data!$A$1, ROW()-1, Z$1-1))</f>
        <v>0</v>
      </c>
      <c r="AA452" t="str">
        <f ca="1">IF(ISNA(AA$1), #N/A, OFFSET(data!$A$1, ROW()-1, AA$1-1))</f>
        <v>typical</v>
      </c>
      <c r="AB452">
        <f t="shared" ca="1" si="79"/>
        <v>2035</v>
      </c>
      <c r="AC452">
        <f t="shared" ca="1" si="80"/>
        <v>2</v>
      </c>
      <c r="AD452" t="str">
        <f t="shared" ca="1" si="81"/>
        <v>02/25/2035</v>
      </c>
      <c r="AE452" t="str">
        <f t="shared" ca="1" si="82"/>
        <v/>
      </c>
      <c r="AF452" s="6">
        <f t="shared" ca="1" si="83"/>
        <v>0</v>
      </c>
      <c r="AG452">
        <f t="shared" ca="1" si="84"/>
        <v>1464.5967446431071</v>
      </c>
      <c r="AH452">
        <f t="shared" ca="1" si="85"/>
        <v>350</v>
      </c>
      <c r="AI452">
        <f t="shared" ca="1" si="86"/>
        <v>404.83335561331899</v>
      </c>
      <c r="AJ452">
        <f t="shared" ca="1" si="87"/>
        <v>2615.5606050258239</v>
      </c>
      <c r="AK452">
        <f t="shared" ca="1" si="88"/>
        <v>57.599999999999902</v>
      </c>
      <c r="AL452">
        <f t="shared" ca="1" si="89"/>
        <v>7.7683659415992423</v>
      </c>
    </row>
    <row r="453" spans="1:38">
      <c r="A453" t="str">
        <f ca="1">IF(ISNA(A$1), 0, OFFSET(data!$A$1, ROW()-1, A$1-1))</f>
        <v>Oahu</v>
      </c>
      <c r="B453">
        <f ca="1">IF(ISNA(B$1), 0, OFFSET(data!$A$1, ROW()-1, B$1-1))</f>
        <v>2035</v>
      </c>
      <c r="C453" t="str">
        <f ca="1">IF(ISNA(C$1), 0, OFFSET(data!$A$1, ROW()-1, C$1-1))</f>
        <v>2035-02-25-12:00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2360.1358431888698</v>
      </c>
      <c r="L453">
        <f ca="1">IF(ISNA(L$1), 0, OFFSET(data!$A$1, ROW()-1, L$1-1))</f>
        <v>0</v>
      </c>
      <c r="M453">
        <f ca="1">IF(ISNA(M$1), 0, OFFSET(data!$A$1, ROW()-1, M$1-1))</f>
        <v>14.049897932788801</v>
      </c>
      <c r="N453">
        <f ca="1">IF(ISNA(N$1), 0, OFFSET(data!$A$1, ROW()-1, N$1-1))</f>
        <v>400.40232609626298</v>
      </c>
      <c r="O453">
        <f ca="1">IF(ISNA(O$1), 0, OFFSET(data!$A$1, ROW()-1, O$1-1))</f>
        <v>57.599999999999902</v>
      </c>
      <c r="P453">
        <f ca="1">IF(ISNA(P$1), 0, OFFSET(data!$A$1, ROW()-1, P$1-1))</f>
        <v>0.59770931296038199</v>
      </c>
      <c r="Q453">
        <f ca="1">IF(ISNA(Q$1), 0, OFFSET(data!$A$1, ROW()-1, Q$1-1))</f>
        <v>2374.1857411216502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1028.4877816799999</v>
      </c>
      <c r="U453">
        <f ca="1">IF(ISNA(U$1), 0, OFFSET(data!$A$1, ROW()-1, U$1-1))</f>
        <v>0</v>
      </c>
      <c r="V453">
        <f ca="1">IF(ISNA(V$1), 0, OFFSET(data!$A$1, ROW()-1, V$1-1))</f>
        <v>404.83335561331899</v>
      </c>
      <c r="W453">
        <f ca="1">IF(ISNA(W$1), 0, OFFSET(data!$A$1, ROW()-1, W$1-1))</f>
        <v>590.86460382834196</v>
      </c>
      <c r="X453">
        <f ca="1">IF(ISNA(X$1), 0, OFFSET(data!$A$1, ROW()-1, X$1-1))</f>
        <v>0</v>
      </c>
      <c r="Y453">
        <f ca="1">IF(ISNA(Y$1), 0, OFFSET(data!$A$1, ROW()-1, Y$1-1))</f>
        <v>350</v>
      </c>
      <c r="Z453">
        <f ca="1">IF(ISNA(Z$1), 0, OFFSET(data!$A$1, ROW()-1, Z$1-1))</f>
        <v>0</v>
      </c>
      <c r="AA453" t="str">
        <f ca="1">IF(ISNA(AA$1), #N/A, OFFSET(data!$A$1, ROW()-1, AA$1-1))</f>
        <v>typical</v>
      </c>
      <c r="AB453">
        <f t="shared" ca="1" si="79"/>
        <v>2035</v>
      </c>
      <c r="AC453">
        <f t="shared" ca="1" si="80"/>
        <v>2</v>
      </c>
      <c r="AD453" t="str">
        <f t="shared" ca="1" si="81"/>
        <v>02/25/2035</v>
      </c>
      <c r="AE453" t="str">
        <f t="shared" ca="1" si="82"/>
        <v>02/25/2035</v>
      </c>
      <c r="AF453" s="6">
        <f t="shared" ca="1" si="83"/>
        <v>0</v>
      </c>
      <c r="AG453">
        <f t="shared" ca="1" si="84"/>
        <v>1619.3523855083417</v>
      </c>
      <c r="AH453">
        <f t="shared" ca="1" si="85"/>
        <v>350</v>
      </c>
      <c r="AI453">
        <f t="shared" ca="1" si="86"/>
        <v>404.83335561331899</v>
      </c>
      <c r="AJ453">
        <f t="shared" ca="1" si="87"/>
        <v>2760.5381692851329</v>
      </c>
      <c r="AK453">
        <f t="shared" ca="1" si="88"/>
        <v>57.599999999999902</v>
      </c>
      <c r="AL453">
        <f t="shared" ca="1" si="89"/>
        <v>14.647607245749182</v>
      </c>
    </row>
    <row r="454" spans="1:38">
      <c r="A454" t="str">
        <f ca="1">IF(ISNA(A$1), 0, OFFSET(data!$A$1, ROW()-1, A$1-1))</f>
        <v>Oahu</v>
      </c>
      <c r="B454">
        <f ca="1">IF(ISNA(B$1), 0, OFFSET(data!$A$1, ROW()-1, B$1-1))</f>
        <v>2035</v>
      </c>
      <c r="C454" t="str">
        <f ca="1">IF(ISNA(C$1), 0, OFFSET(data!$A$1, ROW()-1, C$1-1))</f>
        <v>2035-02-25-14:00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2627.57438812904</v>
      </c>
      <c r="L454">
        <f ca="1">IF(ISNA(L$1), 0, OFFSET(data!$A$1, ROW()-1, L$1-1))</f>
        <v>0</v>
      </c>
      <c r="M454">
        <f ca="1">IF(ISNA(M$1), 0, OFFSET(data!$A$1, ROW()-1, M$1-1))</f>
        <v>9.10651702724385</v>
      </c>
      <c r="N454">
        <f ca="1">IF(ISNA(N$1), 0, OFFSET(data!$A$1, ROW()-1, N$1-1))</f>
        <v>273.90037745696702</v>
      </c>
      <c r="O454">
        <f ca="1">IF(ISNA(O$1), 0, OFFSET(data!$A$1, ROW()-1, O$1-1))</f>
        <v>57.599999999999902</v>
      </c>
      <c r="P454">
        <f ca="1">IF(ISNA(P$1), 0, OFFSET(data!$A$1, ROW()-1, P$1-1))</f>
        <v>3.0640378549215601</v>
      </c>
      <c r="Q454">
        <f ca="1">IF(ISNA(Q$1), 0, OFFSET(data!$A$1, ROW()-1, Q$1-1))</f>
        <v>2636.68090515629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1028.3507022199999</v>
      </c>
      <c r="U454">
        <f ca="1">IF(ISNA(U$1), 0, OFFSET(data!$A$1, ROW()-1, U$1-1))</f>
        <v>0</v>
      </c>
      <c r="V454">
        <f ca="1">IF(ISNA(V$1), 0, OFFSET(data!$A$1, ROW()-1, V$1-1))</f>
        <v>387.55219419289102</v>
      </c>
      <c r="W454">
        <f ca="1">IF(ISNA(W$1), 0, OFFSET(data!$A$1, ROW()-1, W$1-1))</f>
        <v>870.77800874340005</v>
      </c>
      <c r="X454">
        <f ca="1">IF(ISNA(X$1), 0, OFFSET(data!$A$1, ROW()-1, X$1-1))</f>
        <v>0</v>
      </c>
      <c r="Y454">
        <f ca="1">IF(ISNA(Y$1), 0, OFFSET(data!$A$1, ROW()-1, Y$1-1))</f>
        <v>350</v>
      </c>
      <c r="Z454">
        <f ca="1">IF(ISNA(Z$1), 0, OFFSET(data!$A$1, ROW()-1, Z$1-1))</f>
        <v>0</v>
      </c>
      <c r="AA454" t="str">
        <f ca="1">IF(ISNA(AA$1), #N/A, OFFSET(data!$A$1, ROW()-1, AA$1-1))</f>
        <v>typical</v>
      </c>
      <c r="AB454">
        <f t="shared" ca="1" si="79"/>
        <v>2035</v>
      </c>
      <c r="AC454">
        <f t="shared" ca="1" si="80"/>
        <v>2</v>
      </c>
      <c r="AD454" t="str">
        <f t="shared" ca="1" si="81"/>
        <v>02/25/2035</v>
      </c>
      <c r="AE454" t="str">
        <f t="shared" ca="1" si="82"/>
        <v/>
      </c>
      <c r="AF454" s="6">
        <f t="shared" ca="1" si="83"/>
        <v>0</v>
      </c>
      <c r="AG454">
        <f t="shared" ca="1" si="84"/>
        <v>1899.1287109634</v>
      </c>
      <c r="AH454">
        <f t="shared" ca="1" si="85"/>
        <v>350</v>
      </c>
      <c r="AI454">
        <f t="shared" ca="1" si="86"/>
        <v>387.55219419289102</v>
      </c>
      <c r="AJ454">
        <f t="shared" ca="1" si="87"/>
        <v>2901.4747655860069</v>
      </c>
      <c r="AK454">
        <f t="shared" ca="1" si="88"/>
        <v>57.599999999999902</v>
      </c>
      <c r="AL454">
        <f t="shared" ca="1" si="89"/>
        <v>12.17055488216541</v>
      </c>
    </row>
    <row r="455" spans="1:38">
      <c r="A455" t="str">
        <f ca="1">IF(ISNA(A$1), 0, OFFSET(data!$A$1, ROW()-1, A$1-1))</f>
        <v>Oahu</v>
      </c>
      <c r="B455">
        <f ca="1">IF(ISNA(B$1), 0, OFFSET(data!$A$1, ROW()-1, B$1-1))</f>
        <v>2035</v>
      </c>
      <c r="C455" t="str">
        <f ca="1">IF(ISNA(C$1), 0, OFFSET(data!$A$1, ROW()-1, C$1-1))</f>
        <v>2035-02-25-16:00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1633.3697038530199</v>
      </c>
      <c r="L455">
        <f ca="1">IF(ISNA(L$1), 0, OFFSET(data!$A$1, ROW()-1, L$1-1))</f>
        <v>0</v>
      </c>
      <c r="M455">
        <f ca="1">IF(ISNA(M$1), 0, OFFSET(data!$A$1, ROW()-1, M$1-1))</f>
        <v>1.5806608406404501</v>
      </c>
      <c r="N455">
        <f ca="1">IF(ISNA(N$1), 0, OFFSET(data!$A$1, ROW()-1, N$1-1))</f>
        <v>1143.8468430590899</v>
      </c>
      <c r="O455">
        <f ca="1">IF(ISNA(O$1), 0, OFFSET(data!$A$1, ROW()-1, O$1-1))</f>
        <v>57.599999999999902</v>
      </c>
      <c r="P455">
        <f ca="1">IF(ISNA(P$1), 0, OFFSET(data!$A$1, ROW()-1, P$1-1))</f>
        <v>0.66579257896417299</v>
      </c>
      <c r="Q455">
        <f ca="1">IF(ISNA(Q$1), 0, OFFSET(data!$A$1, ROW()-1, Q$1-1))</f>
        <v>1634.9503646936701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1019.49326034</v>
      </c>
      <c r="U455">
        <f ca="1">IF(ISNA(U$1), 0, OFFSET(data!$A$1, ROW()-1, U$1-1))</f>
        <v>0</v>
      </c>
      <c r="V455">
        <f ca="1">IF(ISNA(V$1), 0, OFFSET(data!$A$1, ROW()-1, V$1-1))</f>
        <v>404.83335561331899</v>
      </c>
      <c r="W455">
        <f ca="1">IF(ISNA(W$1), 0, OFFSET(data!$A$1, ROW()-1, W$1-1))</f>
        <v>-139.37625125964999</v>
      </c>
      <c r="X455">
        <f ca="1">IF(ISNA(X$1), 0, OFFSET(data!$A$1, ROW()-1, X$1-1))</f>
        <v>0</v>
      </c>
      <c r="Y455">
        <f ca="1">IF(ISNA(Y$1), 0, OFFSET(data!$A$1, ROW()-1, Y$1-1))</f>
        <v>350</v>
      </c>
      <c r="Z455">
        <f ca="1">IF(ISNA(Z$1), 0, OFFSET(data!$A$1, ROW()-1, Z$1-1))</f>
        <v>0</v>
      </c>
      <c r="AA455" t="str">
        <f ca="1">IF(ISNA(AA$1), #N/A, OFFSET(data!$A$1, ROW()-1, AA$1-1))</f>
        <v>typical</v>
      </c>
      <c r="AB455">
        <f t="shared" ca="1" si="79"/>
        <v>2035</v>
      </c>
      <c r="AC455">
        <f t="shared" ca="1" si="80"/>
        <v>2</v>
      </c>
      <c r="AD455" t="str">
        <f t="shared" ca="1" si="81"/>
        <v>02/25/2035</v>
      </c>
      <c r="AE455" t="str">
        <f t="shared" ca="1" si="82"/>
        <v/>
      </c>
      <c r="AF455" s="6">
        <f t="shared" ca="1" si="83"/>
        <v>0</v>
      </c>
      <c r="AG455">
        <f t="shared" ca="1" si="84"/>
        <v>880.11700908035004</v>
      </c>
      <c r="AH455">
        <f t="shared" ca="1" si="85"/>
        <v>350</v>
      </c>
      <c r="AI455">
        <f t="shared" ca="1" si="86"/>
        <v>404.83335561331899</v>
      </c>
      <c r="AJ455">
        <f t="shared" ca="1" si="87"/>
        <v>2777.2165469121101</v>
      </c>
      <c r="AK455">
        <f t="shared" ca="1" si="88"/>
        <v>57.599999999999902</v>
      </c>
      <c r="AL455">
        <f t="shared" ca="1" si="89"/>
        <v>2.2464534196046229</v>
      </c>
    </row>
    <row r="456" spans="1:38">
      <c r="A456" t="str">
        <f ca="1">IF(ISNA(A$1), 0, OFFSET(data!$A$1, ROW()-1, A$1-1))</f>
        <v>Oahu</v>
      </c>
      <c r="B456">
        <f ca="1">IF(ISNA(B$1), 0, OFFSET(data!$A$1, ROW()-1, B$1-1))</f>
        <v>2035</v>
      </c>
      <c r="C456" t="str">
        <f ca="1">IF(ISNA(C$1), 0, OFFSET(data!$A$1, ROW()-1, C$1-1))</f>
        <v>2035-02-25-18:00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53.550812854818098</v>
      </c>
      <c r="L456">
        <f ca="1">IF(ISNA(L$1), 0, OFFSET(data!$A$1, ROW()-1, L$1-1))</f>
        <v>57.599999999999902</v>
      </c>
      <c r="M456">
        <f ca="1">IF(ISNA(M$1), 0, OFFSET(data!$A$1, ROW()-1, M$1-1))</f>
        <v>1.5297939612987199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112.680606816116</v>
      </c>
      <c r="R456">
        <f ca="1">IF(ISNA(R$1), 0, OFFSET(data!$A$1, ROW()-1, R$1-1))</f>
        <v>404.83335561331899</v>
      </c>
      <c r="S456">
        <f ca="1">IF(ISNA(S$1), 0, OFFSET(data!$A$1, ROW()-1, S$1-1))</f>
        <v>247.211343565563</v>
      </c>
      <c r="T456">
        <f ca="1">IF(ISNA(T$1), 0, OFFSET(data!$A$1, ROW()-1, T$1-1))</f>
        <v>1092.46472285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-327.739416855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89.786756444444407</v>
      </c>
      <c r="AA456" t="str">
        <f ca="1">IF(ISNA(AA$1), #N/A, OFFSET(data!$A$1, ROW()-1, AA$1-1))</f>
        <v>typical</v>
      </c>
      <c r="AB456">
        <f t="shared" ca="1" si="79"/>
        <v>2035</v>
      </c>
      <c r="AC456">
        <f t="shared" ca="1" si="80"/>
        <v>2</v>
      </c>
      <c r="AD456" t="str">
        <f t="shared" ca="1" si="81"/>
        <v>02/25/2035</v>
      </c>
      <c r="AE456" t="str">
        <f t="shared" ca="1" si="82"/>
        <v/>
      </c>
      <c r="AF456" s="6">
        <f t="shared" ca="1" si="83"/>
        <v>8.9786756444444407E-2</v>
      </c>
      <c r="AG456">
        <f t="shared" ca="1" si="84"/>
        <v>764.7253059950001</v>
      </c>
      <c r="AH456">
        <f t="shared" ca="1" si="85"/>
        <v>247.211343565563</v>
      </c>
      <c r="AI456">
        <f t="shared" ca="1" si="86"/>
        <v>404.83335561331899</v>
      </c>
      <c r="AJ456">
        <f t="shared" ca="1" si="87"/>
        <v>53.550812854818098</v>
      </c>
      <c r="AK456">
        <f t="shared" ca="1" si="88"/>
        <v>57.599999999999902</v>
      </c>
      <c r="AL456">
        <f t="shared" ca="1" si="89"/>
        <v>1.5297939612987199</v>
      </c>
    </row>
    <row r="457" spans="1:38">
      <c r="A457" t="str">
        <f ca="1">IF(ISNA(A$1), 0, OFFSET(data!$A$1, ROW()-1, A$1-1))</f>
        <v>Oahu</v>
      </c>
      <c r="B457">
        <f ca="1">IF(ISNA(B$1), 0, OFFSET(data!$A$1, ROW()-1, B$1-1))</f>
        <v>2035</v>
      </c>
      <c r="C457" t="str">
        <f ca="1">IF(ISNA(C$1), 0, OFFSET(data!$A$1, ROW()-1, C$1-1))</f>
        <v>2035-02-25-20:00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8.0874456696204504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65.687445669620402</v>
      </c>
      <c r="R457">
        <f ca="1">IF(ISNA(R$1), 0, OFFSET(data!$A$1, ROW()-1, R$1-1))</f>
        <v>276.24425968137899</v>
      </c>
      <c r="S457">
        <f ca="1">IF(ISNA(S$1), 0, OFFSET(data!$A$1, ROW()-1, S$1-1))</f>
        <v>320</v>
      </c>
      <c r="T457">
        <f ca="1">IF(ISNA(T$1), 0, OFFSET(data!$A$1, ROW()-1, T$1-1))</f>
        <v>945.61672193000004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-283.68501657899998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89.786756444444407</v>
      </c>
      <c r="AA457" t="str">
        <f ca="1">IF(ISNA(AA$1), #N/A, OFFSET(data!$A$1, ROW()-1, AA$1-1))</f>
        <v>typical</v>
      </c>
      <c r="AB457">
        <f t="shared" ca="1" si="79"/>
        <v>2035</v>
      </c>
      <c r="AC457">
        <f t="shared" ca="1" si="80"/>
        <v>2</v>
      </c>
      <c r="AD457" t="str">
        <f t="shared" ca="1" si="81"/>
        <v>02/25/2035</v>
      </c>
      <c r="AE457" t="str">
        <f t="shared" ca="1" si="82"/>
        <v/>
      </c>
      <c r="AF457" s="6">
        <f t="shared" ca="1" si="83"/>
        <v>8.9786756444444407E-2</v>
      </c>
      <c r="AG457">
        <f t="shared" ca="1" si="84"/>
        <v>661.93170535100012</v>
      </c>
      <c r="AH457">
        <f t="shared" ca="1" si="85"/>
        <v>320</v>
      </c>
      <c r="AI457">
        <f t="shared" ca="1" si="86"/>
        <v>276.24425968137899</v>
      </c>
      <c r="AJ457">
        <f t="shared" ca="1" si="87"/>
        <v>0</v>
      </c>
      <c r="AK457">
        <f t="shared" ca="1" si="88"/>
        <v>57.599999999999902</v>
      </c>
      <c r="AL457">
        <f t="shared" ca="1" si="89"/>
        <v>8.0874456696204504</v>
      </c>
    </row>
    <row r="458" spans="1:38">
      <c r="A458" t="str">
        <f ca="1">IF(ISNA(A$1), 0, OFFSET(data!$A$1, ROW()-1, A$1-1))</f>
        <v>Oahu</v>
      </c>
      <c r="B458">
        <f ca="1">IF(ISNA(B$1), 0, OFFSET(data!$A$1, ROW()-1, B$1-1))</f>
        <v>2035</v>
      </c>
      <c r="C458" t="str">
        <f ca="1">IF(ISNA(C$1), 0, OFFSET(data!$A$1, ROW()-1, C$1-1))</f>
        <v>2035-02-25-22:00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2.5588621208651499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60.158862120865102</v>
      </c>
      <c r="R458">
        <f ca="1">IF(ISNA(R$1), 0, OFFSET(data!$A$1, ROW()-1, R$1-1))</f>
        <v>247.70218595853399</v>
      </c>
      <c r="S458">
        <f ca="1">IF(ISNA(S$1), 0, OFFSET(data!$A$1, ROW()-1, S$1-1))</f>
        <v>150</v>
      </c>
      <c r="T458">
        <f ca="1">IF(ISNA(T$1), 0, OFFSET(data!$A$1, ROW()-1, T$1-1))</f>
        <v>654.08721154199998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-196.2261634626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89.786756444444407</v>
      </c>
      <c r="AA458" t="str">
        <f ca="1">IF(ISNA(AA$1), #N/A, OFFSET(data!$A$1, ROW()-1, AA$1-1))</f>
        <v>typical</v>
      </c>
      <c r="AB458">
        <f t="shared" ca="1" si="79"/>
        <v>2035</v>
      </c>
      <c r="AC458">
        <f t="shared" ca="1" si="80"/>
        <v>2</v>
      </c>
      <c r="AD458" t="str">
        <f t="shared" ca="1" si="81"/>
        <v>02/25/2035</v>
      </c>
      <c r="AE458" t="str">
        <f t="shared" ca="1" si="82"/>
        <v/>
      </c>
      <c r="AF458" s="6">
        <f t="shared" ca="1" si="83"/>
        <v>8.9786756444444407E-2</v>
      </c>
      <c r="AG458">
        <f t="shared" ca="1" si="84"/>
        <v>457.86104807940001</v>
      </c>
      <c r="AH458">
        <f t="shared" ca="1" si="85"/>
        <v>150</v>
      </c>
      <c r="AI458">
        <f t="shared" ca="1" si="86"/>
        <v>247.70218595853399</v>
      </c>
      <c r="AJ458">
        <f t="shared" ca="1" si="87"/>
        <v>0</v>
      </c>
      <c r="AK458">
        <f t="shared" ca="1" si="88"/>
        <v>57.599999999999902</v>
      </c>
      <c r="AL458">
        <f t="shared" ca="1" si="89"/>
        <v>2.5588621208651499</v>
      </c>
    </row>
    <row r="459" spans="1:38">
      <c r="A459" t="str">
        <f ca="1">IF(ISNA(A$1), 0, OFFSET(data!$A$1, ROW()-1, A$1-1))</f>
        <v>Oahu</v>
      </c>
      <c r="B459">
        <f ca="1">IF(ISNA(B$1), 0, OFFSET(data!$A$1, ROW()-1, B$1-1))</f>
        <v>2035</v>
      </c>
      <c r="C459" t="str">
        <f ca="1">IF(ISNA(C$1), 0, OFFSET(data!$A$1, ROW()-1, C$1-1))</f>
        <v>2035-04-05-00:00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24.835108702174999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82.435108702175</v>
      </c>
      <c r="R459">
        <f ca="1">IF(ISNA(R$1), 0, OFFSET(data!$A$1, ROW()-1, R$1-1))</f>
        <v>0</v>
      </c>
      <c r="S459">
        <f ca="1">IF(ISNA(S$1), 0, OFFSET(data!$A$1, ROW()-1, S$1-1))</f>
        <v>237.85914666772399</v>
      </c>
      <c r="T459">
        <f ca="1">IF(ISNA(T$1), 0, OFFSET(data!$A$1, ROW()-1, T$1-1))</f>
        <v>457.563221957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-137.26896658709899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13.6718112973739</v>
      </c>
      <c r="AA459" t="str">
        <f ca="1">IF(ISNA(AA$1), #N/A, OFFSET(data!$A$1, ROW()-1, AA$1-1))</f>
        <v>typical</v>
      </c>
      <c r="AB459">
        <f t="shared" ca="1" si="79"/>
        <v>2035</v>
      </c>
      <c r="AC459">
        <f t="shared" ca="1" si="80"/>
        <v>4</v>
      </c>
      <c r="AD459" t="str">
        <f t="shared" ca="1" si="81"/>
        <v>04/05/2035</v>
      </c>
      <c r="AE459" t="str">
        <f t="shared" ca="1" si="82"/>
        <v/>
      </c>
      <c r="AF459" s="6">
        <f t="shared" ca="1" si="83"/>
        <v>1.3671811297373899E-2</v>
      </c>
      <c r="AG459">
        <f t="shared" ca="1" si="84"/>
        <v>320.29425536990101</v>
      </c>
      <c r="AH459">
        <f t="shared" ca="1" si="85"/>
        <v>237.85914666772399</v>
      </c>
      <c r="AI459">
        <f t="shared" ca="1" si="86"/>
        <v>0</v>
      </c>
      <c r="AJ459">
        <f t="shared" ca="1" si="87"/>
        <v>0</v>
      </c>
      <c r="AK459">
        <f t="shared" ca="1" si="88"/>
        <v>57.599999999999902</v>
      </c>
      <c r="AL459">
        <f t="shared" ca="1" si="89"/>
        <v>24.835108702174999</v>
      </c>
    </row>
    <row r="460" spans="1:38">
      <c r="A460" t="str">
        <f ca="1">IF(ISNA(A$1), 0, OFFSET(data!$A$1, ROW()-1, A$1-1))</f>
        <v>Oahu</v>
      </c>
      <c r="B460">
        <f ca="1">IF(ISNA(B$1), 0, OFFSET(data!$A$1, ROW()-1, B$1-1))</f>
        <v>2035</v>
      </c>
      <c r="C460" t="str">
        <f ca="1">IF(ISNA(C$1), 0, OFFSET(data!$A$1, ROW()-1, C$1-1))</f>
        <v>2035-04-05-02:00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50.711998900025499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108.311998900025</v>
      </c>
      <c r="R460">
        <f ca="1">IF(ISNA(R$1), 0, OFFSET(data!$A$1, ROW()-1, R$1-1))</f>
        <v>0</v>
      </c>
      <c r="S460">
        <f ca="1">IF(ISNA(S$1), 0, OFFSET(data!$A$1, ROW()-1, S$1-1))</f>
        <v>157.13026297217399</v>
      </c>
      <c r="T460">
        <f ca="1">IF(ISNA(T$1), 0, OFFSET(data!$A$1, ROW()-1, T$1-1))</f>
        <v>379.20323124599997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-113.76096937379999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13.6718112973739</v>
      </c>
      <c r="AA460" t="str">
        <f ca="1">IF(ISNA(AA$1), #N/A, OFFSET(data!$A$1, ROW()-1, AA$1-1))</f>
        <v>typical</v>
      </c>
      <c r="AB460">
        <f t="shared" ca="1" si="79"/>
        <v>2035</v>
      </c>
      <c r="AC460">
        <f t="shared" ca="1" si="80"/>
        <v>4</v>
      </c>
      <c r="AD460" t="str">
        <f t="shared" ca="1" si="81"/>
        <v>04/05/2035</v>
      </c>
      <c r="AE460" t="str">
        <f t="shared" ca="1" si="82"/>
        <v/>
      </c>
      <c r="AF460" s="6">
        <f t="shared" ca="1" si="83"/>
        <v>1.3671811297373899E-2</v>
      </c>
      <c r="AG460">
        <f t="shared" ca="1" si="84"/>
        <v>265.44226187219999</v>
      </c>
      <c r="AH460">
        <f t="shared" ca="1" si="85"/>
        <v>157.13026297217399</v>
      </c>
      <c r="AI460">
        <f t="shared" ca="1" si="86"/>
        <v>0</v>
      </c>
      <c r="AJ460">
        <f t="shared" ca="1" si="87"/>
        <v>0</v>
      </c>
      <c r="AK460">
        <f t="shared" ca="1" si="88"/>
        <v>57.599999999999902</v>
      </c>
      <c r="AL460">
        <f t="shared" ca="1" si="89"/>
        <v>50.711998900025499</v>
      </c>
    </row>
    <row r="461" spans="1:38">
      <c r="A461" t="str">
        <f ca="1">IF(ISNA(A$1), 0, OFFSET(data!$A$1, ROW()-1, A$1-1))</f>
        <v>Oahu</v>
      </c>
      <c r="B461">
        <f ca="1">IF(ISNA(B$1), 0, OFFSET(data!$A$1, ROW()-1, B$1-1))</f>
        <v>2035</v>
      </c>
      <c r="C461" t="str">
        <f ca="1">IF(ISNA(C$1), 0, OFFSET(data!$A$1, ROW()-1, C$1-1))</f>
        <v>2035-04-05-04:00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77.351011559719893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134.95101155971901</v>
      </c>
      <c r="R461">
        <f ca="1">IF(ISNA(R$1), 0, OFFSET(data!$A$1, ROW()-1, R$1-1))</f>
        <v>0</v>
      </c>
      <c r="S461">
        <f ca="1">IF(ISNA(S$1), 0, OFFSET(data!$A$1, ROW()-1, S$1-1))</f>
        <v>150.09015648127999</v>
      </c>
      <c r="T461">
        <f ca="1">IF(ISNA(T$1), 0, OFFSET(data!$A$1, ROW()-1, T$1-1))</f>
        <v>407.20166862999997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-122.160500588999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13.6718112973739</v>
      </c>
      <c r="AA461" t="str">
        <f ca="1">IF(ISNA(AA$1), #N/A, OFFSET(data!$A$1, ROW()-1, AA$1-1))</f>
        <v>typical</v>
      </c>
      <c r="AB461">
        <f t="shared" ca="1" si="79"/>
        <v>2035</v>
      </c>
      <c r="AC461">
        <f t="shared" ca="1" si="80"/>
        <v>4</v>
      </c>
      <c r="AD461" t="str">
        <f t="shared" ca="1" si="81"/>
        <v>04/05/2035</v>
      </c>
      <c r="AE461" t="str">
        <f t="shared" ca="1" si="82"/>
        <v/>
      </c>
      <c r="AF461" s="6">
        <f t="shared" ca="1" si="83"/>
        <v>1.3671811297373899E-2</v>
      </c>
      <c r="AG461">
        <f t="shared" ca="1" si="84"/>
        <v>285.04116804100096</v>
      </c>
      <c r="AH461">
        <f t="shared" ca="1" si="85"/>
        <v>150.09015648127999</v>
      </c>
      <c r="AI461">
        <f t="shared" ca="1" si="86"/>
        <v>0</v>
      </c>
      <c r="AJ461">
        <f t="shared" ca="1" si="87"/>
        <v>0</v>
      </c>
      <c r="AK461">
        <f t="shared" ca="1" si="88"/>
        <v>57.599999999999902</v>
      </c>
      <c r="AL461">
        <f t="shared" ca="1" si="89"/>
        <v>77.351011559719893</v>
      </c>
    </row>
    <row r="462" spans="1:38">
      <c r="A462" t="str">
        <f ca="1">IF(ISNA(A$1), 0, OFFSET(data!$A$1, ROW()-1, A$1-1))</f>
        <v>Oahu</v>
      </c>
      <c r="B462">
        <f ca="1">IF(ISNA(B$1), 0, OFFSET(data!$A$1, ROW()-1, B$1-1))</f>
        <v>2035</v>
      </c>
      <c r="C462" t="str">
        <f ca="1">IF(ISNA(C$1), 0, OFFSET(data!$A$1, ROW()-1, C$1-1))</f>
        <v>2035-04-05-06:00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97.796045960297803</v>
      </c>
      <c r="L462">
        <f ca="1">IF(ISNA(L$1), 0, OFFSET(data!$A$1, ROW()-1, L$1-1))</f>
        <v>57.599999999999902</v>
      </c>
      <c r="M462">
        <f ca="1">IF(ISNA(M$1), 0, OFFSET(data!$A$1, ROW()-1, M$1-1))</f>
        <v>101.582354211104</v>
      </c>
      <c r="N462">
        <f ca="1">IF(ISNA(N$1), 0, OFFSET(data!$A$1, ROW()-1, N$1-1))</f>
        <v>2.2204460492503101E-16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256.97840017140101</v>
      </c>
      <c r="R462">
        <f ca="1">IF(ISNA(R$1), 0, OFFSET(data!$A$1, ROW()-1, R$1-1))</f>
        <v>0</v>
      </c>
      <c r="S462">
        <f ca="1">IF(ISNA(S$1), 0, OFFSET(data!$A$1, ROW()-1, S$1-1))</f>
        <v>147.61427363209799</v>
      </c>
      <c r="T462">
        <f ca="1">IF(ISNA(T$1), 0, OFFSET(data!$A$1, ROW()-1, T$1-1))</f>
        <v>577.989534005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-173.3968602015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13.6718112973739</v>
      </c>
      <c r="AA462" t="str">
        <f ca="1">IF(ISNA(AA$1), #N/A, OFFSET(data!$A$1, ROW()-1, AA$1-1))</f>
        <v>typical</v>
      </c>
      <c r="AB462">
        <f t="shared" ca="1" si="79"/>
        <v>2035</v>
      </c>
      <c r="AC462">
        <f t="shared" ca="1" si="80"/>
        <v>4</v>
      </c>
      <c r="AD462" t="str">
        <f t="shared" ca="1" si="81"/>
        <v>04/05/2035</v>
      </c>
      <c r="AE462" t="str">
        <f t="shared" ca="1" si="82"/>
        <v/>
      </c>
      <c r="AF462" s="6">
        <f t="shared" ca="1" si="83"/>
        <v>1.3671811297373899E-2</v>
      </c>
      <c r="AG462">
        <f t="shared" ca="1" si="84"/>
        <v>404.59267380350002</v>
      </c>
      <c r="AH462">
        <f t="shared" ca="1" si="85"/>
        <v>147.61427363209799</v>
      </c>
      <c r="AI462">
        <f t="shared" ca="1" si="86"/>
        <v>0</v>
      </c>
      <c r="AJ462">
        <f t="shared" ca="1" si="87"/>
        <v>97.796045960297803</v>
      </c>
      <c r="AK462">
        <f t="shared" ca="1" si="88"/>
        <v>57.599999999999902</v>
      </c>
      <c r="AL462">
        <f t="shared" ca="1" si="89"/>
        <v>101.582354211104</v>
      </c>
    </row>
    <row r="463" spans="1:38">
      <c r="A463" t="str">
        <f ca="1">IF(ISNA(A$1), 0, OFFSET(data!$A$1, ROW()-1, A$1-1))</f>
        <v>Oahu</v>
      </c>
      <c r="B463">
        <f ca="1">IF(ISNA(B$1), 0, OFFSET(data!$A$1, ROW()-1, B$1-1))</f>
        <v>2035</v>
      </c>
      <c r="C463" t="str">
        <f ca="1">IF(ISNA(C$1), 0, OFFSET(data!$A$1, ROW()-1, C$1-1))</f>
        <v>2035-04-05-08:00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852.95452246609204</v>
      </c>
      <c r="L463">
        <f ca="1">IF(ISNA(L$1), 0, OFFSET(data!$A$1, ROW()-1, L$1-1))</f>
        <v>0</v>
      </c>
      <c r="M463">
        <f ca="1">IF(ISNA(M$1), 0, OFFSET(data!$A$1, ROW()-1, M$1-1))</f>
        <v>63.324484689307397</v>
      </c>
      <c r="N463">
        <f ca="1">IF(ISNA(N$1), 0, OFFSET(data!$A$1, ROW()-1, N$1-1))</f>
        <v>1683.7006148497301</v>
      </c>
      <c r="O463">
        <f ca="1">IF(ISNA(O$1), 0, OFFSET(data!$A$1, ROW()-1, O$1-1))</f>
        <v>57.599999999999902</v>
      </c>
      <c r="P463">
        <f ca="1">IF(ISNA(P$1), 0, OFFSET(data!$A$1, ROW()-1, P$1-1))</f>
        <v>36.704693660675296</v>
      </c>
      <c r="Q463">
        <f ca="1">IF(ISNA(Q$1), 0, OFFSET(data!$A$1, ROW()-1, Q$1-1))</f>
        <v>916.2790071554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808.97001022200004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-242.69100306659999</v>
      </c>
      <c r="X463">
        <f ca="1">IF(ISNA(X$1), 0, OFFSET(data!$A$1, ROW()-1, X$1-1))</f>
        <v>0</v>
      </c>
      <c r="Y463">
        <f ca="1">IF(ISNA(Y$1), 0, OFFSET(data!$A$1, ROW()-1, Y$1-1))</f>
        <v>350</v>
      </c>
      <c r="Z463">
        <f ca="1">IF(ISNA(Z$1), 0, OFFSET(data!$A$1, ROW()-1, Z$1-1))</f>
        <v>0</v>
      </c>
      <c r="AA463" t="str">
        <f ca="1">IF(ISNA(AA$1), #N/A, OFFSET(data!$A$1, ROW()-1, AA$1-1))</f>
        <v>typical</v>
      </c>
      <c r="AB463">
        <f t="shared" ca="1" si="79"/>
        <v>2035</v>
      </c>
      <c r="AC463">
        <f t="shared" ca="1" si="80"/>
        <v>4</v>
      </c>
      <c r="AD463" t="str">
        <f t="shared" ca="1" si="81"/>
        <v>04/05/2035</v>
      </c>
      <c r="AE463" t="str">
        <f t="shared" ca="1" si="82"/>
        <v/>
      </c>
      <c r="AF463" s="6">
        <f t="shared" ca="1" si="83"/>
        <v>0</v>
      </c>
      <c r="AG463">
        <f t="shared" ca="1" si="84"/>
        <v>566.2790071554</v>
      </c>
      <c r="AH463">
        <f t="shared" ca="1" si="85"/>
        <v>350</v>
      </c>
      <c r="AI463">
        <f t="shared" ca="1" si="86"/>
        <v>0</v>
      </c>
      <c r="AJ463">
        <f t="shared" ca="1" si="87"/>
        <v>2536.6551373158222</v>
      </c>
      <c r="AK463">
        <f t="shared" ca="1" si="88"/>
        <v>57.599999999999902</v>
      </c>
      <c r="AL463">
        <f t="shared" ca="1" si="89"/>
        <v>100.02917834998269</v>
      </c>
    </row>
    <row r="464" spans="1:38">
      <c r="A464" t="str">
        <f ca="1">IF(ISNA(A$1), 0, OFFSET(data!$A$1, ROW()-1, A$1-1))</f>
        <v>Oahu</v>
      </c>
      <c r="B464">
        <f ca="1">IF(ISNA(B$1), 0, OFFSET(data!$A$1, ROW()-1, B$1-1))</f>
        <v>2035</v>
      </c>
      <c r="C464" t="str">
        <f ca="1">IF(ISNA(C$1), 0, OFFSET(data!$A$1, ROW()-1, C$1-1))</f>
        <v>2035-04-05-10:00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910.25903782483897</v>
      </c>
      <c r="L464">
        <f ca="1">IF(ISNA(L$1), 0, OFFSET(data!$A$1, ROW()-1, L$1-1))</f>
        <v>0</v>
      </c>
      <c r="M464">
        <f ca="1">IF(ISNA(M$1), 0, OFFSET(data!$A$1, ROW()-1, M$1-1))</f>
        <v>49.364083777060699</v>
      </c>
      <c r="N464">
        <f ca="1">IF(ISNA(N$1), 0, OFFSET(data!$A$1, ROW()-1, N$1-1))</f>
        <v>2259.5523302401498</v>
      </c>
      <c r="O464">
        <f ca="1">IF(ISNA(O$1), 0, OFFSET(data!$A$1, ROW()-1, O$1-1))</f>
        <v>57.599999999999902</v>
      </c>
      <c r="P464">
        <f ca="1">IF(ISNA(P$1), 0, OFFSET(data!$A$1, ROW()-1, P$1-1))</f>
        <v>55.132724493208997</v>
      </c>
      <c r="Q464">
        <f ca="1">IF(ISNA(Q$1), 0, OFFSET(data!$A$1, ROW()-1, Q$1-1))</f>
        <v>959.62312160190004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870.89017371700004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-261.2670521151</v>
      </c>
      <c r="X464">
        <f ca="1">IF(ISNA(X$1), 0, OFFSET(data!$A$1, ROW()-1, X$1-1))</f>
        <v>0</v>
      </c>
      <c r="Y464">
        <f ca="1">IF(ISNA(Y$1), 0, OFFSET(data!$A$1, ROW()-1, Y$1-1))</f>
        <v>350</v>
      </c>
      <c r="Z464">
        <f ca="1">IF(ISNA(Z$1), 0, OFFSET(data!$A$1, ROW()-1, Z$1-1))</f>
        <v>0</v>
      </c>
      <c r="AA464" t="str">
        <f ca="1">IF(ISNA(AA$1), #N/A, OFFSET(data!$A$1, ROW()-1, AA$1-1))</f>
        <v>typical</v>
      </c>
      <c r="AB464">
        <f t="shared" ca="1" si="79"/>
        <v>2035</v>
      </c>
      <c r="AC464">
        <f t="shared" ca="1" si="80"/>
        <v>4</v>
      </c>
      <c r="AD464" t="str">
        <f t="shared" ca="1" si="81"/>
        <v>04/05/2035</v>
      </c>
      <c r="AE464" t="str">
        <f t="shared" ca="1" si="82"/>
        <v/>
      </c>
      <c r="AF464" s="6">
        <f t="shared" ca="1" si="83"/>
        <v>0</v>
      </c>
      <c r="AG464">
        <f t="shared" ca="1" si="84"/>
        <v>609.62312160190004</v>
      </c>
      <c r="AH464">
        <f t="shared" ca="1" si="85"/>
        <v>350</v>
      </c>
      <c r="AI464">
        <f t="shared" ca="1" si="86"/>
        <v>0</v>
      </c>
      <c r="AJ464">
        <f t="shared" ca="1" si="87"/>
        <v>3169.8113680649885</v>
      </c>
      <c r="AK464">
        <f t="shared" ca="1" si="88"/>
        <v>57.599999999999902</v>
      </c>
      <c r="AL464">
        <f t="shared" ca="1" si="89"/>
        <v>104.4968082702697</v>
      </c>
    </row>
    <row r="465" spans="1:38">
      <c r="A465" t="str">
        <f ca="1">IF(ISNA(A$1), 0, OFFSET(data!$A$1, ROW()-1, A$1-1))</f>
        <v>Oahu</v>
      </c>
      <c r="B465">
        <f ca="1">IF(ISNA(B$1), 0, OFFSET(data!$A$1, ROW()-1, B$1-1))</f>
        <v>2035</v>
      </c>
      <c r="C465" t="str">
        <f ca="1">IF(ISNA(C$1), 0, OFFSET(data!$A$1, ROW()-1, C$1-1))</f>
        <v>2035-04-05-12:00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2249.5512783612098</v>
      </c>
      <c r="L465">
        <f ca="1">IF(ISNA(L$1), 0, OFFSET(data!$A$1, ROW()-1, L$1-1))</f>
        <v>0</v>
      </c>
      <c r="M465">
        <f ca="1">IF(ISNA(M$1), 0, OFFSET(data!$A$1, ROW()-1, M$1-1))</f>
        <v>96.6368993418115</v>
      </c>
      <c r="N465">
        <f ca="1">IF(ISNA(N$1), 0, OFFSET(data!$A$1, ROW()-1, N$1-1))</f>
        <v>1050.88766824958</v>
      </c>
      <c r="O465">
        <f ca="1">IF(ISNA(O$1), 0, OFFSET(data!$A$1, ROW()-1, O$1-1))</f>
        <v>57.599999999999902</v>
      </c>
      <c r="P465">
        <f ca="1">IF(ISNA(P$1), 0, OFFSET(data!$A$1, ROW()-1, P$1-1))</f>
        <v>0</v>
      </c>
      <c r="Q465">
        <f ca="1">IF(ISNA(Q$1), 0, OFFSET(data!$A$1, ROW()-1, Q$1-1))</f>
        <v>2346.1881777030299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874.15346820499997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1122.03470949802</v>
      </c>
      <c r="X465">
        <f ca="1">IF(ISNA(X$1), 0, OFFSET(data!$A$1, ROW()-1, X$1-1))</f>
        <v>0</v>
      </c>
      <c r="Y465">
        <f ca="1">IF(ISNA(Y$1), 0, OFFSET(data!$A$1, ROW()-1, Y$1-1))</f>
        <v>350</v>
      </c>
      <c r="Z465">
        <f ca="1">IF(ISNA(Z$1), 0, OFFSET(data!$A$1, ROW()-1, Z$1-1))</f>
        <v>0</v>
      </c>
      <c r="AA465" t="str">
        <f ca="1">IF(ISNA(AA$1), #N/A, OFFSET(data!$A$1, ROW()-1, AA$1-1))</f>
        <v>typical</v>
      </c>
      <c r="AB465">
        <f t="shared" ca="1" si="79"/>
        <v>2035</v>
      </c>
      <c r="AC465">
        <f t="shared" ca="1" si="80"/>
        <v>4</v>
      </c>
      <c r="AD465" t="str">
        <f t="shared" ca="1" si="81"/>
        <v>04/05/2035</v>
      </c>
      <c r="AE465" t="str">
        <f t="shared" ca="1" si="82"/>
        <v>04/05/2035</v>
      </c>
      <c r="AF465" s="6">
        <f t="shared" ca="1" si="83"/>
        <v>0</v>
      </c>
      <c r="AG465">
        <f t="shared" ca="1" si="84"/>
        <v>1996.1881777030198</v>
      </c>
      <c r="AH465">
        <f t="shared" ca="1" si="85"/>
        <v>350</v>
      </c>
      <c r="AI465">
        <f t="shared" ca="1" si="86"/>
        <v>0</v>
      </c>
      <c r="AJ465">
        <f t="shared" ca="1" si="87"/>
        <v>3300.4389466107896</v>
      </c>
      <c r="AK465">
        <f t="shared" ca="1" si="88"/>
        <v>57.599999999999902</v>
      </c>
      <c r="AL465">
        <f t="shared" ca="1" si="89"/>
        <v>96.6368993418115</v>
      </c>
    </row>
    <row r="466" spans="1:38">
      <c r="A466" t="str">
        <f ca="1">IF(ISNA(A$1), 0, OFFSET(data!$A$1, ROW()-1, A$1-1))</f>
        <v>Oahu</v>
      </c>
      <c r="B466">
        <f ca="1">IF(ISNA(B$1), 0, OFFSET(data!$A$1, ROW()-1, B$1-1))</f>
        <v>2035</v>
      </c>
      <c r="C466" t="str">
        <f ca="1">IF(ISNA(C$1), 0, OFFSET(data!$A$1, ROW()-1, C$1-1))</f>
        <v>2035-04-05-14:00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960.01853550779595</v>
      </c>
      <c r="L466">
        <f ca="1">IF(ISNA(L$1), 0, OFFSET(data!$A$1, ROW()-1, L$1-1))</f>
        <v>0</v>
      </c>
      <c r="M466">
        <f ca="1">IF(ISNA(M$1), 0, OFFSET(data!$A$1, ROW()-1, M$1-1))</f>
        <v>37.328662560360499</v>
      </c>
      <c r="N466">
        <f ca="1">IF(ISNA(N$1), 0, OFFSET(data!$A$1, ROW()-1, N$1-1))</f>
        <v>2227.1727076602601</v>
      </c>
      <c r="O466">
        <f ca="1">IF(ISNA(O$1), 0, OFFSET(data!$A$1, ROW()-1, O$1-1))</f>
        <v>57.599999999999902</v>
      </c>
      <c r="P466">
        <f ca="1">IF(ISNA(P$1), 0, OFFSET(data!$A$1, ROW()-1, P$1-1))</f>
        <v>53.796625229098701</v>
      </c>
      <c r="Q466">
        <f ca="1">IF(ISNA(Q$1), 0, OFFSET(data!$A$1, ROW()-1, Q$1-1))</f>
        <v>997.34719806815701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847.40272168499996</v>
      </c>
      <c r="U466">
        <f ca="1">IF(ISNA(U$1), 0, OFFSET(data!$A$1, ROW()-1, U$1-1))</f>
        <v>0</v>
      </c>
      <c r="V466">
        <f ca="1">IF(ISNA(V$1), 0, OFFSET(data!$A$1, ROW()-1, V$1-1))</f>
        <v>54.165292888657603</v>
      </c>
      <c r="W466">
        <f ca="1">IF(ISNA(W$1), 0, OFFSET(data!$A$1, ROW()-1, W$1-1))</f>
        <v>-254.22081650549899</v>
      </c>
      <c r="X466">
        <f ca="1">IF(ISNA(X$1), 0, OFFSET(data!$A$1, ROW()-1, X$1-1))</f>
        <v>0</v>
      </c>
      <c r="Y466">
        <f ca="1">IF(ISNA(Y$1), 0, OFFSET(data!$A$1, ROW()-1, Y$1-1))</f>
        <v>350</v>
      </c>
      <c r="Z466">
        <f ca="1">IF(ISNA(Z$1), 0, OFFSET(data!$A$1, ROW()-1, Z$1-1))</f>
        <v>0</v>
      </c>
      <c r="AA466" t="str">
        <f ca="1">IF(ISNA(AA$1), #N/A, OFFSET(data!$A$1, ROW()-1, AA$1-1))</f>
        <v>typical</v>
      </c>
      <c r="AB466">
        <f t="shared" ca="1" si="79"/>
        <v>2035</v>
      </c>
      <c r="AC466">
        <f t="shared" ca="1" si="80"/>
        <v>4</v>
      </c>
      <c r="AD466" t="str">
        <f t="shared" ca="1" si="81"/>
        <v>04/05/2035</v>
      </c>
      <c r="AE466" t="str">
        <f t="shared" ca="1" si="82"/>
        <v/>
      </c>
      <c r="AF466" s="6">
        <f t="shared" ca="1" si="83"/>
        <v>0</v>
      </c>
      <c r="AG466">
        <f t="shared" ca="1" si="84"/>
        <v>593.18190517950097</v>
      </c>
      <c r="AH466">
        <f t="shared" ca="1" si="85"/>
        <v>350</v>
      </c>
      <c r="AI466">
        <f t="shared" ca="1" si="86"/>
        <v>54.165292888657603</v>
      </c>
      <c r="AJ466">
        <f t="shared" ca="1" si="87"/>
        <v>3187.1912431680562</v>
      </c>
      <c r="AK466">
        <f t="shared" ca="1" si="88"/>
        <v>57.599999999999902</v>
      </c>
      <c r="AL466">
        <f t="shared" ca="1" si="89"/>
        <v>91.125287789459207</v>
      </c>
    </row>
    <row r="467" spans="1:38">
      <c r="A467" t="str">
        <f ca="1">IF(ISNA(A$1), 0, OFFSET(data!$A$1, ROW()-1, A$1-1))</f>
        <v>Oahu</v>
      </c>
      <c r="B467">
        <f ca="1">IF(ISNA(B$1), 0, OFFSET(data!$A$1, ROW()-1, B$1-1))</f>
        <v>2035</v>
      </c>
      <c r="C467" t="str">
        <f ca="1">IF(ISNA(C$1), 0, OFFSET(data!$A$1, ROW()-1, C$1-1))</f>
        <v>2035-04-05-16:00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2062.59258945087</v>
      </c>
      <c r="L467">
        <f ca="1">IF(ISNA(L$1), 0, OFFSET(data!$A$1, ROW()-1, L$1-1))</f>
        <v>0</v>
      </c>
      <c r="M467">
        <f ca="1">IF(ISNA(M$1), 0, OFFSET(data!$A$1, ROW()-1, M$1-1))</f>
        <v>60.825892702794398</v>
      </c>
      <c r="N467">
        <f ca="1">IF(ISNA(N$1), 0, OFFSET(data!$A$1, ROW()-1, N$1-1))</f>
        <v>534.235416800954</v>
      </c>
      <c r="O467">
        <f ca="1">IF(ISNA(O$1), 0, OFFSET(data!$A$1, ROW()-1, O$1-1))</f>
        <v>57.599999999999902</v>
      </c>
      <c r="P467">
        <f ca="1">IF(ISNA(P$1), 0, OFFSET(data!$A$1, ROW()-1, P$1-1))</f>
        <v>21.4179540721039</v>
      </c>
      <c r="Q467">
        <f ca="1">IF(ISNA(Q$1), 0, OFFSET(data!$A$1, ROW()-1, Q$1-1))</f>
        <v>2123.4184821536701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861.38825753699996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912.03022461667001</v>
      </c>
      <c r="X467">
        <f ca="1">IF(ISNA(X$1), 0, OFFSET(data!$A$1, ROW()-1, X$1-1))</f>
        <v>0</v>
      </c>
      <c r="Y467">
        <f ca="1">IF(ISNA(Y$1), 0, OFFSET(data!$A$1, ROW()-1, Y$1-1))</f>
        <v>350</v>
      </c>
      <c r="Z467">
        <f ca="1">IF(ISNA(Z$1), 0, OFFSET(data!$A$1, ROW()-1, Z$1-1))</f>
        <v>0</v>
      </c>
      <c r="AA467" t="str">
        <f ca="1">IF(ISNA(AA$1), #N/A, OFFSET(data!$A$1, ROW()-1, AA$1-1))</f>
        <v>typical</v>
      </c>
      <c r="AB467">
        <f t="shared" ref="AB467:AB498" ca="1" si="90">VALUE(LEFT(C467, 4))</f>
        <v>2035</v>
      </c>
      <c r="AC467">
        <f t="shared" ref="AC467:AC498" ca="1" si="91">VALUE(MID(C467, 6, 2))</f>
        <v>4</v>
      </c>
      <c r="AD467" t="str">
        <f t="shared" ref="AD467:AD498" ca="1" si="92">SUBSTITUTE(MID(C467,6,6)&amp;LEFT(C467,4), "-", "/")</f>
        <v>04/05/2035</v>
      </c>
      <c r="AE467" t="str">
        <f t="shared" ref="AE467:AE498" ca="1" si="93">IF(RIGHT(C467, 5)="12:00", AD467, "")</f>
        <v/>
      </c>
      <c r="AF467" s="6">
        <f t="shared" ref="AF467:AF498" ca="1" si="94">Z467/1000</f>
        <v>0</v>
      </c>
      <c r="AG467">
        <f t="shared" ref="AG467:AG498" ca="1" si="95">T467+W467</f>
        <v>1773.4184821536701</v>
      </c>
      <c r="AH467">
        <f t="shared" ref="AH467:AH498" ca="1" si="96">MAX(S467,Y467)</f>
        <v>350</v>
      </c>
      <c r="AI467">
        <f t="shared" ref="AI467:AI498" ca="1" si="97">MAX(R467,V467)</f>
        <v>0</v>
      </c>
      <c r="AJ467">
        <f t="shared" ref="AJ467:AJ498" ca="1" si="98">K467+N467</f>
        <v>2596.8280062518243</v>
      </c>
      <c r="AK467">
        <f t="shared" ref="AK467:AK498" ca="1" si="99">L467+O467</f>
        <v>57.599999999999902</v>
      </c>
      <c r="AL467">
        <f t="shared" ref="AL467:AL498" ca="1" si="100">M467+P467</f>
        <v>82.243846774898302</v>
      </c>
    </row>
    <row r="468" spans="1:38">
      <c r="A468" t="str">
        <f ca="1">IF(ISNA(A$1), 0, OFFSET(data!$A$1, ROW()-1, A$1-1))</f>
        <v>Oahu</v>
      </c>
      <c r="B468">
        <f ca="1">IF(ISNA(B$1), 0, OFFSET(data!$A$1, ROW()-1, B$1-1))</f>
        <v>2035</v>
      </c>
      <c r="C468" t="str">
        <f ca="1">IF(ISNA(C$1), 0, OFFSET(data!$A$1, ROW()-1, C$1-1))</f>
        <v>2035-04-05-18:00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286.34399875064298</v>
      </c>
      <c r="L468">
        <f ca="1">IF(ISNA(L$1), 0, OFFSET(data!$A$1, ROW()-1, L$1-1))</f>
        <v>57.599999999999902</v>
      </c>
      <c r="M468">
        <f ca="1">IF(ISNA(M$1), 0, OFFSET(data!$A$1, ROW()-1, M$1-1))</f>
        <v>152.269951560175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496.21395031081801</v>
      </c>
      <c r="R468">
        <f ca="1">IF(ISNA(R$1), 0, OFFSET(data!$A$1, ROW()-1, R$1-1))</f>
        <v>0</v>
      </c>
      <c r="S468">
        <f ca="1">IF(ISNA(S$1), 0, OFFSET(data!$A$1, ROW()-1, S$1-1))</f>
        <v>151.85837747948099</v>
      </c>
      <c r="T468">
        <f ca="1">IF(ISNA(T$1), 0, OFFSET(data!$A$1, ROW()-1, T$1-1))</f>
        <v>925.81761112900006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-277.74528333870001</v>
      </c>
      <c r="X468">
        <f ca="1">IF(ISNA(X$1), 0, OFFSET(data!$A$1, ROW()-1, X$1-1))</f>
        <v>0</v>
      </c>
      <c r="Y468">
        <f ca="1">IF(ISNA(Y$1), 0, OFFSET(data!$A$1, ROW()-1, Y$1-1))</f>
        <v>0</v>
      </c>
      <c r="Z468">
        <f ca="1">IF(ISNA(Z$1), 0, OFFSET(data!$A$1, ROW()-1, Z$1-1))</f>
        <v>13.6718112973739</v>
      </c>
      <c r="AA468" t="str">
        <f ca="1">IF(ISNA(AA$1), #N/A, OFFSET(data!$A$1, ROW()-1, AA$1-1))</f>
        <v>typical</v>
      </c>
      <c r="AB468">
        <f t="shared" ca="1" si="90"/>
        <v>2035</v>
      </c>
      <c r="AC468">
        <f t="shared" ca="1" si="91"/>
        <v>4</v>
      </c>
      <c r="AD468" t="str">
        <f t="shared" ca="1" si="92"/>
        <v>04/05/2035</v>
      </c>
      <c r="AE468" t="str">
        <f t="shared" ca="1" si="93"/>
        <v/>
      </c>
      <c r="AF468" s="6">
        <f t="shared" ca="1" si="94"/>
        <v>1.3671811297373899E-2</v>
      </c>
      <c r="AG468">
        <f t="shared" ca="1" si="95"/>
        <v>648.07232779030005</v>
      </c>
      <c r="AH468">
        <f t="shared" ca="1" si="96"/>
        <v>151.85837747948099</v>
      </c>
      <c r="AI468">
        <f t="shared" ca="1" si="97"/>
        <v>0</v>
      </c>
      <c r="AJ468">
        <f t="shared" ca="1" si="98"/>
        <v>286.34399875064298</v>
      </c>
      <c r="AK468">
        <f t="shared" ca="1" si="99"/>
        <v>57.599999999999902</v>
      </c>
      <c r="AL468">
        <f t="shared" ca="1" si="100"/>
        <v>152.269951560175</v>
      </c>
    </row>
    <row r="469" spans="1:38">
      <c r="A469" t="str">
        <f ca="1">IF(ISNA(A$1), 0, OFFSET(data!$A$1, ROW()-1, A$1-1))</f>
        <v>Oahu</v>
      </c>
      <c r="B469">
        <f ca="1">IF(ISNA(B$1), 0, OFFSET(data!$A$1, ROW()-1, B$1-1))</f>
        <v>2035</v>
      </c>
      <c r="C469" t="str">
        <f ca="1">IF(ISNA(C$1), 0, OFFSET(data!$A$1, ROW()-1, C$1-1))</f>
        <v>2035-04-05-20:00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146.752739112406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204.352739112406</v>
      </c>
      <c r="R469">
        <f ca="1">IF(ISNA(R$1), 0, OFFSET(data!$A$1, ROW()-1, R$1-1))</f>
        <v>40.623969666493203</v>
      </c>
      <c r="S469">
        <f ca="1">IF(ISNA(S$1), 0, OFFSET(data!$A$1, ROW()-1, S$1-1))</f>
        <v>350</v>
      </c>
      <c r="T469">
        <f ca="1">IF(ISNA(T$1), 0, OFFSET(data!$A$1, ROW()-1, T$1-1))</f>
        <v>849.966726827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-254.99001804809899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89.786756444444407</v>
      </c>
      <c r="AA469" t="str">
        <f ca="1">IF(ISNA(AA$1), #N/A, OFFSET(data!$A$1, ROW()-1, AA$1-1))</f>
        <v>typical</v>
      </c>
      <c r="AB469">
        <f t="shared" ca="1" si="90"/>
        <v>2035</v>
      </c>
      <c r="AC469">
        <f t="shared" ca="1" si="91"/>
        <v>4</v>
      </c>
      <c r="AD469" t="str">
        <f t="shared" ca="1" si="92"/>
        <v>04/05/2035</v>
      </c>
      <c r="AE469" t="str">
        <f t="shared" ca="1" si="93"/>
        <v/>
      </c>
      <c r="AF469" s="6">
        <f t="shared" ca="1" si="94"/>
        <v>8.9786756444444407E-2</v>
      </c>
      <c r="AG469">
        <f t="shared" ca="1" si="95"/>
        <v>594.97670877890096</v>
      </c>
      <c r="AH469">
        <f t="shared" ca="1" si="96"/>
        <v>350</v>
      </c>
      <c r="AI469">
        <f t="shared" ca="1" si="97"/>
        <v>40.623969666493203</v>
      </c>
      <c r="AJ469">
        <f t="shared" ca="1" si="98"/>
        <v>0</v>
      </c>
      <c r="AK469">
        <f t="shared" ca="1" si="99"/>
        <v>57.599999999999902</v>
      </c>
      <c r="AL469">
        <f t="shared" ca="1" si="100"/>
        <v>146.752739112406</v>
      </c>
    </row>
    <row r="470" spans="1:38">
      <c r="A470" t="str">
        <f ca="1">IF(ISNA(A$1), 0, OFFSET(data!$A$1, ROW()-1, A$1-1))</f>
        <v>Oahu</v>
      </c>
      <c r="B470">
        <f ca="1">IF(ISNA(B$1), 0, OFFSET(data!$A$1, ROW()-1, B$1-1))</f>
        <v>2035</v>
      </c>
      <c r="C470" t="str">
        <f ca="1">IF(ISNA(C$1), 0, OFFSET(data!$A$1, ROW()-1, C$1-1))</f>
        <v>2035-04-05-22:00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128.100300574459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185.70030057445899</v>
      </c>
      <c r="R470">
        <f ca="1">IF(ISNA(R$1), 0, OFFSET(data!$A$1, ROW()-1, R$1-1))</f>
        <v>0</v>
      </c>
      <c r="S470">
        <f ca="1">IF(ISNA(S$1), 0, OFFSET(data!$A$1, ROW()-1, S$1-1))</f>
        <v>272.94778276724099</v>
      </c>
      <c r="T470">
        <f ca="1">IF(ISNA(T$1), 0, OFFSET(data!$A$1, ROW()-1, T$1-1))</f>
        <v>655.21154763100003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-196.56346428929999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13.6718112973739</v>
      </c>
      <c r="AA470" t="str">
        <f ca="1">IF(ISNA(AA$1), #N/A, OFFSET(data!$A$1, ROW()-1, AA$1-1))</f>
        <v>typical</v>
      </c>
      <c r="AB470">
        <f t="shared" ca="1" si="90"/>
        <v>2035</v>
      </c>
      <c r="AC470">
        <f t="shared" ca="1" si="91"/>
        <v>4</v>
      </c>
      <c r="AD470" t="str">
        <f t="shared" ca="1" si="92"/>
        <v>04/05/2035</v>
      </c>
      <c r="AE470" t="str">
        <f t="shared" ca="1" si="93"/>
        <v/>
      </c>
      <c r="AF470" s="6">
        <f t="shared" ca="1" si="94"/>
        <v>1.3671811297373899E-2</v>
      </c>
      <c r="AG470">
        <f t="shared" ca="1" si="95"/>
        <v>458.64808334170004</v>
      </c>
      <c r="AH470">
        <f t="shared" ca="1" si="96"/>
        <v>272.94778276724099</v>
      </c>
      <c r="AI470">
        <f t="shared" ca="1" si="97"/>
        <v>0</v>
      </c>
      <c r="AJ470">
        <f t="shared" ca="1" si="98"/>
        <v>0</v>
      </c>
      <c r="AK470">
        <f t="shared" ca="1" si="99"/>
        <v>57.599999999999902</v>
      </c>
      <c r="AL470">
        <f t="shared" ca="1" si="100"/>
        <v>128.100300574459</v>
      </c>
    </row>
    <row r="471" spans="1:38">
      <c r="A471" t="str">
        <f ca="1">IF(ISNA(A$1), 0, OFFSET(data!$A$1, ROW()-1, A$1-1))</f>
        <v>Oahu</v>
      </c>
      <c r="B471">
        <f ca="1">IF(ISNA(B$1), 0, OFFSET(data!$A$1, ROW()-1, B$1-1))</f>
        <v>2035</v>
      </c>
      <c r="C471" t="str">
        <f ca="1">IF(ISNA(C$1), 0, OFFSET(data!$A$1, ROW()-1, C$1-1))</f>
        <v>2035-04-09-00:00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48.758166804818899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106.358166804818</v>
      </c>
      <c r="R471">
        <f ca="1">IF(ISNA(R$1), 0, OFFSET(data!$A$1, ROW()-1, R$1-1))</f>
        <v>0</v>
      </c>
      <c r="S471">
        <f ca="1">IF(ISNA(S$1), 0, OFFSET(data!$A$1, ROW()-1, S$1-1))</f>
        <v>215.15417169708101</v>
      </c>
      <c r="T471">
        <f ca="1">IF(ISNA(T$1), 0, OFFSET(data!$A$1, ROW()-1, T$1-1))</f>
        <v>459.30334071700003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-137.79100221510001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89.786756444444407</v>
      </c>
      <c r="AA471" t="str">
        <f ca="1">IF(ISNA(AA$1), #N/A, OFFSET(data!$A$1, ROW()-1, AA$1-1))</f>
        <v>peak</v>
      </c>
      <c r="AB471">
        <f t="shared" ca="1" si="90"/>
        <v>2035</v>
      </c>
      <c r="AC471">
        <f t="shared" ca="1" si="91"/>
        <v>4</v>
      </c>
      <c r="AD471" t="str">
        <f t="shared" ca="1" si="92"/>
        <v>04/09/2035</v>
      </c>
      <c r="AE471" t="str">
        <f t="shared" ca="1" si="93"/>
        <v/>
      </c>
      <c r="AF471" s="6">
        <f t="shared" ca="1" si="94"/>
        <v>8.9786756444444407E-2</v>
      </c>
      <c r="AG471">
        <f t="shared" ca="1" si="95"/>
        <v>321.51233850189999</v>
      </c>
      <c r="AH471">
        <f t="shared" ca="1" si="96"/>
        <v>215.15417169708101</v>
      </c>
      <c r="AI471">
        <f t="shared" ca="1" si="97"/>
        <v>0</v>
      </c>
      <c r="AJ471">
        <f t="shared" ca="1" si="98"/>
        <v>0</v>
      </c>
      <c r="AK471">
        <f t="shared" ca="1" si="99"/>
        <v>57.599999999999902</v>
      </c>
      <c r="AL471">
        <f t="shared" ca="1" si="100"/>
        <v>48.758166804818899</v>
      </c>
    </row>
    <row r="472" spans="1:38">
      <c r="A472" t="str">
        <f ca="1">IF(ISNA(A$1), 0, OFFSET(data!$A$1, ROW()-1, A$1-1))</f>
        <v>Oahu</v>
      </c>
      <c r="B472">
        <f ca="1">IF(ISNA(B$1), 0, OFFSET(data!$A$1, ROW()-1, B$1-1))</f>
        <v>2035</v>
      </c>
      <c r="C472" t="str">
        <f ca="1">IF(ISNA(C$1), 0, OFFSET(data!$A$1, ROW()-1, C$1-1))</f>
        <v>2035-04-09-02:00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51.548940384827198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109.148940384827</v>
      </c>
      <c r="R472">
        <f ca="1">IF(ISNA(R$1), 0, OFFSET(data!$A$1, ROW()-1, R$1-1))</f>
        <v>0</v>
      </c>
      <c r="S472">
        <f ca="1">IF(ISNA(S$1), 0, OFFSET(data!$A$1, ROW()-1, S$1-1))</f>
        <v>173.71953100417201</v>
      </c>
      <c r="T472">
        <f ca="1">IF(ISNA(T$1), 0, OFFSET(data!$A$1, ROW()-1, T$1-1))</f>
        <v>404.09781627000001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-121.229344881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89.786756444444407</v>
      </c>
      <c r="AA472" t="str">
        <f ca="1">IF(ISNA(AA$1), #N/A, OFFSET(data!$A$1, ROW()-1, AA$1-1))</f>
        <v>peak</v>
      </c>
      <c r="AB472">
        <f t="shared" ca="1" si="90"/>
        <v>2035</v>
      </c>
      <c r="AC472">
        <f t="shared" ca="1" si="91"/>
        <v>4</v>
      </c>
      <c r="AD472" t="str">
        <f t="shared" ca="1" si="92"/>
        <v>04/09/2035</v>
      </c>
      <c r="AE472" t="str">
        <f t="shared" ca="1" si="93"/>
        <v/>
      </c>
      <c r="AF472" s="6">
        <f t="shared" ca="1" si="94"/>
        <v>8.9786756444444407E-2</v>
      </c>
      <c r="AG472">
        <f t="shared" ca="1" si="95"/>
        <v>282.86847138899998</v>
      </c>
      <c r="AH472">
        <f t="shared" ca="1" si="96"/>
        <v>173.71953100417201</v>
      </c>
      <c r="AI472">
        <f t="shared" ca="1" si="97"/>
        <v>0</v>
      </c>
      <c r="AJ472">
        <f t="shared" ca="1" si="98"/>
        <v>0</v>
      </c>
      <c r="AK472">
        <f t="shared" ca="1" si="99"/>
        <v>57.599999999999902</v>
      </c>
      <c r="AL472">
        <f t="shared" ca="1" si="100"/>
        <v>51.548940384827198</v>
      </c>
    </row>
    <row r="473" spans="1:38">
      <c r="A473" t="str">
        <f ca="1">IF(ISNA(A$1), 0, OFFSET(data!$A$1, ROW()-1, A$1-1))</f>
        <v>Oahu</v>
      </c>
      <c r="B473">
        <f ca="1">IF(ISNA(B$1), 0, OFFSET(data!$A$1, ROW()-1, B$1-1))</f>
        <v>2035</v>
      </c>
      <c r="C473" t="str">
        <f ca="1">IF(ISNA(C$1), 0, OFFSET(data!$A$1, ROW()-1, C$1-1))</f>
        <v>2035-04-09-04:00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25.537735395918599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83.137735395918597</v>
      </c>
      <c r="R473">
        <f ca="1">IF(ISNA(R$1), 0, OFFSET(data!$A$1, ROW()-1, R$1-1))</f>
        <v>0</v>
      </c>
      <c r="S473">
        <f ca="1">IF(ISNA(S$1), 0, OFFSET(data!$A$1, ROW()-1, S$1-1))</f>
        <v>264.98067312028098</v>
      </c>
      <c r="T473">
        <f ca="1">IF(ISNA(T$1), 0, OFFSET(data!$A$1, ROW()-1, T$1-1))</f>
        <v>497.31201216599999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-149.1936036498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89.786756444444407</v>
      </c>
      <c r="AA473" t="str">
        <f ca="1">IF(ISNA(AA$1), #N/A, OFFSET(data!$A$1, ROW()-1, AA$1-1))</f>
        <v>peak</v>
      </c>
      <c r="AB473">
        <f t="shared" ca="1" si="90"/>
        <v>2035</v>
      </c>
      <c r="AC473">
        <f t="shared" ca="1" si="91"/>
        <v>4</v>
      </c>
      <c r="AD473" t="str">
        <f t="shared" ca="1" si="92"/>
        <v>04/09/2035</v>
      </c>
      <c r="AE473" t="str">
        <f t="shared" ca="1" si="93"/>
        <v/>
      </c>
      <c r="AF473" s="6">
        <f t="shared" ca="1" si="94"/>
        <v>8.9786756444444407E-2</v>
      </c>
      <c r="AG473">
        <f t="shared" ca="1" si="95"/>
        <v>348.11840851620002</v>
      </c>
      <c r="AH473">
        <f t="shared" ca="1" si="96"/>
        <v>264.98067312028098</v>
      </c>
      <c r="AI473">
        <f t="shared" ca="1" si="97"/>
        <v>0</v>
      </c>
      <c r="AJ473">
        <f t="shared" ca="1" si="98"/>
        <v>0</v>
      </c>
      <c r="AK473">
        <f t="shared" ca="1" si="99"/>
        <v>57.599999999999902</v>
      </c>
      <c r="AL473">
        <f t="shared" ca="1" si="100"/>
        <v>25.537735395918599</v>
      </c>
    </row>
    <row r="474" spans="1:38">
      <c r="A474" t="str">
        <f ca="1">IF(ISNA(A$1), 0, OFFSET(data!$A$1, ROW()-1, A$1-1))</f>
        <v>Oahu</v>
      </c>
      <c r="B474">
        <f ca="1">IF(ISNA(B$1), 0, OFFSET(data!$A$1, ROW()-1, B$1-1))</f>
        <v>2035</v>
      </c>
      <c r="C474" t="str">
        <f ca="1">IF(ISNA(C$1), 0, OFFSET(data!$A$1, ROW()-1, C$1-1))</f>
        <v>2035-04-09-06:00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90.438782579541893</v>
      </c>
      <c r="L474">
        <f ca="1">IF(ISNA(L$1), 0, OFFSET(data!$A$1, ROW()-1, L$1-1))</f>
        <v>57.599999999999902</v>
      </c>
      <c r="M474">
        <f ca="1">IF(ISNA(M$1), 0, OFFSET(data!$A$1, ROW()-1, M$1-1))</f>
        <v>41.702658015124499</v>
      </c>
      <c r="N474">
        <f ca="1">IF(ISNA(N$1), 0, OFFSET(data!$A$1, ROW()-1, N$1-1))</f>
        <v>-2.2204460492503101E-16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189.74144059466599</v>
      </c>
      <c r="R474">
        <f ca="1">IF(ISNA(R$1), 0, OFFSET(data!$A$1, ROW()-1, R$1-1))</f>
        <v>37.115463935862401</v>
      </c>
      <c r="S474">
        <f ca="1">IF(ISNA(S$1), 0, OFFSET(data!$A$1, ROW()-1, S$1-1))</f>
        <v>349.28202768867101</v>
      </c>
      <c r="T474">
        <f ca="1">IF(ISNA(T$1), 0, OFFSET(data!$A$1, ROW()-1, T$1-1))</f>
        <v>823.05561745600005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-246.91668523679999</v>
      </c>
      <c r="X474">
        <f ca="1">IF(ISNA(X$1), 0, OFFSET(data!$A$1, ROW()-1, X$1-1))</f>
        <v>0</v>
      </c>
      <c r="Y474">
        <f ca="1">IF(ISNA(Y$1), 0, OFFSET(data!$A$1, ROW()-1, Y$1-1))</f>
        <v>0</v>
      </c>
      <c r="Z474">
        <f ca="1">IF(ISNA(Z$1), 0, OFFSET(data!$A$1, ROW()-1, Z$1-1))</f>
        <v>89.786756444444407</v>
      </c>
      <c r="AA474" t="str">
        <f ca="1">IF(ISNA(AA$1), #N/A, OFFSET(data!$A$1, ROW()-1, AA$1-1))</f>
        <v>peak</v>
      </c>
      <c r="AB474">
        <f t="shared" ca="1" si="90"/>
        <v>2035</v>
      </c>
      <c r="AC474">
        <f t="shared" ca="1" si="91"/>
        <v>4</v>
      </c>
      <c r="AD474" t="str">
        <f t="shared" ca="1" si="92"/>
        <v>04/09/2035</v>
      </c>
      <c r="AE474" t="str">
        <f t="shared" ca="1" si="93"/>
        <v/>
      </c>
      <c r="AF474" s="6">
        <f t="shared" ca="1" si="94"/>
        <v>8.9786756444444407E-2</v>
      </c>
      <c r="AG474">
        <f t="shared" ca="1" si="95"/>
        <v>576.13893221920011</v>
      </c>
      <c r="AH474">
        <f t="shared" ca="1" si="96"/>
        <v>349.28202768867101</v>
      </c>
      <c r="AI474">
        <f t="shared" ca="1" si="97"/>
        <v>37.115463935862401</v>
      </c>
      <c r="AJ474">
        <f t="shared" ca="1" si="98"/>
        <v>90.438782579541893</v>
      </c>
      <c r="AK474">
        <f t="shared" ca="1" si="99"/>
        <v>57.599999999999902</v>
      </c>
      <c r="AL474">
        <f t="shared" ca="1" si="100"/>
        <v>41.702658015124499</v>
      </c>
    </row>
    <row r="475" spans="1:38">
      <c r="A475" t="str">
        <f ca="1">IF(ISNA(A$1), 0, OFFSET(data!$A$1, ROW()-1, A$1-1))</f>
        <v>Oahu</v>
      </c>
      <c r="B475">
        <f ca="1">IF(ISNA(B$1), 0, OFFSET(data!$A$1, ROW()-1, B$1-1))</f>
        <v>2035</v>
      </c>
      <c r="C475" t="str">
        <f ca="1">IF(ISNA(C$1), 0, OFFSET(data!$A$1, ROW()-1, C$1-1))</f>
        <v>2035-04-09-08:00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1173.85181513676</v>
      </c>
      <c r="L475">
        <f ca="1">IF(ISNA(L$1), 0, OFFSET(data!$A$1, ROW()-1, L$1-1))</f>
        <v>0</v>
      </c>
      <c r="M475">
        <f ca="1">IF(ISNA(M$1), 0, OFFSET(data!$A$1, ROW()-1, M$1-1))</f>
        <v>16.8893734102145</v>
      </c>
      <c r="N475">
        <f ca="1">IF(ISNA(N$1), 0, OFFSET(data!$A$1, ROW()-1, N$1-1))</f>
        <v>1040.8229722537201</v>
      </c>
      <c r="O475">
        <f ca="1">IF(ISNA(O$1), 0, OFFSET(data!$A$1, ROW()-1, O$1-1))</f>
        <v>57.599999999999902</v>
      </c>
      <c r="P475">
        <f ca="1">IF(ISNA(P$1), 0, OFFSET(data!$A$1, ROW()-1, P$1-1))</f>
        <v>23.374534897265601</v>
      </c>
      <c r="Q475">
        <f ca="1">IF(ISNA(Q$1), 0, OFFSET(data!$A$1, ROW()-1, Q$1-1))</f>
        <v>1190.7411885469701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975.88578993600004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-135.14460138902501</v>
      </c>
      <c r="X475">
        <f ca="1">IF(ISNA(X$1), 0, OFFSET(data!$A$1, ROW()-1, X$1-1))</f>
        <v>0</v>
      </c>
      <c r="Y475">
        <f ca="1">IF(ISNA(Y$1), 0, OFFSET(data!$A$1, ROW()-1, Y$1-1))</f>
        <v>350</v>
      </c>
      <c r="Z475">
        <f ca="1">IF(ISNA(Z$1), 0, OFFSET(data!$A$1, ROW()-1, Z$1-1))</f>
        <v>0</v>
      </c>
      <c r="AA475" t="str">
        <f ca="1">IF(ISNA(AA$1), #N/A, OFFSET(data!$A$1, ROW()-1, AA$1-1))</f>
        <v>peak</v>
      </c>
      <c r="AB475">
        <f t="shared" ca="1" si="90"/>
        <v>2035</v>
      </c>
      <c r="AC475">
        <f t="shared" ca="1" si="91"/>
        <v>4</v>
      </c>
      <c r="AD475" t="str">
        <f t="shared" ca="1" si="92"/>
        <v>04/09/2035</v>
      </c>
      <c r="AE475" t="str">
        <f t="shared" ca="1" si="93"/>
        <v/>
      </c>
      <c r="AF475" s="6">
        <f t="shared" ca="1" si="94"/>
        <v>0</v>
      </c>
      <c r="AG475">
        <f t="shared" ca="1" si="95"/>
        <v>840.74118854697508</v>
      </c>
      <c r="AH475">
        <f t="shared" ca="1" si="96"/>
        <v>350</v>
      </c>
      <c r="AI475">
        <f t="shared" ca="1" si="97"/>
        <v>0</v>
      </c>
      <c r="AJ475">
        <f t="shared" ca="1" si="98"/>
        <v>2214.6747873904801</v>
      </c>
      <c r="AK475">
        <f t="shared" ca="1" si="99"/>
        <v>57.599999999999902</v>
      </c>
      <c r="AL475">
        <f t="shared" ca="1" si="100"/>
        <v>40.263908307480101</v>
      </c>
    </row>
    <row r="476" spans="1:38">
      <c r="A476" t="str">
        <f ca="1">IF(ISNA(A$1), 0, OFFSET(data!$A$1, ROW()-1, A$1-1))</f>
        <v>Oahu</v>
      </c>
      <c r="B476">
        <f ca="1">IF(ISNA(B$1), 0, OFFSET(data!$A$1, ROW()-1, B$1-1))</f>
        <v>2035</v>
      </c>
      <c r="C476" t="str">
        <f ca="1">IF(ISNA(C$1), 0, OFFSET(data!$A$1, ROW()-1, C$1-1))</f>
        <v>2035-04-09-10:00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2793.2284516514801</v>
      </c>
      <c r="L476">
        <f ca="1">IF(ISNA(L$1), 0, OFFSET(data!$A$1, ROW()-1, L$1-1))</f>
        <v>0</v>
      </c>
      <c r="M476">
        <f ca="1">IF(ISNA(M$1), 0, OFFSET(data!$A$1, ROW()-1, M$1-1))</f>
        <v>39.641910407115297</v>
      </c>
      <c r="N476">
        <f ca="1">IF(ISNA(N$1), 0, OFFSET(data!$A$1, ROW()-1, N$1-1))</f>
        <v>409.09569015710002</v>
      </c>
      <c r="O476">
        <f ca="1">IF(ISNA(O$1), 0, OFFSET(data!$A$1, ROW()-1, O$1-1))</f>
        <v>57.599999999999902</v>
      </c>
      <c r="P476">
        <f ca="1">IF(ISNA(P$1), 0, OFFSET(data!$A$1, ROW()-1, P$1-1))</f>
        <v>9.1105871016055495</v>
      </c>
      <c r="Q476">
        <f ca="1">IF(ISNA(Q$1), 0, OFFSET(data!$A$1, ROW()-1, Q$1-1))</f>
        <v>2832.8703620585902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1058.2288284399999</v>
      </c>
      <c r="U476">
        <f ca="1">IF(ISNA(U$1), 0, OFFSET(data!$A$1, ROW()-1, U$1-1))</f>
        <v>0</v>
      </c>
      <c r="V476">
        <f ca="1">IF(ISNA(V$1), 0, OFFSET(data!$A$1, ROW()-1, V$1-1))</f>
        <v>404.83335561331899</v>
      </c>
      <c r="W476">
        <f ca="1">IF(ISNA(W$1), 0, OFFSET(data!$A$1, ROW()-1, W$1-1))</f>
        <v>1019.80817800528</v>
      </c>
      <c r="X476">
        <f ca="1">IF(ISNA(X$1), 0, OFFSET(data!$A$1, ROW()-1, X$1-1))</f>
        <v>0</v>
      </c>
      <c r="Y476">
        <f ca="1">IF(ISNA(Y$1), 0, OFFSET(data!$A$1, ROW()-1, Y$1-1))</f>
        <v>350</v>
      </c>
      <c r="Z476">
        <f ca="1">IF(ISNA(Z$1), 0, OFFSET(data!$A$1, ROW()-1, Z$1-1))</f>
        <v>0</v>
      </c>
      <c r="AA476" t="str">
        <f ca="1">IF(ISNA(AA$1), #N/A, OFFSET(data!$A$1, ROW()-1, AA$1-1))</f>
        <v>peak</v>
      </c>
      <c r="AB476">
        <f t="shared" ca="1" si="90"/>
        <v>2035</v>
      </c>
      <c r="AC476">
        <f t="shared" ca="1" si="91"/>
        <v>4</v>
      </c>
      <c r="AD476" t="str">
        <f t="shared" ca="1" si="92"/>
        <v>04/09/2035</v>
      </c>
      <c r="AE476" t="str">
        <f t="shared" ca="1" si="93"/>
        <v/>
      </c>
      <c r="AF476" s="6">
        <f t="shared" ca="1" si="94"/>
        <v>0</v>
      </c>
      <c r="AG476">
        <f t="shared" ca="1" si="95"/>
        <v>2078.03700644528</v>
      </c>
      <c r="AH476">
        <f t="shared" ca="1" si="96"/>
        <v>350</v>
      </c>
      <c r="AI476">
        <f t="shared" ca="1" si="97"/>
        <v>404.83335561331899</v>
      </c>
      <c r="AJ476">
        <f t="shared" ca="1" si="98"/>
        <v>3202.32414180858</v>
      </c>
      <c r="AK476">
        <f t="shared" ca="1" si="99"/>
        <v>57.599999999999902</v>
      </c>
      <c r="AL476">
        <f t="shared" ca="1" si="100"/>
        <v>48.75249750872085</v>
      </c>
    </row>
    <row r="477" spans="1:38">
      <c r="A477" t="str">
        <f ca="1">IF(ISNA(A$1), 0, OFFSET(data!$A$1, ROW()-1, A$1-1))</f>
        <v>Oahu</v>
      </c>
      <c r="B477">
        <f ca="1">IF(ISNA(B$1), 0, OFFSET(data!$A$1, ROW()-1, B$1-1))</f>
        <v>2035</v>
      </c>
      <c r="C477" t="str">
        <f ca="1">IF(ISNA(C$1), 0, OFFSET(data!$A$1, ROW()-1, C$1-1))</f>
        <v>2035-04-09-12:00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2159.3947034102998</v>
      </c>
      <c r="L477">
        <f ca="1">IF(ISNA(L$1), 0, OFFSET(data!$A$1, ROW()-1, L$1-1))</f>
        <v>0</v>
      </c>
      <c r="M477">
        <f ca="1">IF(ISNA(M$1), 0, OFFSET(data!$A$1, ROW()-1, M$1-1))</f>
        <v>54.090582264408198</v>
      </c>
      <c r="N477">
        <f ca="1">IF(ISNA(N$1), 0, OFFSET(data!$A$1, ROW()-1, N$1-1))</f>
        <v>1076.6884040331199</v>
      </c>
      <c r="O477">
        <f ca="1">IF(ISNA(O$1), 0, OFFSET(data!$A$1, ROW()-1, O$1-1))</f>
        <v>57.599999999999902</v>
      </c>
      <c r="P477">
        <f ca="1">IF(ISNA(P$1), 0, OFFSET(data!$A$1, ROW()-1, P$1-1))</f>
        <v>2.9797424282354399</v>
      </c>
      <c r="Q477">
        <f ca="1">IF(ISNA(Q$1), 0, OFFSET(data!$A$1, ROW()-1, Q$1-1))</f>
        <v>2213.4852856747002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1086.9308902</v>
      </c>
      <c r="U477">
        <f ca="1">IF(ISNA(U$1), 0, OFFSET(data!$A$1, ROW()-1, U$1-1))</f>
        <v>0</v>
      </c>
      <c r="V477">
        <f ca="1">IF(ISNA(V$1), 0, OFFSET(data!$A$1, ROW()-1, V$1-1))</f>
        <v>232.545319846957</v>
      </c>
      <c r="W477">
        <f ca="1">IF(ISNA(W$1), 0, OFFSET(data!$A$1, ROW()-1, W$1-1))</f>
        <v>544.00907562775205</v>
      </c>
      <c r="X477">
        <f ca="1">IF(ISNA(X$1), 0, OFFSET(data!$A$1, ROW()-1, X$1-1))</f>
        <v>0</v>
      </c>
      <c r="Y477">
        <f ca="1">IF(ISNA(Y$1), 0, OFFSET(data!$A$1, ROW()-1, Y$1-1))</f>
        <v>350</v>
      </c>
      <c r="Z477">
        <f ca="1">IF(ISNA(Z$1), 0, OFFSET(data!$A$1, ROW()-1, Z$1-1))</f>
        <v>0</v>
      </c>
      <c r="AA477" t="str">
        <f ca="1">IF(ISNA(AA$1), #N/A, OFFSET(data!$A$1, ROW()-1, AA$1-1))</f>
        <v>peak</v>
      </c>
      <c r="AB477">
        <f t="shared" ca="1" si="90"/>
        <v>2035</v>
      </c>
      <c r="AC477">
        <f t="shared" ca="1" si="91"/>
        <v>4</v>
      </c>
      <c r="AD477" t="str">
        <f t="shared" ca="1" si="92"/>
        <v>04/09/2035</v>
      </c>
      <c r="AE477" t="str">
        <f t="shared" ca="1" si="93"/>
        <v>04/09/2035</v>
      </c>
      <c r="AF477" s="6">
        <f t="shared" ca="1" si="94"/>
        <v>0</v>
      </c>
      <c r="AG477">
        <f t="shared" ca="1" si="95"/>
        <v>1630.9399658277521</v>
      </c>
      <c r="AH477">
        <f t="shared" ca="1" si="96"/>
        <v>350</v>
      </c>
      <c r="AI477">
        <f t="shared" ca="1" si="97"/>
        <v>232.545319846957</v>
      </c>
      <c r="AJ477">
        <f t="shared" ca="1" si="98"/>
        <v>3236.08310744342</v>
      </c>
      <c r="AK477">
        <f t="shared" ca="1" si="99"/>
        <v>57.599999999999902</v>
      </c>
      <c r="AL477">
        <f t="shared" ca="1" si="100"/>
        <v>57.070324692643638</v>
      </c>
    </row>
    <row r="478" spans="1:38">
      <c r="A478" t="str">
        <f ca="1">IF(ISNA(A$1), 0, OFFSET(data!$A$1, ROW()-1, A$1-1))</f>
        <v>Oahu</v>
      </c>
      <c r="B478">
        <f ca="1">IF(ISNA(B$1), 0, OFFSET(data!$A$1, ROW()-1, B$1-1))</f>
        <v>2035</v>
      </c>
      <c r="C478" t="str">
        <f ca="1">IF(ISNA(C$1), 0, OFFSET(data!$A$1, ROW()-1, C$1-1))</f>
        <v>2035-04-09-14:00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1628.2903463013299</v>
      </c>
      <c r="L478">
        <f ca="1">IF(ISNA(L$1), 0, OFFSET(data!$A$1, ROW()-1, L$1-1))</f>
        <v>0</v>
      </c>
      <c r="M478">
        <f ca="1">IF(ISNA(M$1), 0, OFFSET(data!$A$1, ROW()-1, M$1-1))</f>
        <v>27.719442837533801</v>
      </c>
      <c r="N478">
        <f ca="1">IF(ISNA(N$1), 0, OFFSET(data!$A$1, ROW()-1, N$1-1))</f>
        <v>1626.08350173446</v>
      </c>
      <c r="O478">
        <f ca="1">IF(ISNA(O$1), 0, OFFSET(data!$A$1, ROW()-1, O$1-1))</f>
        <v>57.599999999999902</v>
      </c>
      <c r="P478">
        <f ca="1">IF(ISNA(P$1), 0, OFFSET(data!$A$1, ROW()-1, P$1-1))</f>
        <v>36.120949861927301</v>
      </c>
      <c r="Q478">
        <f ca="1">IF(ISNA(Q$1), 0, OFFSET(data!$A$1, ROW()-1, Q$1-1))</f>
        <v>1656.00978913886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1083.24858457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222.761204568865</v>
      </c>
      <c r="X478">
        <f ca="1">IF(ISNA(X$1), 0, OFFSET(data!$A$1, ROW()-1, X$1-1))</f>
        <v>0</v>
      </c>
      <c r="Y478">
        <f ca="1">IF(ISNA(Y$1), 0, OFFSET(data!$A$1, ROW()-1, Y$1-1))</f>
        <v>350</v>
      </c>
      <c r="Z478">
        <f ca="1">IF(ISNA(Z$1), 0, OFFSET(data!$A$1, ROW()-1, Z$1-1))</f>
        <v>0</v>
      </c>
      <c r="AA478" t="str">
        <f ca="1">IF(ISNA(AA$1), #N/A, OFFSET(data!$A$1, ROW()-1, AA$1-1))</f>
        <v>peak</v>
      </c>
      <c r="AB478">
        <f t="shared" ca="1" si="90"/>
        <v>2035</v>
      </c>
      <c r="AC478">
        <f t="shared" ca="1" si="91"/>
        <v>4</v>
      </c>
      <c r="AD478" t="str">
        <f t="shared" ca="1" si="92"/>
        <v>04/09/2035</v>
      </c>
      <c r="AE478" t="str">
        <f t="shared" ca="1" si="93"/>
        <v/>
      </c>
      <c r="AF478" s="6">
        <f t="shared" ca="1" si="94"/>
        <v>0</v>
      </c>
      <c r="AG478">
        <f t="shared" ca="1" si="95"/>
        <v>1306.009789138865</v>
      </c>
      <c r="AH478">
        <f t="shared" ca="1" si="96"/>
        <v>350</v>
      </c>
      <c r="AI478">
        <f t="shared" ca="1" si="97"/>
        <v>0</v>
      </c>
      <c r="AJ478">
        <f t="shared" ca="1" si="98"/>
        <v>3254.3738480357897</v>
      </c>
      <c r="AK478">
        <f t="shared" ca="1" si="99"/>
        <v>57.599999999999902</v>
      </c>
      <c r="AL478">
        <f t="shared" ca="1" si="100"/>
        <v>63.840392699461106</v>
      </c>
    </row>
    <row r="479" spans="1:38">
      <c r="A479" t="str">
        <f ca="1">IF(ISNA(A$1), 0, OFFSET(data!$A$1, ROW()-1, A$1-1))</f>
        <v>Oahu</v>
      </c>
      <c r="B479">
        <f ca="1">IF(ISNA(B$1), 0, OFFSET(data!$A$1, ROW()-1, B$1-1))</f>
        <v>2035</v>
      </c>
      <c r="C479" t="str">
        <f ca="1">IF(ISNA(C$1), 0, OFFSET(data!$A$1, ROW()-1, C$1-1))</f>
        <v>2035-04-09-16:00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1612.0370861768799</v>
      </c>
      <c r="L479">
        <f ca="1">IF(ISNA(L$1), 0, OFFSET(data!$A$1, ROW()-1, L$1-1))</f>
        <v>0</v>
      </c>
      <c r="M479">
        <f ca="1">IF(ISNA(M$1), 0, OFFSET(data!$A$1, ROW()-1, M$1-1))</f>
        <v>41.290439928860401</v>
      </c>
      <c r="N479">
        <f ca="1">IF(ISNA(N$1), 0, OFFSET(data!$A$1, ROW()-1, N$1-1))</f>
        <v>1319.54931225416</v>
      </c>
      <c r="O479">
        <f ca="1">IF(ISNA(O$1), 0, OFFSET(data!$A$1, ROW()-1, O$1-1))</f>
        <v>57.599999999999902</v>
      </c>
      <c r="P479">
        <f ca="1">IF(ISNA(P$1), 0, OFFSET(data!$A$1, ROW()-1, P$1-1))</f>
        <v>6.4537478731354696</v>
      </c>
      <c r="Q479">
        <f ca="1">IF(ISNA(Q$1), 0, OFFSET(data!$A$1, ROW()-1, Q$1-1))</f>
        <v>1653.3275261057399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1053.2247454999999</v>
      </c>
      <c r="U479">
        <f ca="1">IF(ISNA(U$1), 0, OFFSET(data!$A$1, ROW()-1, U$1-1))</f>
        <v>0</v>
      </c>
      <c r="V479">
        <f ca="1">IF(ISNA(V$1), 0, OFFSET(data!$A$1, ROW()-1, V$1-1))</f>
        <v>404.83335561331899</v>
      </c>
      <c r="W479">
        <f ca="1">IF(ISNA(W$1), 0, OFFSET(data!$A$1, ROW()-1, W$1-1))</f>
        <v>-154.73057500757301</v>
      </c>
      <c r="X479">
        <f ca="1">IF(ISNA(X$1), 0, OFFSET(data!$A$1, ROW()-1, X$1-1))</f>
        <v>0</v>
      </c>
      <c r="Y479">
        <f ca="1">IF(ISNA(Y$1), 0, OFFSET(data!$A$1, ROW()-1, Y$1-1))</f>
        <v>350</v>
      </c>
      <c r="Z479">
        <f ca="1">IF(ISNA(Z$1), 0, OFFSET(data!$A$1, ROW()-1, Z$1-1))</f>
        <v>0</v>
      </c>
      <c r="AA479" t="str">
        <f ca="1">IF(ISNA(AA$1), #N/A, OFFSET(data!$A$1, ROW()-1, AA$1-1))</f>
        <v>peak</v>
      </c>
      <c r="AB479">
        <f t="shared" ca="1" si="90"/>
        <v>2035</v>
      </c>
      <c r="AC479">
        <f t="shared" ca="1" si="91"/>
        <v>4</v>
      </c>
      <c r="AD479" t="str">
        <f t="shared" ca="1" si="92"/>
        <v>04/09/2035</v>
      </c>
      <c r="AE479" t="str">
        <f t="shared" ca="1" si="93"/>
        <v/>
      </c>
      <c r="AF479" s="6">
        <f t="shared" ca="1" si="94"/>
        <v>0</v>
      </c>
      <c r="AG479">
        <f t="shared" ca="1" si="95"/>
        <v>898.49417049242697</v>
      </c>
      <c r="AH479">
        <f t="shared" ca="1" si="96"/>
        <v>350</v>
      </c>
      <c r="AI479">
        <f t="shared" ca="1" si="97"/>
        <v>404.83335561331899</v>
      </c>
      <c r="AJ479">
        <f t="shared" ca="1" si="98"/>
        <v>2931.5863984310399</v>
      </c>
      <c r="AK479">
        <f t="shared" ca="1" si="99"/>
        <v>57.599999999999902</v>
      </c>
      <c r="AL479">
        <f t="shared" ca="1" si="100"/>
        <v>47.744187801995871</v>
      </c>
    </row>
    <row r="480" spans="1:38">
      <c r="A480" t="str">
        <f ca="1">IF(ISNA(A$1), 0, OFFSET(data!$A$1, ROW()-1, A$1-1))</f>
        <v>Oahu</v>
      </c>
      <c r="B480">
        <f ca="1">IF(ISNA(B$1), 0, OFFSET(data!$A$1, ROW()-1, B$1-1))</f>
        <v>2035</v>
      </c>
      <c r="C480" t="str">
        <f ca="1">IF(ISNA(C$1), 0, OFFSET(data!$A$1, ROW()-1, C$1-1))</f>
        <v>2035-04-09-18:00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307.889234220003</v>
      </c>
      <c r="L480">
        <f ca="1">IF(ISNA(L$1), 0, OFFSET(data!$A$1, ROW()-1, L$1-1))</f>
        <v>57.599999999999902</v>
      </c>
      <c r="M480">
        <f ca="1">IF(ISNA(M$1), 0, OFFSET(data!$A$1, ROW()-1, M$1-1))</f>
        <v>79.792514254339096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445.28174847434201</v>
      </c>
      <c r="R480">
        <f ca="1">IF(ISNA(R$1), 0, OFFSET(data!$A$1, ROW()-1, R$1-1))</f>
        <v>173.03798234065701</v>
      </c>
      <c r="S480">
        <f ca="1">IF(ISNA(S$1), 0, OFFSET(data!$A$1, ROW()-1, S$1-1))</f>
        <v>150</v>
      </c>
      <c r="T480">
        <f ca="1">IF(ISNA(T$1), 0, OFFSET(data!$A$1, ROW()-1, T$1-1))</f>
        <v>1097.5996154500001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-329.27988463499997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ca="1">IF(ISNA(Z$1), 0, OFFSET(data!$A$1, ROW()-1, Z$1-1))</f>
        <v>89.786756444444407</v>
      </c>
      <c r="AA480" t="str">
        <f ca="1">IF(ISNA(AA$1), #N/A, OFFSET(data!$A$1, ROW()-1, AA$1-1))</f>
        <v>peak</v>
      </c>
      <c r="AB480">
        <f t="shared" ca="1" si="90"/>
        <v>2035</v>
      </c>
      <c r="AC480">
        <f t="shared" ca="1" si="91"/>
        <v>4</v>
      </c>
      <c r="AD480" t="str">
        <f t="shared" ca="1" si="92"/>
        <v>04/09/2035</v>
      </c>
      <c r="AE480" t="str">
        <f t="shared" ca="1" si="93"/>
        <v/>
      </c>
      <c r="AF480" s="6">
        <f t="shared" ca="1" si="94"/>
        <v>8.9786756444444407E-2</v>
      </c>
      <c r="AG480">
        <f t="shared" ca="1" si="95"/>
        <v>768.31973081500018</v>
      </c>
      <c r="AH480">
        <f t="shared" ca="1" si="96"/>
        <v>150</v>
      </c>
      <c r="AI480">
        <f t="shared" ca="1" si="97"/>
        <v>173.03798234065701</v>
      </c>
      <c r="AJ480">
        <f t="shared" ca="1" si="98"/>
        <v>307.889234220003</v>
      </c>
      <c r="AK480">
        <f t="shared" ca="1" si="99"/>
        <v>57.599999999999902</v>
      </c>
      <c r="AL480">
        <f t="shared" ca="1" si="100"/>
        <v>79.792514254339096</v>
      </c>
    </row>
    <row r="481" spans="1:38">
      <c r="A481" t="str">
        <f ca="1">IF(ISNA(A$1), 0, OFFSET(data!$A$1, ROW()-1, A$1-1))</f>
        <v>Oahu</v>
      </c>
      <c r="B481">
        <f ca="1">IF(ISNA(B$1), 0, OFFSET(data!$A$1, ROW()-1, B$1-1))</f>
        <v>2035</v>
      </c>
      <c r="C481" t="str">
        <f ca="1">IF(ISNA(C$1), 0, OFFSET(data!$A$1, ROW()-1, C$1-1))</f>
        <v>2035-04-09-20:00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91.320499408714298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148.92049940871399</v>
      </c>
      <c r="R481">
        <f ca="1">IF(ISNA(R$1), 0, OFFSET(data!$A$1, ROW()-1, R$1-1))</f>
        <v>404.83335561331899</v>
      </c>
      <c r="S481">
        <f ca="1">IF(ISNA(S$1), 0, OFFSET(data!$A$1, ROW()-1, S$1-1))</f>
        <v>153.083127493966</v>
      </c>
      <c r="T481">
        <f ca="1">IF(ISNA(T$1), 0, OFFSET(data!$A$1, ROW()-1, T$1-1))</f>
        <v>1009.76711788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-302.930135363999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89.786756444444407</v>
      </c>
      <c r="AA481" t="str">
        <f ca="1">IF(ISNA(AA$1), #N/A, OFFSET(data!$A$1, ROW()-1, AA$1-1))</f>
        <v>peak</v>
      </c>
      <c r="AB481">
        <f t="shared" ca="1" si="90"/>
        <v>2035</v>
      </c>
      <c r="AC481">
        <f t="shared" ca="1" si="91"/>
        <v>4</v>
      </c>
      <c r="AD481" t="str">
        <f t="shared" ca="1" si="92"/>
        <v>04/09/2035</v>
      </c>
      <c r="AE481" t="str">
        <f t="shared" ca="1" si="93"/>
        <v/>
      </c>
      <c r="AF481" s="6">
        <f t="shared" ca="1" si="94"/>
        <v>8.9786756444444407E-2</v>
      </c>
      <c r="AG481">
        <f t="shared" ca="1" si="95"/>
        <v>706.83698251600094</v>
      </c>
      <c r="AH481">
        <f t="shared" ca="1" si="96"/>
        <v>153.083127493966</v>
      </c>
      <c r="AI481">
        <f t="shared" ca="1" si="97"/>
        <v>404.83335561331899</v>
      </c>
      <c r="AJ481">
        <f t="shared" ca="1" si="98"/>
        <v>0</v>
      </c>
      <c r="AK481">
        <f t="shared" ca="1" si="99"/>
        <v>57.599999999999902</v>
      </c>
      <c r="AL481">
        <f t="shared" ca="1" si="100"/>
        <v>91.320499408714298</v>
      </c>
    </row>
    <row r="482" spans="1:38">
      <c r="A482" t="str">
        <f ca="1">IF(ISNA(A$1), 0, OFFSET(data!$A$1, ROW()-1, A$1-1))</f>
        <v>Oahu</v>
      </c>
      <c r="B482">
        <f ca="1">IF(ISNA(B$1), 0, OFFSET(data!$A$1, ROW()-1, B$1-1))</f>
        <v>2035</v>
      </c>
      <c r="C482" t="str">
        <f ca="1">IF(ISNA(C$1), 0, OFFSET(data!$A$1, ROW()-1, C$1-1))</f>
        <v>2035-04-09-22:00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102.96010317721399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160.56010317721399</v>
      </c>
      <c r="R482">
        <f ca="1">IF(ISNA(R$1), 0, OFFSET(data!$A$1, ROW()-1, R$1-1))</f>
        <v>166.672221415358</v>
      </c>
      <c r="S482">
        <f ca="1">IF(ISNA(S$1), 0, OFFSET(data!$A$1, ROW()-1, S$1-1))</f>
        <v>161.28046899582699</v>
      </c>
      <c r="T482">
        <f ca="1">IF(ISNA(T$1), 0, OFFSET(data!$A$1, ROW()-1, T$1-1))</f>
        <v>697.87541941200004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-209.36262582360001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89.786756444444407</v>
      </c>
      <c r="AA482" t="str">
        <f ca="1">IF(ISNA(AA$1), #N/A, OFFSET(data!$A$1, ROW()-1, AA$1-1))</f>
        <v>peak</v>
      </c>
      <c r="AB482">
        <f t="shared" ca="1" si="90"/>
        <v>2035</v>
      </c>
      <c r="AC482">
        <f t="shared" ca="1" si="91"/>
        <v>4</v>
      </c>
      <c r="AD482" t="str">
        <f t="shared" ca="1" si="92"/>
        <v>04/09/2035</v>
      </c>
      <c r="AE482" t="str">
        <f t="shared" ca="1" si="93"/>
        <v/>
      </c>
      <c r="AF482" s="6">
        <f t="shared" ca="1" si="94"/>
        <v>8.9786756444444407E-2</v>
      </c>
      <c r="AG482">
        <f t="shared" ca="1" si="95"/>
        <v>488.51279358840003</v>
      </c>
      <c r="AH482">
        <f t="shared" ca="1" si="96"/>
        <v>161.28046899582699</v>
      </c>
      <c r="AI482">
        <f t="shared" ca="1" si="97"/>
        <v>166.672221415358</v>
      </c>
      <c r="AJ482">
        <f t="shared" ca="1" si="98"/>
        <v>0</v>
      </c>
      <c r="AK482">
        <f t="shared" ca="1" si="99"/>
        <v>57.599999999999902</v>
      </c>
      <c r="AL482">
        <f t="shared" ca="1" si="100"/>
        <v>102.96010317721399</v>
      </c>
    </row>
    <row r="483" spans="1:38">
      <c r="A483" t="str">
        <f ca="1">IF(ISNA(A$1), 0, OFFSET(data!$A$1, ROW()-1, A$1-1))</f>
        <v>Oahu</v>
      </c>
      <c r="B483">
        <f ca="1">IF(ISNA(B$1), 0, OFFSET(data!$A$1, ROW()-1, B$1-1))</f>
        <v>2035</v>
      </c>
      <c r="C483" t="str">
        <f ca="1">IF(ISNA(C$1), 0, OFFSET(data!$A$1, ROW()-1, C$1-1))</f>
        <v>2035-06-01-00:00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70.785357675943203</v>
      </c>
      <c r="N483">
        <f ca="1">IF(ISNA(N$1), 0, OFFSET(data!$A$1, ROW()-1, N$1-1))</f>
        <v>0</v>
      </c>
      <c r="O483">
        <f ca="1">IF(ISNA(O$1), 0, OFFSET(data!$A$1, ROW()-1, O$1-1))</f>
        <v>57.599999999999902</v>
      </c>
      <c r="P483">
        <f ca="1">IF(ISNA(P$1), 0, OFFSET(data!$A$1, ROW()-1, P$1-1))</f>
        <v>0</v>
      </c>
      <c r="Q483">
        <f ca="1">IF(ISNA(Q$1), 0, OFFSET(data!$A$1, ROW()-1, Q$1-1))</f>
        <v>70.785357675943104</v>
      </c>
      <c r="R483">
        <f ca="1">IF(ISNA(R$1), 0, OFFSET(data!$A$1, ROW()-1, R$1-1))</f>
        <v>0</v>
      </c>
      <c r="S483">
        <f ca="1">IF(ISNA(S$1), 0, OFFSET(data!$A$1, ROW()-1, S$1-1))</f>
        <v>303.516329422556</v>
      </c>
      <c r="T483">
        <f ca="1">IF(ISNA(T$1), 0, OFFSET(data!$A$1, ROW()-1, T$1-1))</f>
        <v>534.71669585500001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-160.41500875649999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0</v>
      </c>
      <c r="AA483" t="str">
        <f ca="1">IF(ISNA(AA$1), #N/A, OFFSET(data!$A$1, ROW()-1, AA$1-1))</f>
        <v>typical</v>
      </c>
      <c r="AB483">
        <f t="shared" ca="1" si="90"/>
        <v>2035</v>
      </c>
      <c r="AC483">
        <f t="shared" ca="1" si="91"/>
        <v>6</v>
      </c>
      <c r="AD483" t="str">
        <f t="shared" ca="1" si="92"/>
        <v>06/01/2035</v>
      </c>
      <c r="AE483" t="str">
        <f t="shared" ca="1" si="93"/>
        <v/>
      </c>
      <c r="AF483" s="6">
        <f t="shared" ca="1" si="94"/>
        <v>0</v>
      </c>
      <c r="AG483">
        <f t="shared" ca="1" si="95"/>
        <v>374.3016870985</v>
      </c>
      <c r="AH483">
        <f t="shared" ca="1" si="96"/>
        <v>303.516329422556</v>
      </c>
      <c r="AI483">
        <f t="shared" ca="1" si="97"/>
        <v>0</v>
      </c>
      <c r="AJ483">
        <f t="shared" ca="1" si="98"/>
        <v>0</v>
      </c>
      <c r="AK483">
        <f t="shared" ca="1" si="99"/>
        <v>57.599999999999902</v>
      </c>
      <c r="AL483">
        <f t="shared" ca="1" si="100"/>
        <v>70.785357675943203</v>
      </c>
    </row>
    <row r="484" spans="1:38">
      <c r="A484" t="str">
        <f ca="1">IF(ISNA(A$1), 0, OFFSET(data!$A$1, ROW()-1, A$1-1))</f>
        <v>Oahu</v>
      </c>
      <c r="B484">
        <f ca="1">IF(ISNA(B$1), 0, OFFSET(data!$A$1, ROW()-1, B$1-1))</f>
        <v>2035</v>
      </c>
      <c r="C484" t="str">
        <f ca="1">IF(ISNA(C$1), 0, OFFSET(data!$A$1, ROW()-1, C$1-1))</f>
        <v>2035-06-01-02:00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65.936626392903804</v>
      </c>
      <c r="N484">
        <f ca="1">IF(ISNA(N$1), 0, OFFSET(data!$A$1, ROW()-1, N$1-1))</f>
        <v>0</v>
      </c>
      <c r="O484">
        <f ca="1">IF(ISNA(O$1), 0, OFFSET(data!$A$1, ROW()-1, O$1-1))</f>
        <v>57.599999999999902</v>
      </c>
      <c r="P484">
        <f ca="1">IF(ISNA(P$1), 0, OFFSET(data!$A$1, ROW()-1, P$1-1))</f>
        <v>14.007369765987001</v>
      </c>
      <c r="Q484">
        <f ca="1">IF(ISNA(Q$1), 0, OFFSET(data!$A$1, ROW()-1, Q$1-1))</f>
        <v>65.936626392903804</v>
      </c>
      <c r="R484">
        <f ca="1">IF(ISNA(R$1), 0, OFFSET(data!$A$1, ROW()-1, R$1-1))</f>
        <v>0</v>
      </c>
      <c r="S484">
        <f ca="1">IF(ISNA(S$1), 0, OFFSET(data!$A$1, ROW()-1, S$1-1))</f>
        <v>228.93278727669599</v>
      </c>
      <c r="T484">
        <f ca="1">IF(ISNA(T$1), 0, OFFSET(data!$A$1, ROW()-1, T$1-1))</f>
        <v>421.24201952800001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-126.37260585839999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0</v>
      </c>
      <c r="AA484" t="str">
        <f ca="1">IF(ISNA(AA$1), #N/A, OFFSET(data!$A$1, ROW()-1, AA$1-1))</f>
        <v>typical</v>
      </c>
      <c r="AB484">
        <f t="shared" ca="1" si="90"/>
        <v>2035</v>
      </c>
      <c r="AC484">
        <f t="shared" ca="1" si="91"/>
        <v>6</v>
      </c>
      <c r="AD484" t="str">
        <f t="shared" ca="1" si="92"/>
        <v>06/01/2035</v>
      </c>
      <c r="AE484" t="str">
        <f t="shared" ca="1" si="93"/>
        <v/>
      </c>
      <c r="AF484" s="6">
        <f t="shared" ca="1" si="94"/>
        <v>0</v>
      </c>
      <c r="AG484">
        <f t="shared" ca="1" si="95"/>
        <v>294.86941366960002</v>
      </c>
      <c r="AH484">
        <f t="shared" ca="1" si="96"/>
        <v>228.93278727669599</v>
      </c>
      <c r="AI484">
        <f t="shared" ca="1" si="97"/>
        <v>0</v>
      </c>
      <c r="AJ484">
        <f t="shared" ca="1" si="98"/>
        <v>0</v>
      </c>
      <c r="AK484">
        <f t="shared" ca="1" si="99"/>
        <v>57.599999999999902</v>
      </c>
      <c r="AL484">
        <f t="shared" ca="1" si="100"/>
        <v>79.943996158890798</v>
      </c>
    </row>
    <row r="485" spans="1:38">
      <c r="A485" t="str">
        <f ca="1">IF(ISNA(A$1), 0, OFFSET(data!$A$1, ROW()-1, A$1-1))</f>
        <v>Oahu</v>
      </c>
      <c r="B485">
        <f ca="1">IF(ISNA(B$1), 0, OFFSET(data!$A$1, ROW()-1, B$1-1))</f>
        <v>2035</v>
      </c>
      <c r="C485" t="str">
        <f ca="1">IF(ISNA(C$1), 0, OFFSET(data!$A$1, ROW()-1, C$1-1))</f>
        <v>2035-06-01-04:00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53.5940862248668</v>
      </c>
      <c r="N485">
        <f ca="1">IF(ISNA(N$1), 0, OFFSET(data!$A$1, ROW()-1, N$1-1))</f>
        <v>0</v>
      </c>
      <c r="O485">
        <f ca="1">IF(ISNA(O$1), 0, OFFSET(data!$A$1, ROW()-1, O$1-1))</f>
        <v>57.599999999999902</v>
      </c>
      <c r="P485">
        <f ca="1">IF(ISNA(P$1), 0, OFFSET(data!$A$1, ROW()-1, P$1-1))</f>
        <v>1.43431125354004</v>
      </c>
      <c r="Q485">
        <f ca="1">IF(ISNA(Q$1), 0, OFFSET(data!$A$1, ROW()-1, Q$1-1))</f>
        <v>53.5940862248668</v>
      </c>
      <c r="R485">
        <f ca="1">IF(ISNA(R$1), 0, OFFSET(data!$A$1, ROW()-1, R$1-1))</f>
        <v>0</v>
      </c>
      <c r="S485">
        <f ca="1">IF(ISNA(S$1), 0, OFFSET(data!$A$1, ROW()-1, S$1-1))</f>
        <v>235.94850173353299</v>
      </c>
      <c r="T485">
        <f ca="1">IF(ISNA(T$1), 0, OFFSET(data!$A$1, ROW()-1, T$1-1))</f>
        <v>413.632268512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-124.089680553599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0</v>
      </c>
      <c r="AA485" t="str">
        <f ca="1">IF(ISNA(AA$1), #N/A, OFFSET(data!$A$1, ROW()-1, AA$1-1))</f>
        <v>typical</v>
      </c>
      <c r="AB485">
        <f t="shared" ca="1" si="90"/>
        <v>2035</v>
      </c>
      <c r="AC485">
        <f t="shared" ca="1" si="91"/>
        <v>6</v>
      </c>
      <c r="AD485" t="str">
        <f t="shared" ca="1" si="92"/>
        <v>06/01/2035</v>
      </c>
      <c r="AE485" t="str">
        <f t="shared" ca="1" si="93"/>
        <v/>
      </c>
      <c r="AF485" s="6">
        <f t="shared" ca="1" si="94"/>
        <v>0</v>
      </c>
      <c r="AG485">
        <f t="shared" ca="1" si="95"/>
        <v>289.54258795840099</v>
      </c>
      <c r="AH485">
        <f t="shared" ca="1" si="96"/>
        <v>235.94850173353299</v>
      </c>
      <c r="AI485">
        <f t="shared" ca="1" si="97"/>
        <v>0</v>
      </c>
      <c r="AJ485">
        <f t="shared" ca="1" si="98"/>
        <v>0</v>
      </c>
      <c r="AK485">
        <f t="shared" ca="1" si="99"/>
        <v>57.599999999999902</v>
      </c>
      <c r="AL485">
        <f t="shared" ca="1" si="100"/>
        <v>55.028397478406838</v>
      </c>
    </row>
    <row r="486" spans="1:38">
      <c r="A486" t="str">
        <f ca="1">IF(ISNA(A$1), 0, OFFSET(data!$A$1, ROW()-1, A$1-1))</f>
        <v>Oahu</v>
      </c>
      <c r="B486">
        <f ca="1">IF(ISNA(B$1), 0, OFFSET(data!$A$1, ROW()-1, B$1-1))</f>
        <v>2035</v>
      </c>
      <c r="C486" t="str">
        <f ca="1">IF(ISNA(C$1), 0, OFFSET(data!$A$1, ROW()-1, C$1-1))</f>
        <v>2035-06-01-06:00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573.87406122599396</v>
      </c>
      <c r="L486">
        <f ca="1">IF(ISNA(L$1), 0, OFFSET(data!$A$1, ROW()-1, L$1-1))</f>
        <v>0</v>
      </c>
      <c r="M486">
        <f ca="1">IF(ISNA(M$1), 0, OFFSET(data!$A$1, ROW()-1, M$1-1))</f>
        <v>78.123436259986903</v>
      </c>
      <c r="N486">
        <f ca="1">IF(ISNA(N$1), 0, OFFSET(data!$A$1, ROW()-1, N$1-1))</f>
        <v>38.604336551223398</v>
      </c>
      <c r="O486">
        <f ca="1">IF(ISNA(O$1), 0, OFFSET(data!$A$1, ROW()-1, O$1-1))</f>
        <v>57.599999999999902</v>
      </c>
      <c r="P486">
        <f ca="1">IF(ISNA(P$1), 0, OFFSET(data!$A$1, ROW()-1, P$1-1))</f>
        <v>0</v>
      </c>
      <c r="Q486">
        <f ca="1">IF(ISNA(Q$1), 0, OFFSET(data!$A$1, ROW()-1, Q$1-1))</f>
        <v>651.99749748598094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571.21615179200001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-171.36484553759999</v>
      </c>
      <c r="X486">
        <f ca="1">IF(ISNA(X$1), 0, OFFSET(data!$A$1, ROW()-1, X$1-1))</f>
        <v>0</v>
      </c>
      <c r="Y486">
        <f ca="1">IF(ISNA(Y$1), 0, OFFSET(data!$A$1, ROW()-1, Y$1-1))</f>
        <v>252.14619123158201</v>
      </c>
      <c r="Z486">
        <f ca="1">IF(ISNA(Z$1), 0, OFFSET(data!$A$1, ROW()-1, Z$1-1))</f>
        <v>0</v>
      </c>
      <c r="AA486" t="str">
        <f ca="1">IF(ISNA(AA$1), #N/A, OFFSET(data!$A$1, ROW()-1, AA$1-1))</f>
        <v>typical</v>
      </c>
      <c r="AB486">
        <f t="shared" ca="1" si="90"/>
        <v>2035</v>
      </c>
      <c r="AC486">
        <f t="shared" ca="1" si="91"/>
        <v>6</v>
      </c>
      <c r="AD486" t="str">
        <f t="shared" ca="1" si="92"/>
        <v>06/01/2035</v>
      </c>
      <c r="AE486" t="str">
        <f t="shared" ca="1" si="93"/>
        <v/>
      </c>
      <c r="AF486" s="6">
        <f t="shared" ca="1" si="94"/>
        <v>0</v>
      </c>
      <c r="AG486">
        <f t="shared" ca="1" si="95"/>
        <v>399.85130625440001</v>
      </c>
      <c r="AH486">
        <f t="shared" ca="1" si="96"/>
        <v>252.14619123158201</v>
      </c>
      <c r="AI486">
        <f t="shared" ca="1" si="97"/>
        <v>0</v>
      </c>
      <c r="AJ486">
        <f t="shared" ca="1" si="98"/>
        <v>612.47839777721731</v>
      </c>
      <c r="AK486">
        <f t="shared" ca="1" si="99"/>
        <v>57.599999999999902</v>
      </c>
      <c r="AL486">
        <f t="shared" ca="1" si="100"/>
        <v>78.123436259986903</v>
      </c>
    </row>
    <row r="487" spans="1:38">
      <c r="A487" t="str">
        <f ca="1">IF(ISNA(A$1), 0, OFFSET(data!$A$1, ROW()-1, A$1-1))</f>
        <v>Oahu</v>
      </c>
      <c r="B487">
        <f ca="1">IF(ISNA(B$1), 0, OFFSET(data!$A$1, ROW()-1, B$1-1))</f>
        <v>2035</v>
      </c>
      <c r="C487" t="str">
        <f ca="1">IF(ISNA(C$1), 0, OFFSET(data!$A$1, ROW()-1, C$1-1))</f>
        <v>2035-06-01-08:00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1331.4295187401499</v>
      </c>
      <c r="L487">
        <f ca="1">IF(ISNA(L$1), 0, OFFSET(data!$A$1, ROW()-1, L$1-1))</f>
        <v>0</v>
      </c>
      <c r="M487">
        <f ca="1">IF(ISNA(M$1), 0, OFFSET(data!$A$1, ROW()-1, M$1-1))</f>
        <v>80.751947552151094</v>
      </c>
      <c r="N487">
        <f ca="1">IF(ISNA(N$1), 0, OFFSET(data!$A$1, ROW()-1, N$1-1))</f>
        <v>1058.8971196340899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1412.18146629231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805.52846222599999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364.53250110956202</v>
      </c>
      <c r="X487">
        <f ca="1">IF(ISNA(X$1), 0, OFFSET(data!$A$1, ROW()-1, X$1-1))</f>
        <v>0</v>
      </c>
      <c r="Y487">
        <f ca="1">IF(ISNA(Y$1), 0, OFFSET(data!$A$1, ROW()-1, Y$1-1))</f>
        <v>242.120502956748</v>
      </c>
      <c r="Z487">
        <f ca="1">IF(ISNA(Z$1), 0, OFFSET(data!$A$1, ROW()-1, Z$1-1))</f>
        <v>0</v>
      </c>
      <c r="AA487" t="str">
        <f ca="1">IF(ISNA(AA$1), #N/A, OFFSET(data!$A$1, ROW()-1, AA$1-1))</f>
        <v>typical</v>
      </c>
      <c r="AB487">
        <f t="shared" ca="1" si="90"/>
        <v>2035</v>
      </c>
      <c r="AC487">
        <f t="shared" ca="1" si="91"/>
        <v>6</v>
      </c>
      <c r="AD487" t="str">
        <f t="shared" ca="1" si="92"/>
        <v>06/01/2035</v>
      </c>
      <c r="AE487" t="str">
        <f t="shared" ca="1" si="93"/>
        <v/>
      </c>
      <c r="AF487" s="6">
        <f t="shared" ca="1" si="94"/>
        <v>0</v>
      </c>
      <c r="AG487">
        <f t="shared" ca="1" si="95"/>
        <v>1170.0609633355621</v>
      </c>
      <c r="AH487">
        <f t="shared" ca="1" si="96"/>
        <v>242.120502956748</v>
      </c>
      <c r="AI487">
        <f t="shared" ca="1" si="97"/>
        <v>0</v>
      </c>
      <c r="AJ487">
        <f t="shared" ca="1" si="98"/>
        <v>2390.3266383742398</v>
      </c>
      <c r="AK487">
        <f t="shared" ca="1" si="99"/>
        <v>57.599999999999902</v>
      </c>
      <c r="AL487">
        <f t="shared" ca="1" si="100"/>
        <v>80.751947552151094</v>
      </c>
    </row>
    <row r="488" spans="1:38">
      <c r="A488" t="str">
        <f ca="1">IF(ISNA(A$1), 0, OFFSET(data!$A$1, ROW()-1, A$1-1))</f>
        <v>Oahu</v>
      </c>
      <c r="B488">
        <f ca="1">IF(ISNA(B$1), 0, OFFSET(data!$A$1, ROW()-1, B$1-1))</f>
        <v>2035</v>
      </c>
      <c r="C488" t="str">
        <f ca="1">IF(ISNA(C$1), 0, OFFSET(data!$A$1, ROW()-1, C$1-1))</f>
        <v>2035-06-01-10:00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935.69194365456406</v>
      </c>
      <c r="L488">
        <f ca="1">IF(ISNA(L$1), 0, OFFSET(data!$A$1, ROW()-1, L$1-1))</f>
        <v>0</v>
      </c>
      <c r="M488">
        <f ca="1">IF(ISNA(M$1), 0, OFFSET(data!$A$1, ROW()-1, M$1-1))</f>
        <v>54.279749740735703</v>
      </c>
      <c r="N488">
        <f ca="1">IF(ISNA(N$1), 0, OFFSET(data!$A$1, ROW()-1, N$1-1))</f>
        <v>2080.0329739130002</v>
      </c>
      <c r="O488">
        <f ca="1">IF(ISNA(O$1), 0, OFFSET(data!$A$1, ROW()-1, O$1-1))</f>
        <v>57.599999999999902</v>
      </c>
      <c r="P488">
        <f ca="1">IF(ISNA(P$1), 0, OFFSET(data!$A$1, ROW()-1, P$1-1))</f>
        <v>18.1641541343743</v>
      </c>
      <c r="Q488">
        <f ca="1">IF(ISNA(Q$1), 0, OFFSET(data!$A$1, ROW()-1, Q$1-1))</f>
        <v>989.97169339530001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914.245276279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-274.27358288369999</v>
      </c>
      <c r="X488">
        <f ca="1">IF(ISNA(X$1), 0, OFFSET(data!$A$1, ROW()-1, X$1-1))</f>
        <v>0</v>
      </c>
      <c r="Y488">
        <f ca="1">IF(ISNA(Y$1), 0, OFFSET(data!$A$1, ROW()-1, Y$1-1))</f>
        <v>350</v>
      </c>
      <c r="Z488">
        <f ca="1">IF(ISNA(Z$1), 0, OFFSET(data!$A$1, ROW()-1, Z$1-1))</f>
        <v>0</v>
      </c>
      <c r="AA488" t="str">
        <f ca="1">IF(ISNA(AA$1), #N/A, OFFSET(data!$A$1, ROW()-1, AA$1-1))</f>
        <v>typical</v>
      </c>
      <c r="AB488">
        <f t="shared" ca="1" si="90"/>
        <v>2035</v>
      </c>
      <c r="AC488">
        <f t="shared" ca="1" si="91"/>
        <v>6</v>
      </c>
      <c r="AD488" t="str">
        <f t="shared" ca="1" si="92"/>
        <v>06/01/2035</v>
      </c>
      <c r="AE488" t="str">
        <f t="shared" ca="1" si="93"/>
        <v/>
      </c>
      <c r="AF488" s="6">
        <f t="shared" ca="1" si="94"/>
        <v>0</v>
      </c>
      <c r="AG488">
        <f t="shared" ca="1" si="95"/>
        <v>639.97169339530001</v>
      </c>
      <c r="AH488">
        <f t="shared" ca="1" si="96"/>
        <v>350</v>
      </c>
      <c r="AI488">
        <f t="shared" ca="1" si="97"/>
        <v>0</v>
      </c>
      <c r="AJ488">
        <f t="shared" ca="1" si="98"/>
        <v>3015.7249175675643</v>
      </c>
      <c r="AK488">
        <f t="shared" ca="1" si="99"/>
        <v>57.599999999999902</v>
      </c>
      <c r="AL488">
        <f t="shared" ca="1" si="100"/>
        <v>72.44390387511001</v>
      </c>
    </row>
    <row r="489" spans="1:38">
      <c r="A489" t="str">
        <f ca="1">IF(ISNA(A$1), 0, OFFSET(data!$A$1, ROW()-1, A$1-1))</f>
        <v>Oahu</v>
      </c>
      <c r="B489">
        <f ca="1">IF(ISNA(B$1), 0, OFFSET(data!$A$1, ROW()-1, B$1-1))</f>
        <v>2035</v>
      </c>
      <c r="C489" t="str">
        <f ca="1">IF(ISNA(C$1), 0, OFFSET(data!$A$1, ROW()-1, C$1-1))</f>
        <v>2035-06-01-12:00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1019.0585096833699</v>
      </c>
      <c r="L489">
        <f ca="1">IF(ISNA(L$1), 0, OFFSET(data!$A$1, ROW()-1, L$1-1))</f>
        <v>0</v>
      </c>
      <c r="M489">
        <f ca="1">IF(ISNA(M$1), 0, OFFSET(data!$A$1, ROW()-1, M$1-1))</f>
        <v>33.415350601437098</v>
      </c>
      <c r="N489">
        <f ca="1">IF(ISNA(N$1), 0, OFFSET(data!$A$1, ROW()-1, N$1-1))</f>
        <v>2167.3567644580999</v>
      </c>
      <c r="O489">
        <f ca="1">IF(ISNA(O$1), 0, OFFSET(data!$A$1, ROW()-1, O$1-1))</f>
        <v>57.599999999999902</v>
      </c>
      <c r="P489">
        <f ca="1">IF(ISNA(P$1), 0, OFFSET(data!$A$1, ROW()-1, P$1-1))</f>
        <v>25.4509495902001</v>
      </c>
      <c r="Q489">
        <f ca="1">IF(ISNA(Q$1), 0, OFFSET(data!$A$1, ROW()-1, Q$1-1))</f>
        <v>1052.4738602848099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921.62195874199995</v>
      </c>
      <c r="U489">
        <f ca="1">IF(ISNA(U$1), 0, OFFSET(data!$A$1, ROW()-1, U$1-1))</f>
        <v>0</v>
      </c>
      <c r="V489">
        <f ca="1">IF(ISNA(V$1), 0, OFFSET(data!$A$1, ROW()-1, V$1-1))</f>
        <v>0</v>
      </c>
      <c r="W489">
        <f ca="1">IF(ISNA(W$1), 0, OFFSET(data!$A$1, ROW()-1, W$1-1))</f>
        <v>-219.14809845718599</v>
      </c>
      <c r="X489">
        <f ca="1">IF(ISNA(X$1), 0, OFFSET(data!$A$1, ROW()-1, X$1-1))</f>
        <v>0</v>
      </c>
      <c r="Y489">
        <f ca="1">IF(ISNA(Y$1), 0, OFFSET(data!$A$1, ROW()-1, Y$1-1))</f>
        <v>350</v>
      </c>
      <c r="Z489">
        <f ca="1">IF(ISNA(Z$1), 0, OFFSET(data!$A$1, ROW()-1, Z$1-1))</f>
        <v>0</v>
      </c>
      <c r="AA489" t="str">
        <f ca="1">IF(ISNA(AA$1), #N/A, OFFSET(data!$A$1, ROW()-1, AA$1-1))</f>
        <v>typical</v>
      </c>
      <c r="AB489">
        <f t="shared" ca="1" si="90"/>
        <v>2035</v>
      </c>
      <c r="AC489">
        <f t="shared" ca="1" si="91"/>
        <v>6</v>
      </c>
      <c r="AD489" t="str">
        <f t="shared" ca="1" si="92"/>
        <v>06/01/2035</v>
      </c>
      <c r="AE489" t="str">
        <f t="shared" ca="1" si="93"/>
        <v>06/01/2035</v>
      </c>
      <c r="AF489" s="6">
        <f t="shared" ca="1" si="94"/>
        <v>0</v>
      </c>
      <c r="AG489">
        <f t="shared" ca="1" si="95"/>
        <v>702.47386028481401</v>
      </c>
      <c r="AH489">
        <f t="shared" ca="1" si="96"/>
        <v>350</v>
      </c>
      <c r="AI489">
        <f t="shared" ca="1" si="97"/>
        <v>0</v>
      </c>
      <c r="AJ489">
        <f t="shared" ca="1" si="98"/>
        <v>3186.41527414147</v>
      </c>
      <c r="AK489">
        <f t="shared" ca="1" si="99"/>
        <v>57.599999999999902</v>
      </c>
      <c r="AL489">
        <f t="shared" ca="1" si="100"/>
        <v>58.866300191637194</v>
      </c>
    </row>
    <row r="490" spans="1:38">
      <c r="A490" t="str">
        <f ca="1">IF(ISNA(A$1), 0, OFFSET(data!$A$1, ROW()-1, A$1-1))</f>
        <v>Oahu</v>
      </c>
      <c r="B490">
        <f ca="1">IF(ISNA(B$1), 0, OFFSET(data!$A$1, ROW()-1, B$1-1))</f>
        <v>2035</v>
      </c>
      <c r="C490" t="str">
        <f ca="1">IF(ISNA(C$1), 0, OFFSET(data!$A$1, ROW()-1, C$1-1))</f>
        <v>2035-06-01-14:00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2285.1780279106802</v>
      </c>
      <c r="L490">
        <f ca="1">IF(ISNA(L$1), 0, OFFSET(data!$A$1, ROW()-1, L$1-1))</f>
        <v>0</v>
      </c>
      <c r="M490">
        <f ca="1">IF(ISNA(M$1), 0, OFFSET(data!$A$1, ROW()-1, M$1-1))</f>
        <v>37.581976732169998</v>
      </c>
      <c r="N490">
        <f ca="1">IF(ISNA(N$1), 0, OFFSET(data!$A$1, ROW()-1, N$1-1))</f>
        <v>813.02999148952301</v>
      </c>
      <c r="O490">
        <f ca="1">IF(ISNA(O$1), 0, OFFSET(data!$A$1, ROW()-1, O$1-1))</f>
        <v>57.599999999999902</v>
      </c>
      <c r="P490">
        <f ca="1">IF(ISNA(P$1), 0, OFFSET(data!$A$1, ROW()-1, P$1-1))</f>
        <v>20.917499170314699</v>
      </c>
      <c r="Q490">
        <f ca="1">IF(ISNA(Q$1), 0, OFFSET(data!$A$1, ROW()-1, Q$1-1))</f>
        <v>2322.7600046428502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943.29951002300004</v>
      </c>
      <c r="U490">
        <f ca="1">IF(ISNA(U$1), 0, OFFSET(data!$A$1, ROW()-1, U$1-1))</f>
        <v>0</v>
      </c>
      <c r="V490">
        <f ca="1">IF(ISNA(V$1), 0, OFFSET(data!$A$1, ROW()-1, V$1-1))</f>
        <v>0</v>
      </c>
      <c r="W490">
        <f ca="1">IF(ISNA(W$1), 0, OFFSET(data!$A$1, ROW()-1, W$1-1))</f>
        <v>1379.4604946198499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ca="1">IF(ISNA(Z$1), 0, OFFSET(data!$A$1, ROW()-1, Z$1-1))</f>
        <v>0</v>
      </c>
      <c r="AA490" t="str">
        <f ca="1">IF(ISNA(AA$1), #N/A, OFFSET(data!$A$1, ROW()-1, AA$1-1))</f>
        <v>typical</v>
      </c>
      <c r="AB490">
        <f t="shared" ca="1" si="90"/>
        <v>2035</v>
      </c>
      <c r="AC490">
        <f t="shared" ca="1" si="91"/>
        <v>6</v>
      </c>
      <c r="AD490" t="str">
        <f t="shared" ca="1" si="92"/>
        <v>06/01/2035</v>
      </c>
      <c r="AE490" t="str">
        <f t="shared" ca="1" si="93"/>
        <v/>
      </c>
      <c r="AF490" s="6">
        <f t="shared" ca="1" si="94"/>
        <v>0</v>
      </c>
      <c r="AG490">
        <f t="shared" ca="1" si="95"/>
        <v>2322.7600046428497</v>
      </c>
      <c r="AH490">
        <f t="shared" ca="1" si="96"/>
        <v>0</v>
      </c>
      <c r="AI490">
        <f t="shared" ca="1" si="97"/>
        <v>0</v>
      </c>
      <c r="AJ490">
        <f t="shared" ca="1" si="98"/>
        <v>3098.2080194002033</v>
      </c>
      <c r="AK490">
        <f t="shared" ca="1" si="99"/>
        <v>57.599999999999902</v>
      </c>
      <c r="AL490">
        <f t="shared" ca="1" si="100"/>
        <v>58.499475902484697</v>
      </c>
    </row>
    <row r="491" spans="1:38">
      <c r="A491" t="str">
        <f ca="1">IF(ISNA(A$1), 0, OFFSET(data!$A$1, ROW()-1, A$1-1))</f>
        <v>Oahu</v>
      </c>
      <c r="B491">
        <f ca="1">IF(ISNA(B$1), 0, OFFSET(data!$A$1, ROW()-1, B$1-1))</f>
        <v>2035</v>
      </c>
      <c r="C491" t="str">
        <f ca="1">IF(ISNA(C$1), 0, OFFSET(data!$A$1, ROW()-1, C$1-1))</f>
        <v>2035-06-01-16:00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1338.0056037408399</v>
      </c>
      <c r="L491">
        <f ca="1">IF(ISNA(L$1), 0, OFFSET(data!$A$1, ROW()-1, L$1-1))</f>
        <v>0</v>
      </c>
      <c r="M491">
        <f ca="1">IF(ISNA(M$1), 0, OFFSET(data!$A$1, ROW()-1, M$1-1))</f>
        <v>29.0179091205516</v>
      </c>
      <c r="N491">
        <f ca="1">IF(ISNA(N$1), 0, OFFSET(data!$A$1, ROW()-1, N$1-1))</f>
        <v>1614.8086082536099</v>
      </c>
      <c r="O491">
        <f ca="1">IF(ISNA(O$1), 0, OFFSET(data!$A$1, ROW()-1, O$1-1))</f>
        <v>57.599999999999902</v>
      </c>
      <c r="P491">
        <f ca="1">IF(ISNA(P$1), 0, OFFSET(data!$A$1, ROW()-1, P$1-1))</f>
        <v>23.153744995476</v>
      </c>
      <c r="Q491">
        <f ca="1">IF(ISNA(Q$1), 0, OFFSET(data!$A$1, ROW()-1, Q$1-1))</f>
        <v>1367.0235128613899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962.893001637</v>
      </c>
      <c r="U491">
        <f ca="1">IF(ISNA(U$1), 0, OFFSET(data!$A$1, ROW()-1, U$1-1))</f>
        <v>0</v>
      </c>
      <c r="V491">
        <f ca="1">IF(ISNA(V$1), 0, OFFSET(data!$A$1, ROW()-1, V$1-1))</f>
        <v>0</v>
      </c>
      <c r="W491">
        <f ca="1">IF(ISNA(W$1), 0, OFFSET(data!$A$1, ROW()-1, W$1-1))</f>
        <v>54.130511224393501</v>
      </c>
      <c r="X491">
        <f ca="1">IF(ISNA(X$1), 0, OFFSET(data!$A$1, ROW()-1, X$1-1))</f>
        <v>0</v>
      </c>
      <c r="Y491">
        <f ca="1">IF(ISNA(Y$1), 0, OFFSET(data!$A$1, ROW()-1, Y$1-1))</f>
        <v>350</v>
      </c>
      <c r="Z491">
        <f ca="1">IF(ISNA(Z$1), 0, OFFSET(data!$A$1, ROW()-1, Z$1-1))</f>
        <v>0</v>
      </c>
      <c r="AA491" t="str">
        <f ca="1">IF(ISNA(AA$1), #N/A, OFFSET(data!$A$1, ROW()-1, AA$1-1))</f>
        <v>typical</v>
      </c>
      <c r="AB491">
        <f t="shared" ca="1" si="90"/>
        <v>2035</v>
      </c>
      <c r="AC491">
        <f t="shared" ca="1" si="91"/>
        <v>6</v>
      </c>
      <c r="AD491" t="str">
        <f t="shared" ca="1" si="92"/>
        <v>06/01/2035</v>
      </c>
      <c r="AE491" t="str">
        <f t="shared" ca="1" si="93"/>
        <v/>
      </c>
      <c r="AF491" s="6">
        <f t="shared" ca="1" si="94"/>
        <v>0</v>
      </c>
      <c r="AG491">
        <f t="shared" ca="1" si="95"/>
        <v>1017.0235128613936</v>
      </c>
      <c r="AH491">
        <f t="shared" ca="1" si="96"/>
        <v>350</v>
      </c>
      <c r="AI491">
        <f t="shared" ca="1" si="97"/>
        <v>0</v>
      </c>
      <c r="AJ491">
        <f t="shared" ca="1" si="98"/>
        <v>2952.8142119944496</v>
      </c>
      <c r="AK491">
        <f t="shared" ca="1" si="99"/>
        <v>57.599999999999902</v>
      </c>
      <c r="AL491">
        <f t="shared" ca="1" si="100"/>
        <v>52.171654116027597</v>
      </c>
    </row>
    <row r="492" spans="1:38">
      <c r="A492" t="str">
        <f ca="1">IF(ISNA(A$1), 0, OFFSET(data!$A$1, ROW()-1, A$1-1))</f>
        <v>Oahu</v>
      </c>
      <c r="B492">
        <f ca="1">IF(ISNA(B$1), 0, OFFSET(data!$A$1, ROW()-1, B$1-1))</f>
        <v>2035</v>
      </c>
      <c r="C492" t="str">
        <f ca="1">IF(ISNA(C$1), 0, OFFSET(data!$A$1, ROW()-1, C$1-1))</f>
        <v>2035-06-01-18:00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1147.5609784108999</v>
      </c>
      <c r="L492">
        <f ca="1">IF(ISNA(L$1), 0, OFFSET(data!$A$1, ROW()-1, L$1-1))</f>
        <v>0</v>
      </c>
      <c r="M492">
        <f ca="1">IF(ISNA(M$1), 0, OFFSET(data!$A$1, ROW()-1, M$1-1))</f>
        <v>55.6656764066352</v>
      </c>
      <c r="N492">
        <f ca="1">IF(ISNA(N$1), 0, OFFSET(data!$A$1, ROW()-1, N$1-1))</f>
        <v>922.73978360937303</v>
      </c>
      <c r="O492">
        <f ca="1">IF(ISNA(O$1), 0, OFFSET(data!$A$1, ROW()-1, O$1-1))</f>
        <v>57.599999999999902</v>
      </c>
      <c r="P492">
        <f ca="1">IF(ISNA(P$1), 0, OFFSET(data!$A$1, ROW()-1, P$1-1))</f>
        <v>28.781084569886701</v>
      </c>
      <c r="Q492">
        <f ca="1">IF(ISNA(Q$1), 0, OFFSET(data!$A$1, ROW()-1, Q$1-1))</f>
        <v>1203.2266548175301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964.19550754600004</v>
      </c>
      <c r="U492">
        <f ca="1">IF(ISNA(U$1), 0, OFFSET(data!$A$1, ROW()-1, U$1-1))</f>
        <v>0</v>
      </c>
      <c r="V492">
        <f ca="1">IF(ISNA(V$1), 0, OFFSET(data!$A$1, ROW()-1, V$1-1))</f>
        <v>243.31602479139599</v>
      </c>
      <c r="W492">
        <f ca="1">IF(ISNA(W$1), 0, OFFSET(data!$A$1, ROW()-1, W$1-1))</f>
        <v>-211.18392155592699</v>
      </c>
      <c r="X492">
        <f ca="1">IF(ISNA(X$1), 0, OFFSET(data!$A$1, ROW()-1, X$1-1))</f>
        <v>0</v>
      </c>
      <c r="Y492">
        <f ca="1">IF(ISNA(Y$1), 0, OFFSET(data!$A$1, ROW()-1, Y$1-1))</f>
        <v>206.89904403606701</v>
      </c>
      <c r="Z492">
        <f ca="1">IF(ISNA(Z$1), 0, OFFSET(data!$A$1, ROW()-1, Z$1-1))</f>
        <v>0</v>
      </c>
      <c r="AA492" t="str">
        <f ca="1">IF(ISNA(AA$1), #N/A, OFFSET(data!$A$1, ROW()-1, AA$1-1))</f>
        <v>typical</v>
      </c>
      <c r="AB492">
        <f t="shared" ca="1" si="90"/>
        <v>2035</v>
      </c>
      <c r="AC492">
        <f t="shared" ca="1" si="91"/>
        <v>6</v>
      </c>
      <c r="AD492" t="str">
        <f t="shared" ca="1" si="92"/>
        <v>06/01/2035</v>
      </c>
      <c r="AE492" t="str">
        <f t="shared" ca="1" si="93"/>
        <v/>
      </c>
      <c r="AF492" s="6">
        <f t="shared" ca="1" si="94"/>
        <v>0</v>
      </c>
      <c r="AG492">
        <f t="shared" ca="1" si="95"/>
        <v>753.01158599007306</v>
      </c>
      <c r="AH492">
        <f t="shared" ca="1" si="96"/>
        <v>206.89904403606701</v>
      </c>
      <c r="AI492">
        <f t="shared" ca="1" si="97"/>
        <v>243.31602479139599</v>
      </c>
      <c r="AJ492">
        <f t="shared" ca="1" si="98"/>
        <v>2070.3007620202729</v>
      </c>
      <c r="AK492">
        <f t="shared" ca="1" si="99"/>
        <v>57.599999999999902</v>
      </c>
      <c r="AL492">
        <f t="shared" ca="1" si="100"/>
        <v>84.446760976521901</v>
      </c>
    </row>
    <row r="493" spans="1:38">
      <c r="A493" t="str">
        <f ca="1">IF(ISNA(A$1), 0, OFFSET(data!$A$1, ROW()-1, A$1-1))</f>
        <v>Oahu</v>
      </c>
      <c r="B493">
        <f ca="1">IF(ISNA(B$1), 0, OFFSET(data!$A$1, ROW()-1, B$1-1))</f>
        <v>2035</v>
      </c>
      <c r="C493" t="str">
        <f ca="1">IF(ISNA(C$1), 0, OFFSET(data!$A$1, ROW()-1, C$1-1))</f>
        <v>2035-06-01-20:00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115.322233155627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172.922233155627</v>
      </c>
      <c r="R493">
        <f ca="1">IF(ISNA(R$1), 0, OFFSET(data!$A$1, ROW()-1, R$1-1))</f>
        <v>155.96895441337199</v>
      </c>
      <c r="S493">
        <f ca="1">IF(ISNA(S$1), 0, OFFSET(data!$A$1, ROW()-1, S$1-1))</f>
        <v>350</v>
      </c>
      <c r="T493">
        <f ca="1">IF(ISNA(T$1), 0, OFFSET(data!$A$1, ROW()-1, T$1-1))</f>
        <v>969.84455366999998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-290.95336610099997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89.786756444444407</v>
      </c>
      <c r="AA493" t="str">
        <f ca="1">IF(ISNA(AA$1), #N/A, OFFSET(data!$A$1, ROW()-1, AA$1-1))</f>
        <v>typical</v>
      </c>
      <c r="AB493">
        <f t="shared" ca="1" si="90"/>
        <v>2035</v>
      </c>
      <c r="AC493">
        <f t="shared" ca="1" si="91"/>
        <v>6</v>
      </c>
      <c r="AD493" t="str">
        <f t="shared" ca="1" si="92"/>
        <v>06/01/2035</v>
      </c>
      <c r="AE493" t="str">
        <f t="shared" ca="1" si="93"/>
        <v/>
      </c>
      <c r="AF493" s="6">
        <f t="shared" ca="1" si="94"/>
        <v>8.9786756444444407E-2</v>
      </c>
      <c r="AG493">
        <f t="shared" ca="1" si="95"/>
        <v>678.89118756900007</v>
      </c>
      <c r="AH493">
        <f t="shared" ca="1" si="96"/>
        <v>350</v>
      </c>
      <c r="AI493">
        <f t="shared" ca="1" si="97"/>
        <v>155.96895441337199</v>
      </c>
      <c r="AJ493">
        <f t="shared" ca="1" si="98"/>
        <v>0</v>
      </c>
      <c r="AK493">
        <f t="shared" ca="1" si="99"/>
        <v>57.599999999999902</v>
      </c>
      <c r="AL493">
        <f t="shared" ca="1" si="100"/>
        <v>115.322233155627</v>
      </c>
    </row>
    <row r="494" spans="1:38">
      <c r="A494" t="str">
        <f ca="1">IF(ISNA(A$1), 0, OFFSET(data!$A$1, ROW()-1, A$1-1))</f>
        <v>Oahu</v>
      </c>
      <c r="B494">
        <f ca="1">IF(ISNA(B$1), 0, OFFSET(data!$A$1, ROW()-1, B$1-1))</f>
        <v>2035</v>
      </c>
      <c r="C494" t="str">
        <f ca="1">IF(ISNA(C$1), 0, OFFSET(data!$A$1, ROW()-1, C$1-1))</f>
        <v>2035-06-01-22:00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79.967529402925294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137.567529402925</v>
      </c>
      <c r="R494">
        <f ca="1">IF(ISNA(R$1), 0, OFFSET(data!$A$1, ROW()-1, R$1-1))</f>
        <v>26.518064180174601</v>
      </c>
      <c r="S494">
        <f ca="1">IF(ISNA(S$1), 0, OFFSET(data!$A$1, ROW()-1, S$1-1))</f>
        <v>350</v>
      </c>
      <c r="T494">
        <f ca="1">IF(ISNA(T$1), 0, OFFSET(data!$A$1, ROW()-1, T$1-1))</f>
        <v>734.40799083299999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-220.32239724989901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89.786756444444407</v>
      </c>
      <c r="AA494" t="str">
        <f ca="1">IF(ISNA(AA$1), #N/A, OFFSET(data!$A$1, ROW()-1, AA$1-1))</f>
        <v>typical</v>
      </c>
      <c r="AB494">
        <f t="shared" ca="1" si="90"/>
        <v>2035</v>
      </c>
      <c r="AC494">
        <f t="shared" ca="1" si="91"/>
        <v>6</v>
      </c>
      <c r="AD494" t="str">
        <f t="shared" ca="1" si="92"/>
        <v>06/01/2035</v>
      </c>
      <c r="AE494" t="str">
        <f t="shared" ca="1" si="93"/>
        <v/>
      </c>
      <c r="AF494" s="6">
        <f t="shared" ca="1" si="94"/>
        <v>8.9786756444444407E-2</v>
      </c>
      <c r="AG494">
        <f t="shared" ca="1" si="95"/>
        <v>514.08559358310094</v>
      </c>
      <c r="AH494">
        <f t="shared" ca="1" si="96"/>
        <v>350</v>
      </c>
      <c r="AI494">
        <f t="shared" ca="1" si="97"/>
        <v>26.518064180174601</v>
      </c>
      <c r="AJ494">
        <f t="shared" ca="1" si="98"/>
        <v>0</v>
      </c>
      <c r="AK494">
        <f t="shared" ca="1" si="99"/>
        <v>57.599999999999902</v>
      </c>
      <c r="AL494">
        <f t="shared" ca="1" si="100"/>
        <v>79.967529402925294</v>
      </c>
    </row>
    <row r="495" spans="1:38">
      <c r="A495" t="str">
        <f ca="1">IF(ISNA(A$1), 0, OFFSET(data!$A$1, ROW()-1, A$1-1))</f>
        <v>Oahu</v>
      </c>
      <c r="B495">
        <f ca="1">IF(ISNA(B$1), 0, OFFSET(data!$A$1, ROW()-1, B$1-1))</f>
        <v>2035</v>
      </c>
      <c r="C495" t="str">
        <f ca="1">IF(ISNA(C$1), 0, OFFSET(data!$A$1, ROW()-1, C$1-1))</f>
        <v>2035-06-05-00:00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36.389527825664402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36.389527825664402</v>
      </c>
      <c r="R495">
        <f ca="1">IF(ISNA(R$1), 0, OFFSET(data!$A$1, ROW()-1, R$1-1))</f>
        <v>0</v>
      </c>
      <c r="S495">
        <f ca="1">IF(ISNA(S$1), 0, OFFSET(data!$A$1, ROW()-1, S$1-1))</f>
        <v>340.818000271735</v>
      </c>
      <c r="T495">
        <f ca="1">IF(ISNA(T$1), 0, OFFSET(data!$A$1, ROW()-1, T$1-1))</f>
        <v>538.86789728199994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-161.66036918459901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0</v>
      </c>
      <c r="AA495" t="str">
        <f ca="1">IF(ISNA(AA$1), #N/A, OFFSET(data!$A$1, ROW()-1, AA$1-1))</f>
        <v>peak</v>
      </c>
      <c r="AB495">
        <f t="shared" ca="1" si="90"/>
        <v>2035</v>
      </c>
      <c r="AC495">
        <f t="shared" ca="1" si="91"/>
        <v>6</v>
      </c>
      <c r="AD495" t="str">
        <f t="shared" ca="1" si="92"/>
        <v>06/05/2035</v>
      </c>
      <c r="AE495" t="str">
        <f t="shared" ca="1" si="93"/>
        <v/>
      </c>
      <c r="AF495" s="6">
        <f t="shared" ca="1" si="94"/>
        <v>0</v>
      </c>
      <c r="AG495">
        <f t="shared" ca="1" si="95"/>
        <v>377.20752809740094</v>
      </c>
      <c r="AH495">
        <f t="shared" ca="1" si="96"/>
        <v>340.818000271735</v>
      </c>
      <c r="AI495">
        <f t="shared" ca="1" si="97"/>
        <v>0</v>
      </c>
      <c r="AJ495">
        <f t="shared" ca="1" si="98"/>
        <v>0</v>
      </c>
      <c r="AK495">
        <f t="shared" ca="1" si="99"/>
        <v>57.599999999999902</v>
      </c>
      <c r="AL495">
        <f t="shared" ca="1" si="100"/>
        <v>36.389527825664402</v>
      </c>
    </row>
    <row r="496" spans="1:38">
      <c r="A496" t="str">
        <f ca="1">IF(ISNA(A$1), 0, OFFSET(data!$A$1, ROW()-1, A$1-1))</f>
        <v>Oahu</v>
      </c>
      <c r="B496">
        <f ca="1">IF(ISNA(B$1), 0, OFFSET(data!$A$1, ROW()-1, B$1-1))</f>
        <v>2035</v>
      </c>
      <c r="C496" t="str">
        <f ca="1">IF(ISNA(C$1), 0, OFFSET(data!$A$1, ROW()-1, C$1-1))</f>
        <v>2035-06-05-02:00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48.669259884779301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0</v>
      </c>
      <c r="Q496">
        <f ca="1">IF(ISNA(Q$1), 0, OFFSET(data!$A$1, ROW()-1, Q$1-1))</f>
        <v>48.669259884779301</v>
      </c>
      <c r="R496">
        <f ca="1">IF(ISNA(R$1), 0, OFFSET(data!$A$1, ROW()-1, R$1-1))</f>
        <v>0</v>
      </c>
      <c r="S496">
        <f ca="1">IF(ISNA(S$1), 0, OFFSET(data!$A$1, ROW()-1, S$1-1))</f>
        <v>299.95896643921998</v>
      </c>
      <c r="T496">
        <f ca="1">IF(ISNA(T$1), 0, OFFSET(data!$A$1, ROW()-1, T$1-1))</f>
        <v>498.04032332000003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-149.412096996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0</v>
      </c>
      <c r="AA496" t="str">
        <f ca="1">IF(ISNA(AA$1), #N/A, OFFSET(data!$A$1, ROW()-1, AA$1-1))</f>
        <v>peak</v>
      </c>
      <c r="AB496">
        <f t="shared" ca="1" si="90"/>
        <v>2035</v>
      </c>
      <c r="AC496">
        <f t="shared" ca="1" si="91"/>
        <v>6</v>
      </c>
      <c r="AD496" t="str">
        <f t="shared" ca="1" si="92"/>
        <v>06/05/2035</v>
      </c>
      <c r="AE496" t="str">
        <f t="shared" ca="1" si="93"/>
        <v/>
      </c>
      <c r="AF496" s="6">
        <f t="shared" ca="1" si="94"/>
        <v>0</v>
      </c>
      <c r="AG496">
        <f t="shared" ca="1" si="95"/>
        <v>348.62822632400002</v>
      </c>
      <c r="AH496">
        <f t="shared" ca="1" si="96"/>
        <v>299.95896643921998</v>
      </c>
      <c r="AI496">
        <f t="shared" ca="1" si="97"/>
        <v>0</v>
      </c>
      <c r="AJ496">
        <f t="shared" ca="1" si="98"/>
        <v>0</v>
      </c>
      <c r="AK496">
        <f t="shared" ca="1" si="99"/>
        <v>57.599999999999902</v>
      </c>
      <c r="AL496">
        <f t="shared" ca="1" si="100"/>
        <v>48.669259884779301</v>
      </c>
    </row>
    <row r="497" spans="1:38">
      <c r="A497" t="str">
        <f ca="1">IF(ISNA(A$1), 0, OFFSET(data!$A$1, ROW()-1, A$1-1))</f>
        <v>Oahu</v>
      </c>
      <c r="B497">
        <f ca="1">IF(ISNA(B$1), 0, OFFSET(data!$A$1, ROW()-1, B$1-1))</f>
        <v>2035</v>
      </c>
      <c r="C497" t="str">
        <f ca="1">IF(ISNA(C$1), 0, OFFSET(data!$A$1, ROW()-1, C$1-1))</f>
        <v>2035-06-05-04:00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96.137595429349702</v>
      </c>
      <c r="N497">
        <f ca="1">IF(ISNA(N$1), 0, OFFSET(data!$A$1, ROW()-1, N$1-1))</f>
        <v>0</v>
      </c>
      <c r="O497">
        <f ca="1">IF(ISNA(O$1), 0, OFFSET(data!$A$1, ROW()-1, O$1-1))</f>
        <v>57.599999999999902</v>
      </c>
      <c r="P497">
        <f ca="1">IF(ISNA(P$1), 0, OFFSET(data!$A$1, ROW()-1, P$1-1))</f>
        <v>0</v>
      </c>
      <c r="Q497">
        <f ca="1">IF(ISNA(Q$1), 0, OFFSET(data!$A$1, ROW()-1, Q$1-1))</f>
        <v>96.137595429349702</v>
      </c>
      <c r="R497">
        <f ca="1">IF(ISNA(R$1), 0, OFFSET(data!$A$1, ROW()-1, R$1-1))</f>
        <v>0</v>
      </c>
      <c r="S497">
        <f ca="1">IF(ISNA(S$1), 0, OFFSET(data!$A$1, ROW()-1, S$1-1))</f>
        <v>315.89941520694998</v>
      </c>
      <c r="T497">
        <f ca="1">IF(ISNA(T$1), 0, OFFSET(data!$A$1, ROW()-1, T$1-1))</f>
        <v>588.624300909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-176.58729027269999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0</v>
      </c>
      <c r="AA497" t="str">
        <f ca="1">IF(ISNA(AA$1), #N/A, OFFSET(data!$A$1, ROW()-1, AA$1-1))</f>
        <v>peak</v>
      </c>
      <c r="AB497">
        <f t="shared" ca="1" si="90"/>
        <v>2035</v>
      </c>
      <c r="AC497">
        <f t="shared" ca="1" si="91"/>
        <v>6</v>
      </c>
      <c r="AD497" t="str">
        <f t="shared" ca="1" si="92"/>
        <v>06/05/2035</v>
      </c>
      <c r="AE497" t="str">
        <f t="shared" ca="1" si="93"/>
        <v/>
      </c>
      <c r="AF497" s="6">
        <f t="shared" ca="1" si="94"/>
        <v>0</v>
      </c>
      <c r="AG497">
        <f t="shared" ca="1" si="95"/>
        <v>412.03701063630001</v>
      </c>
      <c r="AH497">
        <f t="shared" ca="1" si="96"/>
        <v>315.89941520694998</v>
      </c>
      <c r="AI497">
        <f t="shared" ca="1" si="97"/>
        <v>0</v>
      </c>
      <c r="AJ497">
        <f t="shared" ca="1" si="98"/>
        <v>0</v>
      </c>
      <c r="AK497">
        <f t="shared" ca="1" si="99"/>
        <v>57.599999999999902</v>
      </c>
      <c r="AL497">
        <f t="shared" ca="1" si="100"/>
        <v>96.137595429349702</v>
      </c>
    </row>
    <row r="498" spans="1:38">
      <c r="A498" t="str">
        <f ca="1">IF(ISNA(A$1), 0, OFFSET(data!$A$1, ROW()-1, A$1-1))</f>
        <v>Oahu</v>
      </c>
      <c r="B498">
        <f ca="1">IF(ISNA(B$1), 0, OFFSET(data!$A$1, ROW()-1, B$1-1))</f>
        <v>2035</v>
      </c>
      <c r="C498" t="str">
        <f ca="1">IF(ISNA(C$1), 0, OFFSET(data!$A$1, ROW()-1, C$1-1))</f>
        <v>2035-06-05-06:00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599.82831254894097</v>
      </c>
      <c r="L498">
        <f ca="1">IF(ISNA(L$1), 0, OFFSET(data!$A$1, ROW()-1, L$1-1))</f>
        <v>0</v>
      </c>
      <c r="M498">
        <f ca="1">IF(ISNA(M$1), 0, OFFSET(data!$A$1, ROW()-1, M$1-1))</f>
        <v>92.903693347285397</v>
      </c>
      <c r="N498">
        <f ca="1">IF(ISNA(N$1), 0, OFFSET(data!$A$1, ROW()-1, N$1-1))</f>
        <v>9.76085289572198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692.73200589622695</v>
      </c>
      <c r="R498">
        <f ca="1">IF(ISNA(R$1), 0, OFFSET(data!$A$1, ROW()-1, R$1-1))</f>
        <v>0</v>
      </c>
      <c r="S498">
        <f ca="1">IF(ISNA(S$1), 0, OFFSET(data!$A$1, ROW()-1, S$1-1))</f>
        <v>97.100584793049705</v>
      </c>
      <c r="T498">
        <f ca="1">IF(ISNA(T$1), 0, OFFSET(data!$A$1, ROW()-1, T$1-1))</f>
        <v>907.09804865599995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-272.12941459679899</v>
      </c>
      <c r="X498">
        <f ca="1">IF(ISNA(X$1), 0, OFFSET(data!$A$1, ROW()-1, X$1-1))</f>
        <v>0</v>
      </c>
      <c r="Y498">
        <f ca="1">IF(ISNA(Y$1), 0, OFFSET(data!$A$1, ROW()-1, Y$1-1))</f>
        <v>154.86395663007599</v>
      </c>
      <c r="Z498">
        <f ca="1">IF(ISNA(Z$1), 0, OFFSET(data!$A$1, ROW()-1, Z$1-1))</f>
        <v>0</v>
      </c>
      <c r="AA498" t="str">
        <f ca="1">IF(ISNA(AA$1), #N/A, OFFSET(data!$A$1, ROW()-1, AA$1-1))</f>
        <v>peak</v>
      </c>
      <c r="AB498">
        <f t="shared" ca="1" si="90"/>
        <v>2035</v>
      </c>
      <c r="AC498">
        <f t="shared" ca="1" si="91"/>
        <v>6</v>
      </c>
      <c r="AD498" t="str">
        <f t="shared" ca="1" si="92"/>
        <v>06/05/2035</v>
      </c>
      <c r="AE498" t="str">
        <f t="shared" ca="1" si="93"/>
        <v/>
      </c>
      <c r="AF498" s="6">
        <f t="shared" ca="1" si="94"/>
        <v>0</v>
      </c>
      <c r="AG498">
        <f t="shared" ca="1" si="95"/>
        <v>634.96863405920089</v>
      </c>
      <c r="AH498">
        <f t="shared" ca="1" si="96"/>
        <v>154.86395663007599</v>
      </c>
      <c r="AI498">
        <f t="shared" ca="1" si="97"/>
        <v>0</v>
      </c>
      <c r="AJ498">
        <f t="shared" ca="1" si="98"/>
        <v>609.58916544466297</v>
      </c>
      <c r="AK498">
        <f t="shared" ca="1" si="99"/>
        <v>57.599999999999902</v>
      </c>
      <c r="AL498">
        <f t="shared" ca="1" si="100"/>
        <v>92.903693347285397</v>
      </c>
    </row>
    <row r="499" spans="1:38">
      <c r="A499" t="str">
        <f ca="1">IF(ISNA(A$1), 0, OFFSET(data!$A$1, ROW()-1, A$1-1))</f>
        <v>Oahu</v>
      </c>
      <c r="B499">
        <f ca="1">IF(ISNA(B$1), 0, OFFSET(data!$A$1, ROW()-1, B$1-1))</f>
        <v>2035</v>
      </c>
      <c r="C499" t="str">
        <f ca="1">IF(ISNA(C$1), 0, OFFSET(data!$A$1, ROW()-1, C$1-1))</f>
        <v>2035-06-05-08:00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1848.7863367851201</v>
      </c>
      <c r="L499">
        <f ca="1">IF(ISNA(L$1), 0, OFFSET(data!$A$1, ROW()-1, L$1-1))</f>
        <v>0</v>
      </c>
      <c r="M499">
        <f ca="1">IF(ISNA(M$1), 0, OFFSET(data!$A$1, ROW()-1, M$1-1))</f>
        <v>68.320069681553605</v>
      </c>
      <c r="N499">
        <f ca="1">IF(ISNA(N$1), 0, OFFSET(data!$A$1, ROW()-1, N$1-1))</f>
        <v>825.28552711459497</v>
      </c>
      <c r="O499">
        <f ca="1">IF(ISNA(O$1), 0, OFFSET(data!$A$1, ROW()-1, O$1-1))</f>
        <v>57.599999999999902</v>
      </c>
      <c r="P499">
        <f ca="1">IF(ISNA(P$1), 0, OFFSET(data!$A$1, ROW()-1, P$1-1))</f>
        <v>0</v>
      </c>
      <c r="Q499">
        <f ca="1">IF(ISNA(Q$1), 0, OFFSET(data!$A$1, ROW()-1, Q$1-1))</f>
        <v>1917.10640646668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1100.16232894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549.37041505161903</v>
      </c>
      <c r="X499">
        <f ca="1">IF(ISNA(X$1), 0, OFFSET(data!$A$1, ROW()-1, X$1-1))</f>
        <v>0</v>
      </c>
      <c r="Y499">
        <f ca="1">IF(ISNA(Y$1), 0, OFFSET(data!$A$1, ROW()-1, Y$1-1))</f>
        <v>267.57366247506098</v>
      </c>
      <c r="Z499">
        <f ca="1">IF(ISNA(Z$1), 0, OFFSET(data!$A$1, ROW()-1, Z$1-1))</f>
        <v>0</v>
      </c>
      <c r="AA499" t="str">
        <f ca="1">IF(ISNA(AA$1), #N/A, OFFSET(data!$A$1, ROW()-1, AA$1-1))</f>
        <v>peak</v>
      </c>
      <c r="AB499">
        <f t="shared" ref="AB499:AB530" ca="1" si="101">VALUE(LEFT(C499, 4))</f>
        <v>2035</v>
      </c>
      <c r="AC499">
        <f t="shared" ref="AC499:AC530" ca="1" si="102">VALUE(MID(C499, 6, 2))</f>
        <v>6</v>
      </c>
      <c r="AD499" t="str">
        <f t="shared" ref="AD499:AD530" ca="1" si="103">SUBSTITUTE(MID(C499,6,6)&amp;LEFT(C499,4), "-", "/")</f>
        <v>06/05/2035</v>
      </c>
      <c r="AE499" t="str">
        <f t="shared" ref="AE499:AE530" ca="1" si="104">IF(RIGHT(C499, 5)="12:00", AD499, "")</f>
        <v/>
      </c>
      <c r="AF499" s="6">
        <f t="shared" ref="AF499:AF530" ca="1" si="105">Z499/1000</f>
        <v>0</v>
      </c>
      <c r="AG499">
        <f t="shared" ref="AG499:AG530" ca="1" si="106">T499+W499</f>
        <v>1649.5327439916191</v>
      </c>
      <c r="AH499">
        <f t="shared" ref="AH499:AH530" ca="1" si="107">MAX(S499,Y499)</f>
        <v>267.57366247506098</v>
      </c>
      <c r="AI499">
        <f t="shared" ref="AI499:AI530" ca="1" si="108">MAX(R499,V499)</f>
        <v>0</v>
      </c>
      <c r="AJ499">
        <f t="shared" ref="AJ499:AJ530" ca="1" si="109">K499+N499</f>
        <v>2674.071863899715</v>
      </c>
      <c r="AK499">
        <f t="shared" ref="AK499:AK530" ca="1" si="110">L499+O499</f>
        <v>57.599999999999902</v>
      </c>
      <c r="AL499">
        <f t="shared" ref="AL499:AL530" ca="1" si="111">M499+P499</f>
        <v>68.320069681553605</v>
      </c>
    </row>
    <row r="500" spans="1:38">
      <c r="A500" t="str">
        <f ca="1">IF(ISNA(A$1), 0, OFFSET(data!$A$1, ROW()-1, A$1-1))</f>
        <v>Oahu</v>
      </c>
      <c r="B500">
        <f ca="1">IF(ISNA(B$1), 0, OFFSET(data!$A$1, ROW()-1, B$1-1))</f>
        <v>2035</v>
      </c>
      <c r="C500" t="str">
        <f ca="1">IF(ISNA(C$1), 0, OFFSET(data!$A$1, ROW()-1, C$1-1))</f>
        <v>2035-06-05-10:00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2429.5712093676998</v>
      </c>
      <c r="L500">
        <f ca="1">IF(ISNA(L$1), 0, OFFSET(data!$A$1, ROW()-1, L$1-1))</f>
        <v>0</v>
      </c>
      <c r="M500">
        <f ca="1">IF(ISNA(M$1), 0, OFFSET(data!$A$1, ROW()-1, M$1-1))</f>
        <v>47.416545105576603</v>
      </c>
      <c r="N500">
        <f ca="1">IF(ISNA(N$1), 0, OFFSET(data!$A$1, ROW()-1, N$1-1))</f>
        <v>825.765330046043</v>
      </c>
      <c r="O500">
        <f ca="1">IF(ISNA(O$1), 0, OFFSET(data!$A$1, ROW()-1, O$1-1))</f>
        <v>57.599999999999902</v>
      </c>
      <c r="P500">
        <f ca="1">IF(ISNA(P$1), 0, OFFSET(data!$A$1, ROW()-1, P$1-1))</f>
        <v>0</v>
      </c>
      <c r="Q500">
        <f ca="1">IF(ISNA(Q$1), 0, OFFSET(data!$A$1, ROW()-1, Q$1-1))</f>
        <v>2476.9877544732699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1177.2450954799999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1000.39200964263</v>
      </c>
      <c r="X500">
        <f ca="1">IF(ISNA(X$1), 0, OFFSET(data!$A$1, ROW()-1, X$1-1))</f>
        <v>0</v>
      </c>
      <c r="Y500">
        <f ca="1">IF(ISNA(Y$1), 0, OFFSET(data!$A$1, ROW()-1, Y$1-1))</f>
        <v>299.35064935064901</v>
      </c>
      <c r="Z500">
        <f ca="1">IF(ISNA(Z$1), 0, OFFSET(data!$A$1, ROW()-1, Z$1-1))</f>
        <v>0</v>
      </c>
      <c r="AA500" t="str">
        <f ca="1">IF(ISNA(AA$1), #N/A, OFFSET(data!$A$1, ROW()-1, AA$1-1))</f>
        <v>peak</v>
      </c>
      <c r="AB500">
        <f t="shared" ca="1" si="101"/>
        <v>2035</v>
      </c>
      <c r="AC500">
        <f t="shared" ca="1" si="102"/>
        <v>6</v>
      </c>
      <c r="AD500" t="str">
        <f t="shared" ca="1" si="103"/>
        <v>06/05/2035</v>
      </c>
      <c r="AE500" t="str">
        <f t="shared" ca="1" si="104"/>
        <v/>
      </c>
      <c r="AF500" s="6">
        <f t="shared" ca="1" si="105"/>
        <v>0</v>
      </c>
      <c r="AG500">
        <f t="shared" ca="1" si="106"/>
        <v>2177.6371051226297</v>
      </c>
      <c r="AH500">
        <f t="shared" ca="1" si="107"/>
        <v>299.35064935064901</v>
      </c>
      <c r="AI500">
        <f t="shared" ca="1" si="108"/>
        <v>0</v>
      </c>
      <c r="AJ500">
        <f t="shared" ca="1" si="109"/>
        <v>3255.3365394137427</v>
      </c>
      <c r="AK500">
        <f t="shared" ca="1" si="110"/>
        <v>57.599999999999902</v>
      </c>
      <c r="AL500">
        <f t="shared" ca="1" si="111"/>
        <v>47.416545105576603</v>
      </c>
    </row>
    <row r="501" spans="1:38">
      <c r="A501" t="str">
        <f ca="1">IF(ISNA(A$1), 0, OFFSET(data!$A$1, ROW()-1, A$1-1))</f>
        <v>Oahu</v>
      </c>
      <c r="B501">
        <f ca="1">IF(ISNA(B$1), 0, OFFSET(data!$A$1, ROW()-1, B$1-1))</f>
        <v>2035</v>
      </c>
      <c r="C501" t="str">
        <f ca="1">IF(ISNA(C$1), 0, OFFSET(data!$A$1, ROW()-1, C$1-1))</f>
        <v>2035-06-05-12:00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1966.4230096695701</v>
      </c>
      <c r="L501">
        <f ca="1">IF(ISNA(L$1), 0, OFFSET(data!$A$1, ROW()-1, L$1-1))</f>
        <v>0</v>
      </c>
      <c r="M501">
        <f ca="1">IF(ISNA(M$1), 0, OFFSET(data!$A$1, ROW()-1, M$1-1))</f>
        <v>67.251698994756396</v>
      </c>
      <c r="N501">
        <f ca="1">IF(ISNA(N$1), 0, OFFSET(data!$A$1, ROW()-1, N$1-1))</f>
        <v>1436.62546354745</v>
      </c>
      <c r="O501">
        <f ca="1">IF(ISNA(O$1), 0, OFFSET(data!$A$1, ROW()-1, O$1-1))</f>
        <v>57.599999999999902</v>
      </c>
      <c r="P501">
        <f ca="1">IF(ISNA(P$1), 0, OFFSET(data!$A$1, ROW()-1, P$1-1))</f>
        <v>7.6166640658208697</v>
      </c>
      <c r="Q501">
        <f ca="1">IF(ISNA(Q$1), 0, OFFSET(data!$A$1, ROW()-1, Q$1-1))</f>
        <v>2033.67470866433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1206.50003818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477.174670484334</v>
      </c>
      <c r="X501">
        <f ca="1">IF(ISNA(X$1), 0, OFFSET(data!$A$1, ROW()-1, X$1-1))</f>
        <v>0</v>
      </c>
      <c r="Y501">
        <f ca="1">IF(ISNA(Y$1), 0, OFFSET(data!$A$1, ROW()-1, Y$1-1))</f>
        <v>350</v>
      </c>
      <c r="Z501">
        <f ca="1">IF(ISNA(Z$1), 0, OFFSET(data!$A$1, ROW()-1, Z$1-1))</f>
        <v>0</v>
      </c>
      <c r="AA501" t="str">
        <f ca="1">IF(ISNA(AA$1), #N/A, OFFSET(data!$A$1, ROW()-1, AA$1-1))</f>
        <v>peak</v>
      </c>
      <c r="AB501">
        <f t="shared" ca="1" si="101"/>
        <v>2035</v>
      </c>
      <c r="AC501">
        <f t="shared" ca="1" si="102"/>
        <v>6</v>
      </c>
      <c r="AD501" t="str">
        <f t="shared" ca="1" si="103"/>
        <v>06/05/2035</v>
      </c>
      <c r="AE501" t="str">
        <f t="shared" ca="1" si="104"/>
        <v>06/05/2035</v>
      </c>
      <c r="AF501" s="6">
        <f t="shared" ca="1" si="105"/>
        <v>0</v>
      </c>
      <c r="AG501">
        <f t="shared" ca="1" si="106"/>
        <v>1683.674708664334</v>
      </c>
      <c r="AH501">
        <f t="shared" ca="1" si="107"/>
        <v>350</v>
      </c>
      <c r="AI501">
        <f t="shared" ca="1" si="108"/>
        <v>0</v>
      </c>
      <c r="AJ501">
        <f t="shared" ca="1" si="109"/>
        <v>3403.0484732170198</v>
      </c>
      <c r="AK501">
        <f t="shared" ca="1" si="110"/>
        <v>57.599999999999902</v>
      </c>
      <c r="AL501">
        <f t="shared" ca="1" si="111"/>
        <v>74.868363060577266</v>
      </c>
    </row>
    <row r="502" spans="1:38">
      <c r="A502" t="str">
        <f ca="1">IF(ISNA(A$1), 0, OFFSET(data!$A$1, ROW()-1, A$1-1))</f>
        <v>Oahu</v>
      </c>
      <c r="B502">
        <f ca="1">IF(ISNA(B$1), 0, OFFSET(data!$A$1, ROW()-1, B$1-1))</f>
        <v>2035</v>
      </c>
      <c r="C502" t="str">
        <f ca="1">IF(ISNA(C$1), 0, OFFSET(data!$A$1, ROW()-1, C$1-1))</f>
        <v>2035-06-05-14:00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1491.1086973602</v>
      </c>
      <c r="L502">
        <f ca="1">IF(ISNA(L$1), 0, OFFSET(data!$A$1, ROW()-1, L$1-1))</f>
        <v>0</v>
      </c>
      <c r="M502">
        <f ca="1">IF(ISNA(M$1), 0, OFFSET(data!$A$1, ROW()-1, M$1-1))</f>
        <v>63.186849549910001</v>
      </c>
      <c r="N502">
        <f ca="1">IF(ISNA(N$1), 0, OFFSET(data!$A$1, ROW()-1, N$1-1))</f>
        <v>1916.67831843314</v>
      </c>
      <c r="O502">
        <f ca="1">IF(ISNA(O$1), 0, OFFSET(data!$A$1, ROW()-1, O$1-1))</f>
        <v>57.599999999999902</v>
      </c>
      <c r="P502">
        <f ca="1">IF(ISNA(P$1), 0, OFFSET(data!$A$1, ROW()-1, P$1-1))</f>
        <v>6.7855238284444503</v>
      </c>
      <c r="Q502">
        <f ca="1">IF(ISNA(Q$1), 0, OFFSET(data!$A$1, ROW()-1, Q$1-1))</f>
        <v>1554.29554691011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1216.6698863399999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-12.3743394298843</v>
      </c>
      <c r="X502">
        <f ca="1">IF(ISNA(X$1), 0, OFFSET(data!$A$1, ROW()-1, X$1-1))</f>
        <v>0</v>
      </c>
      <c r="Y502">
        <f ca="1">IF(ISNA(Y$1), 0, OFFSET(data!$A$1, ROW()-1, Y$1-1))</f>
        <v>350</v>
      </c>
      <c r="Z502">
        <f ca="1">IF(ISNA(Z$1), 0, OFFSET(data!$A$1, ROW()-1, Z$1-1))</f>
        <v>0</v>
      </c>
      <c r="AA502" t="str">
        <f ca="1">IF(ISNA(AA$1), #N/A, OFFSET(data!$A$1, ROW()-1, AA$1-1))</f>
        <v>peak</v>
      </c>
      <c r="AB502">
        <f t="shared" ca="1" si="101"/>
        <v>2035</v>
      </c>
      <c r="AC502">
        <f t="shared" ca="1" si="102"/>
        <v>6</v>
      </c>
      <c r="AD502" t="str">
        <f t="shared" ca="1" si="103"/>
        <v>06/05/2035</v>
      </c>
      <c r="AE502" t="str">
        <f t="shared" ca="1" si="104"/>
        <v/>
      </c>
      <c r="AF502" s="6">
        <f t="shared" ca="1" si="105"/>
        <v>0</v>
      </c>
      <c r="AG502">
        <f t="shared" ca="1" si="106"/>
        <v>1204.2955469101157</v>
      </c>
      <c r="AH502">
        <f t="shared" ca="1" si="107"/>
        <v>350</v>
      </c>
      <c r="AI502">
        <f t="shared" ca="1" si="108"/>
        <v>0</v>
      </c>
      <c r="AJ502">
        <f t="shared" ca="1" si="109"/>
        <v>3407.7870157933403</v>
      </c>
      <c r="AK502">
        <f t="shared" ca="1" si="110"/>
        <v>57.599999999999902</v>
      </c>
      <c r="AL502">
        <f t="shared" ca="1" si="111"/>
        <v>69.972373378354447</v>
      </c>
    </row>
    <row r="503" spans="1:38">
      <c r="A503" t="str">
        <f ca="1">IF(ISNA(A$1), 0, OFFSET(data!$A$1, ROW()-1, A$1-1))</f>
        <v>Oahu</v>
      </c>
      <c r="B503">
        <f ca="1">IF(ISNA(B$1), 0, OFFSET(data!$A$1, ROW()-1, B$1-1))</f>
        <v>2035</v>
      </c>
      <c r="C503" t="str">
        <f ca="1">IF(ISNA(C$1), 0, OFFSET(data!$A$1, ROW()-1, C$1-1))</f>
        <v>2035-06-05-16:00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1543.8105226785599</v>
      </c>
      <c r="L503">
        <f ca="1">IF(ISNA(L$1), 0, OFFSET(data!$A$1, ROW()-1, L$1-1))</f>
        <v>0</v>
      </c>
      <c r="M503">
        <f ca="1">IF(ISNA(M$1), 0, OFFSET(data!$A$1, ROW()-1, M$1-1))</f>
        <v>39.871715908751</v>
      </c>
      <c r="N503">
        <f ca="1">IF(ISNA(N$1), 0, OFFSET(data!$A$1, ROW()-1, N$1-1))</f>
        <v>1638.69758549722</v>
      </c>
      <c r="O503">
        <f ca="1">IF(ISNA(O$1), 0, OFFSET(data!$A$1, ROW()-1, O$1-1))</f>
        <v>57.599999999999902</v>
      </c>
      <c r="P503">
        <f ca="1">IF(ISNA(P$1), 0, OFFSET(data!$A$1, ROW()-1, P$1-1))</f>
        <v>15.422223839015899</v>
      </c>
      <c r="Q503">
        <f ca="1">IF(ISNA(Q$1), 0, OFFSET(data!$A$1, ROW()-1, Q$1-1))</f>
        <v>1583.6822385873099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1184.0698328200001</v>
      </c>
      <c r="U503">
        <f ca="1">IF(ISNA(U$1), 0, OFFSET(data!$A$1, ROW()-1, U$1-1))</f>
        <v>0</v>
      </c>
      <c r="V503">
        <f ca="1">IF(ISNA(V$1), 0, OFFSET(data!$A$1, ROW()-1, V$1-1))</f>
        <v>404.83335561331899</v>
      </c>
      <c r="W503">
        <f ca="1">IF(ISNA(W$1), 0, OFFSET(data!$A$1, ROW()-1, W$1-1))</f>
        <v>-355.220949846</v>
      </c>
      <c r="X503">
        <f ca="1">IF(ISNA(X$1), 0, OFFSET(data!$A$1, ROW()-1, X$1-1))</f>
        <v>0</v>
      </c>
      <c r="Y503">
        <f ca="1">IF(ISNA(Y$1), 0, OFFSET(data!$A$1, ROW()-1, Y$1-1))</f>
        <v>350</v>
      </c>
      <c r="Z503">
        <f ca="1">IF(ISNA(Z$1), 0, OFFSET(data!$A$1, ROW()-1, Z$1-1))</f>
        <v>0</v>
      </c>
      <c r="AA503" t="str">
        <f ca="1">IF(ISNA(AA$1), #N/A, OFFSET(data!$A$1, ROW()-1, AA$1-1))</f>
        <v>peak</v>
      </c>
      <c r="AB503">
        <f t="shared" ca="1" si="101"/>
        <v>2035</v>
      </c>
      <c r="AC503">
        <f t="shared" ca="1" si="102"/>
        <v>6</v>
      </c>
      <c r="AD503" t="str">
        <f t="shared" ca="1" si="103"/>
        <v>06/05/2035</v>
      </c>
      <c r="AE503" t="str">
        <f t="shared" ca="1" si="104"/>
        <v/>
      </c>
      <c r="AF503" s="6">
        <f t="shared" ca="1" si="105"/>
        <v>0</v>
      </c>
      <c r="AG503">
        <f t="shared" ca="1" si="106"/>
        <v>828.84888297400016</v>
      </c>
      <c r="AH503">
        <f t="shared" ca="1" si="107"/>
        <v>350</v>
      </c>
      <c r="AI503">
        <f t="shared" ca="1" si="108"/>
        <v>404.83335561331899</v>
      </c>
      <c r="AJ503">
        <f t="shared" ca="1" si="109"/>
        <v>3182.5081081757799</v>
      </c>
      <c r="AK503">
        <f t="shared" ca="1" si="110"/>
        <v>57.599999999999902</v>
      </c>
      <c r="AL503">
        <f t="shared" ca="1" si="111"/>
        <v>55.293939747766899</v>
      </c>
    </row>
    <row r="504" spans="1:38">
      <c r="A504" t="str">
        <f ca="1">IF(ISNA(A$1), 0, OFFSET(data!$A$1, ROW()-1, A$1-1))</f>
        <v>Oahu</v>
      </c>
      <c r="B504">
        <f ca="1">IF(ISNA(B$1), 0, OFFSET(data!$A$1, ROW()-1, B$1-1))</f>
        <v>2035</v>
      </c>
      <c r="C504" t="str">
        <f ca="1">IF(ISNA(C$1), 0, OFFSET(data!$A$1, ROW()-1, C$1-1))</f>
        <v>2035-06-05-18:00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1242.1978835183099</v>
      </c>
      <c r="L504">
        <f ca="1">IF(ISNA(L$1), 0, OFFSET(data!$A$1, ROW()-1, L$1-1))</f>
        <v>0</v>
      </c>
      <c r="M504">
        <f ca="1">IF(ISNA(M$1), 0, OFFSET(data!$A$1, ROW()-1, M$1-1))</f>
        <v>33.442393590875298</v>
      </c>
      <c r="N504">
        <f ca="1">IF(ISNA(N$1), 0, OFFSET(data!$A$1, ROW()-1, N$1-1))</f>
        <v>1261.78655367994</v>
      </c>
      <c r="O504">
        <f ca="1">IF(ISNA(O$1), 0, OFFSET(data!$A$1, ROW()-1, O$1-1))</f>
        <v>57.599999999999902</v>
      </c>
      <c r="P504">
        <f ca="1">IF(ISNA(P$1), 0, OFFSET(data!$A$1, ROW()-1, P$1-1))</f>
        <v>41.184929256754103</v>
      </c>
      <c r="Q504">
        <f ca="1">IF(ISNA(Q$1), 0, OFFSET(data!$A$1, ROW()-1, Q$1-1))</f>
        <v>1275.64027710918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1122.2148365999999</v>
      </c>
      <c r="U504">
        <f ca="1">IF(ISNA(U$1), 0, OFFSET(data!$A$1, ROW()-1, U$1-1))</f>
        <v>0</v>
      </c>
      <c r="V504">
        <f ca="1">IF(ISNA(V$1), 0, OFFSET(data!$A$1, ROW()-1, V$1-1))</f>
        <v>140.08989148918801</v>
      </c>
      <c r="W504">
        <f ca="1">IF(ISNA(W$1), 0, OFFSET(data!$A$1, ROW()-1, W$1-1))</f>
        <v>-336.664450979999</v>
      </c>
      <c r="X504">
        <f ca="1">IF(ISNA(X$1), 0, OFFSET(data!$A$1, ROW()-1, X$1-1))</f>
        <v>0</v>
      </c>
      <c r="Y504">
        <f ca="1">IF(ISNA(Y$1), 0, OFFSET(data!$A$1, ROW()-1, Y$1-1))</f>
        <v>350</v>
      </c>
      <c r="Z504">
        <f ca="1">IF(ISNA(Z$1), 0, OFFSET(data!$A$1, ROW()-1, Z$1-1))</f>
        <v>0</v>
      </c>
      <c r="AA504" t="str">
        <f ca="1">IF(ISNA(AA$1), #N/A, OFFSET(data!$A$1, ROW()-1, AA$1-1))</f>
        <v>peak</v>
      </c>
      <c r="AB504">
        <f t="shared" ca="1" si="101"/>
        <v>2035</v>
      </c>
      <c r="AC504">
        <f t="shared" ca="1" si="102"/>
        <v>6</v>
      </c>
      <c r="AD504" t="str">
        <f t="shared" ca="1" si="103"/>
        <v>06/05/2035</v>
      </c>
      <c r="AE504" t="str">
        <f t="shared" ca="1" si="104"/>
        <v/>
      </c>
      <c r="AF504" s="6">
        <f t="shared" ca="1" si="105"/>
        <v>0</v>
      </c>
      <c r="AG504">
        <f t="shared" ca="1" si="106"/>
        <v>785.55038562000095</v>
      </c>
      <c r="AH504">
        <f t="shared" ca="1" si="107"/>
        <v>350</v>
      </c>
      <c r="AI504">
        <f t="shared" ca="1" si="108"/>
        <v>140.08989148918801</v>
      </c>
      <c r="AJ504">
        <f t="shared" ca="1" si="109"/>
        <v>2503.9844371982499</v>
      </c>
      <c r="AK504">
        <f t="shared" ca="1" si="110"/>
        <v>57.599999999999902</v>
      </c>
      <c r="AL504">
        <f t="shared" ca="1" si="111"/>
        <v>74.627322847629401</v>
      </c>
    </row>
    <row r="505" spans="1:38">
      <c r="A505" t="str">
        <f ca="1">IF(ISNA(A$1), 0, OFFSET(data!$A$1, ROW()-1, A$1-1))</f>
        <v>Oahu</v>
      </c>
      <c r="B505">
        <f ca="1">IF(ISNA(B$1), 0, OFFSET(data!$A$1, ROW()-1, B$1-1))</f>
        <v>2035</v>
      </c>
      <c r="C505" t="str">
        <f ca="1">IF(ISNA(C$1), 0, OFFSET(data!$A$1, ROW()-1, C$1-1))</f>
        <v>2035-06-05-20:00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42.282845335298802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99.882845335298796</v>
      </c>
      <c r="R505">
        <f ca="1">IF(ISNA(R$1), 0, OFFSET(data!$A$1, ROW()-1, R$1-1))</f>
        <v>305.97421139570099</v>
      </c>
      <c r="S505">
        <f ca="1">IF(ISNA(S$1), 0, OFFSET(data!$A$1, ROW()-1, S$1-1))</f>
        <v>350</v>
      </c>
      <c r="T505">
        <f ca="1">IF(ISNA(T$1), 0, OFFSET(data!$A$1, ROW()-1, T$1-1))</f>
        <v>1079.7957953299999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-323.93873859899998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89.786756444444407</v>
      </c>
      <c r="AA505" t="str">
        <f ca="1">IF(ISNA(AA$1), #N/A, OFFSET(data!$A$1, ROW()-1, AA$1-1))</f>
        <v>peak</v>
      </c>
      <c r="AB505">
        <f t="shared" ca="1" si="101"/>
        <v>2035</v>
      </c>
      <c r="AC505">
        <f t="shared" ca="1" si="102"/>
        <v>6</v>
      </c>
      <c r="AD505" t="str">
        <f t="shared" ca="1" si="103"/>
        <v>06/05/2035</v>
      </c>
      <c r="AE505" t="str">
        <f t="shared" ca="1" si="104"/>
        <v/>
      </c>
      <c r="AF505" s="6">
        <f t="shared" ca="1" si="105"/>
        <v>8.9786756444444407E-2</v>
      </c>
      <c r="AG505">
        <f t="shared" ca="1" si="106"/>
        <v>755.85705673099994</v>
      </c>
      <c r="AH505">
        <f t="shared" ca="1" si="107"/>
        <v>350</v>
      </c>
      <c r="AI505">
        <f t="shared" ca="1" si="108"/>
        <v>305.97421139570099</v>
      </c>
      <c r="AJ505">
        <f t="shared" ca="1" si="109"/>
        <v>0</v>
      </c>
      <c r="AK505">
        <f t="shared" ca="1" si="110"/>
        <v>57.599999999999902</v>
      </c>
      <c r="AL505">
        <f t="shared" ca="1" si="111"/>
        <v>42.282845335298802</v>
      </c>
    </row>
    <row r="506" spans="1:38">
      <c r="A506" t="str">
        <f ca="1">IF(ISNA(A$1), 0, OFFSET(data!$A$1, ROW()-1, A$1-1))</f>
        <v>Oahu</v>
      </c>
      <c r="B506">
        <f ca="1">IF(ISNA(B$1), 0, OFFSET(data!$A$1, ROW()-1, B$1-1))</f>
        <v>2035</v>
      </c>
      <c r="C506" t="str">
        <f ca="1">IF(ISNA(C$1), 0, OFFSET(data!$A$1, ROW()-1, C$1-1))</f>
        <v>2035-06-05-22:00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47.2304817072201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104.83048170722</v>
      </c>
      <c r="R506">
        <f ca="1">IF(ISNA(R$1), 0, OFFSET(data!$A$1, ROW()-1, R$1-1))</f>
        <v>102.718223931179</v>
      </c>
      <c r="S506">
        <f ca="1">IF(ISNA(S$1), 0, OFFSET(data!$A$1, ROW()-1, S$1-1))</f>
        <v>350</v>
      </c>
      <c r="T506">
        <f ca="1">IF(ISNA(T$1), 0, OFFSET(data!$A$1, ROW()-1, T$1-1))</f>
        <v>796.49815091200003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-238.94944527359999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89.786756444444407</v>
      </c>
      <c r="AA506" t="str">
        <f ca="1">IF(ISNA(AA$1), #N/A, OFFSET(data!$A$1, ROW()-1, AA$1-1))</f>
        <v>peak</v>
      </c>
      <c r="AB506">
        <f t="shared" ca="1" si="101"/>
        <v>2035</v>
      </c>
      <c r="AC506">
        <f t="shared" ca="1" si="102"/>
        <v>6</v>
      </c>
      <c r="AD506" t="str">
        <f t="shared" ca="1" si="103"/>
        <v>06/05/2035</v>
      </c>
      <c r="AE506" t="str">
        <f t="shared" ca="1" si="104"/>
        <v/>
      </c>
      <c r="AF506" s="6">
        <f t="shared" ca="1" si="105"/>
        <v>8.9786756444444407E-2</v>
      </c>
      <c r="AG506">
        <f t="shared" ca="1" si="106"/>
        <v>557.54870563840007</v>
      </c>
      <c r="AH506">
        <f t="shared" ca="1" si="107"/>
        <v>350</v>
      </c>
      <c r="AI506">
        <f t="shared" ca="1" si="108"/>
        <v>102.718223931179</v>
      </c>
      <c r="AJ506">
        <f t="shared" ca="1" si="109"/>
        <v>0</v>
      </c>
      <c r="AK506">
        <f t="shared" ca="1" si="110"/>
        <v>57.599999999999902</v>
      </c>
      <c r="AL506">
        <f t="shared" ca="1" si="111"/>
        <v>47.2304817072201</v>
      </c>
    </row>
    <row r="507" spans="1:38">
      <c r="A507" t="str">
        <f ca="1">IF(ISNA(A$1), 0, OFFSET(data!$A$1, ROW()-1, A$1-1))</f>
        <v>Oahu</v>
      </c>
      <c r="B507">
        <f ca="1">IF(ISNA(B$1), 0, OFFSET(data!$A$1, ROW()-1, B$1-1))</f>
        <v>2035</v>
      </c>
      <c r="C507" t="str">
        <f ca="1">IF(ISNA(C$1), 0, OFFSET(data!$A$1, ROW()-1, C$1-1))</f>
        <v>2035-08-04-00:00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92.0745309527736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149.67453095277301</v>
      </c>
      <c r="R507">
        <f ca="1">IF(ISNA(R$1), 0, OFFSET(data!$A$1, ROW()-1, R$1-1))</f>
        <v>0</v>
      </c>
      <c r="S507">
        <f ca="1">IF(ISNA(S$1), 0, OFFSET(data!$A$1, ROW()-1, S$1-1))</f>
        <v>258.95412837212598</v>
      </c>
      <c r="T507">
        <f ca="1">IF(ISNA(T$1), 0, OFFSET(data!$A$1, ROW()-1, T$1-1))</f>
        <v>583.75522760700005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-175.12656828210001</v>
      </c>
      <c r="X507">
        <f ca="1">IF(ISNA(X$1), 0, OFFSET(data!$A$1, ROW()-1, X$1-1))</f>
        <v>0</v>
      </c>
      <c r="Y507">
        <f ca="1">IF(ISNA(Y$1), 0, OFFSET(data!$A$1, ROW()-1, Y$1-1))</f>
        <v>0</v>
      </c>
      <c r="Z507">
        <f ca="1">IF(ISNA(Z$1), 0, OFFSET(data!$A$1, ROW()-1, Z$1-1))</f>
        <v>86.221398518414802</v>
      </c>
      <c r="AA507" t="str">
        <f ca="1">IF(ISNA(AA$1), #N/A, OFFSET(data!$A$1, ROW()-1, AA$1-1))</f>
        <v>typical</v>
      </c>
      <c r="AB507">
        <f t="shared" ca="1" si="101"/>
        <v>2035</v>
      </c>
      <c r="AC507">
        <f t="shared" ca="1" si="102"/>
        <v>8</v>
      </c>
      <c r="AD507" t="str">
        <f t="shared" ca="1" si="103"/>
        <v>08/04/2035</v>
      </c>
      <c r="AE507" t="str">
        <f t="shared" ca="1" si="104"/>
        <v/>
      </c>
      <c r="AF507" s="6">
        <f t="shared" ca="1" si="105"/>
        <v>8.6221398518414802E-2</v>
      </c>
      <c r="AG507">
        <f t="shared" ca="1" si="106"/>
        <v>408.62865932490001</v>
      </c>
      <c r="AH507">
        <f t="shared" ca="1" si="107"/>
        <v>258.95412837212598</v>
      </c>
      <c r="AI507">
        <f t="shared" ca="1" si="108"/>
        <v>0</v>
      </c>
      <c r="AJ507">
        <f t="shared" ca="1" si="109"/>
        <v>0</v>
      </c>
      <c r="AK507">
        <f t="shared" ca="1" si="110"/>
        <v>57.599999999999902</v>
      </c>
      <c r="AL507">
        <f t="shared" ca="1" si="111"/>
        <v>92.0745309527736</v>
      </c>
    </row>
    <row r="508" spans="1:38">
      <c r="A508" t="str">
        <f ca="1">IF(ISNA(A$1), 0, OFFSET(data!$A$1, ROW()-1, A$1-1))</f>
        <v>Oahu</v>
      </c>
      <c r="B508">
        <f ca="1">IF(ISNA(B$1), 0, OFFSET(data!$A$1, ROW()-1, B$1-1))</f>
        <v>2035</v>
      </c>
      <c r="C508" t="str">
        <f ca="1">IF(ISNA(C$1), 0, OFFSET(data!$A$1, ROW()-1, C$1-1))</f>
        <v>2035-08-04-02:00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72.222098365631297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129.82209836563101</v>
      </c>
      <c r="R508">
        <f ca="1">IF(ISNA(R$1), 0, OFFSET(data!$A$1, ROW()-1, R$1-1))</f>
        <v>0</v>
      </c>
      <c r="S508">
        <f ca="1">IF(ISNA(S$1), 0, OFFSET(data!$A$1, ROW()-1, S$1-1))</f>
        <v>218.49454381836799</v>
      </c>
      <c r="T508">
        <f ca="1">IF(ISNA(T$1), 0, OFFSET(data!$A$1, ROW()-1, T$1-1))</f>
        <v>497.59520312000001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-149.27856093599999</v>
      </c>
      <c r="X508">
        <f ca="1">IF(ISNA(X$1), 0, OFFSET(data!$A$1, ROW()-1, X$1-1))</f>
        <v>0</v>
      </c>
      <c r="Y508">
        <f ca="1">IF(ISNA(Y$1), 0, OFFSET(data!$A$1, ROW()-1, Y$1-1))</f>
        <v>0</v>
      </c>
      <c r="Z508">
        <f ca="1">IF(ISNA(Z$1), 0, OFFSET(data!$A$1, ROW()-1, Z$1-1))</f>
        <v>86.221398518414802</v>
      </c>
      <c r="AA508" t="str">
        <f ca="1">IF(ISNA(AA$1), #N/A, OFFSET(data!$A$1, ROW()-1, AA$1-1))</f>
        <v>typical</v>
      </c>
      <c r="AB508">
        <f t="shared" ca="1" si="101"/>
        <v>2035</v>
      </c>
      <c r="AC508">
        <f t="shared" ca="1" si="102"/>
        <v>8</v>
      </c>
      <c r="AD508" t="str">
        <f t="shared" ca="1" si="103"/>
        <v>08/04/2035</v>
      </c>
      <c r="AE508" t="str">
        <f t="shared" ca="1" si="104"/>
        <v/>
      </c>
      <c r="AF508" s="6">
        <f t="shared" ca="1" si="105"/>
        <v>8.6221398518414802E-2</v>
      </c>
      <c r="AG508">
        <f t="shared" ca="1" si="106"/>
        <v>348.31664218399999</v>
      </c>
      <c r="AH508">
        <f t="shared" ca="1" si="107"/>
        <v>218.49454381836799</v>
      </c>
      <c r="AI508">
        <f t="shared" ca="1" si="108"/>
        <v>0</v>
      </c>
      <c r="AJ508">
        <f t="shared" ca="1" si="109"/>
        <v>0</v>
      </c>
      <c r="AK508">
        <f t="shared" ca="1" si="110"/>
        <v>57.599999999999902</v>
      </c>
      <c r="AL508">
        <f t="shared" ca="1" si="111"/>
        <v>72.222098365631297</v>
      </c>
    </row>
    <row r="509" spans="1:38">
      <c r="A509" t="str">
        <f ca="1">IF(ISNA(A$1), 0, OFFSET(data!$A$1, ROW()-1, A$1-1))</f>
        <v>Oahu</v>
      </c>
      <c r="B509">
        <f ca="1">IF(ISNA(B$1), 0, OFFSET(data!$A$1, ROW()-1, B$1-1))</f>
        <v>2035</v>
      </c>
      <c r="C509" t="str">
        <f ca="1">IF(ISNA(C$1), 0, OFFSET(data!$A$1, ROW()-1, C$1-1))</f>
        <v>2035-08-04-04:00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50.871829916282998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108.471829916283</v>
      </c>
      <c r="R509">
        <f ca="1">IF(ISNA(R$1), 0, OFFSET(data!$A$1, ROW()-1, R$1-1))</f>
        <v>0</v>
      </c>
      <c r="S509">
        <f ca="1">IF(ISNA(S$1), 0, OFFSET(data!$A$1, ROW()-1, S$1-1))</f>
        <v>255.319370327516</v>
      </c>
      <c r="T509">
        <f ca="1">IF(ISNA(T$1), 0, OFFSET(data!$A$1, ROW()-1, T$1-1))</f>
        <v>519.70171463400004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-155.91051439020001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86.221398518414802</v>
      </c>
      <c r="AA509" t="str">
        <f ca="1">IF(ISNA(AA$1), #N/A, OFFSET(data!$A$1, ROW()-1, AA$1-1))</f>
        <v>typical</v>
      </c>
      <c r="AB509">
        <f t="shared" ca="1" si="101"/>
        <v>2035</v>
      </c>
      <c r="AC509">
        <f t="shared" ca="1" si="102"/>
        <v>8</v>
      </c>
      <c r="AD509" t="str">
        <f t="shared" ca="1" si="103"/>
        <v>08/04/2035</v>
      </c>
      <c r="AE509" t="str">
        <f t="shared" ca="1" si="104"/>
        <v/>
      </c>
      <c r="AF509" s="6">
        <f t="shared" ca="1" si="105"/>
        <v>8.6221398518414802E-2</v>
      </c>
      <c r="AG509">
        <f t="shared" ca="1" si="106"/>
        <v>363.79120024380006</v>
      </c>
      <c r="AH509">
        <f t="shared" ca="1" si="107"/>
        <v>255.319370327516</v>
      </c>
      <c r="AI509">
        <f t="shared" ca="1" si="108"/>
        <v>0</v>
      </c>
      <c r="AJ509">
        <f t="shared" ca="1" si="109"/>
        <v>0</v>
      </c>
      <c r="AK509">
        <f t="shared" ca="1" si="110"/>
        <v>57.599999999999902</v>
      </c>
      <c r="AL509">
        <f t="shared" ca="1" si="111"/>
        <v>50.871829916282998</v>
      </c>
    </row>
    <row r="510" spans="1:38">
      <c r="A510" t="str">
        <f ca="1">IF(ISNA(A$1), 0, OFFSET(data!$A$1, ROW()-1, A$1-1))</f>
        <v>Oahu</v>
      </c>
      <c r="B510">
        <f ca="1">IF(ISNA(B$1), 0, OFFSET(data!$A$1, ROW()-1, B$1-1))</f>
        <v>2035</v>
      </c>
      <c r="C510" t="str">
        <f ca="1">IF(ISNA(C$1), 0, OFFSET(data!$A$1, ROW()-1, C$1-1))</f>
        <v>2035-08-04-06:00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311.12000535143397</v>
      </c>
      <c r="L510">
        <f ca="1">IF(ISNA(L$1), 0, OFFSET(data!$A$1, ROW()-1, L$1-1))</f>
        <v>57.599999999999902</v>
      </c>
      <c r="M510">
        <f ca="1">IF(ISNA(M$1), 0, OFFSET(data!$A$1, ROW()-1, M$1-1))</f>
        <v>37.113304529382297</v>
      </c>
      <c r="N510">
        <f ca="1">IF(ISNA(N$1), 0, OFFSET(data!$A$1, ROW()-1, N$1-1))</f>
        <v>-1.7763568394002501E-15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405.83330988081599</v>
      </c>
      <c r="R510">
        <f ca="1">IF(ISNA(R$1), 0, OFFSET(data!$A$1, ROW()-1, R$1-1))</f>
        <v>0</v>
      </c>
      <c r="S510">
        <f ca="1">IF(ISNA(S$1), 0, OFFSET(data!$A$1, ROW()-1, S$1-1))</f>
        <v>65.949253665183306</v>
      </c>
      <c r="T510">
        <f ca="1">IF(ISNA(T$1), 0, OFFSET(data!$A$1, ROW()-1, T$1-1))</f>
        <v>673.97509077999996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-202.19252723399899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86.221398518414802</v>
      </c>
      <c r="AA510" t="str">
        <f ca="1">IF(ISNA(AA$1), #N/A, OFFSET(data!$A$1, ROW()-1, AA$1-1))</f>
        <v>typical</v>
      </c>
      <c r="AB510">
        <f t="shared" ca="1" si="101"/>
        <v>2035</v>
      </c>
      <c r="AC510">
        <f t="shared" ca="1" si="102"/>
        <v>8</v>
      </c>
      <c r="AD510" t="str">
        <f t="shared" ca="1" si="103"/>
        <v>08/04/2035</v>
      </c>
      <c r="AE510" t="str">
        <f t="shared" ca="1" si="104"/>
        <v/>
      </c>
      <c r="AF510" s="6">
        <f t="shared" ca="1" si="105"/>
        <v>8.6221398518414802E-2</v>
      </c>
      <c r="AG510">
        <f t="shared" ca="1" si="106"/>
        <v>471.78256354600097</v>
      </c>
      <c r="AH510">
        <f t="shared" ca="1" si="107"/>
        <v>65.949253665183306</v>
      </c>
      <c r="AI510">
        <f t="shared" ca="1" si="108"/>
        <v>0</v>
      </c>
      <c r="AJ510">
        <f t="shared" ca="1" si="109"/>
        <v>311.12000535143397</v>
      </c>
      <c r="AK510">
        <f t="shared" ca="1" si="110"/>
        <v>57.599999999999902</v>
      </c>
      <c r="AL510">
        <f t="shared" ca="1" si="111"/>
        <v>37.113304529382297</v>
      </c>
    </row>
    <row r="511" spans="1:38">
      <c r="A511" t="str">
        <f ca="1">IF(ISNA(A$1), 0, OFFSET(data!$A$1, ROW()-1, A$1-1))</f>
        <v>Oahu</v>
      </c>
      <c r="B511">
        <f ca="1">IF(ISNA(B$1), 0, OFFSET(data!$A$1, ROW()-1, B$1-1))</f>
        <v>2035</v>
      </c>
      <c r="C511" t="str">
        <f ca="1">IF(ISNA(C$1), 0, OFFSET(data!$A$1, ROW()-1, C$1-1))</f>
        <v>2035-08-04-08:00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2045.39245816536</v>
      </c>
      <c r="L511">
        <f ca="1">IF(ISNA(L$1), 0, OFFSET(data!$A$1, ROW()-1, L$1-1))</f>
        <v>0</v>
      </c>
      <c r="M511">
        <f ca="1">IF(ISNA(M$1), 0, OFFSET(data!$A$1, ROW()-1, M$1-1))</f>
        <v>46.457592308635199</v>
      </c>
      <c r="N511">
        <f ca="1">IF(ISNA(N$1), 0, OFFSET(data!$A$1, ROW()-1, N$1-1))</f>
        <v>505.024366386</v>
      </c>
      <c r="O511">
        <f ca="1">IF(ISNA(O$1), 0, OFFSET(data!$A$1, ROW()-1, O$1-1))</f>
        <v>57.599999999999902</v>
      </c>
      <c r="P511">
        <f ca="1">IF(ISNA(P$1), 0, OFFSET(data!$A$1, ROW()-1, P$1-1))</f>
        <v>0.67374166631046095</v>
      </c>
      <c r="Q511">
        <f ca="1">IF(ISNA(Q$1), 0, OFFSET(data!$A$1, ROW()-1, Q$1-1))</f>
        <v>2091.85005047399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954.66951882199999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787.18053165199694</v>
      </c>
      <c r="X511">
        <f ca="1">IF(ISNA(X$1), 0, OFFSET(data!$A$1, ROW()-1, X$1-1))</f>
        <v>0</v>
      </c>
      <c r="Y511">
        <f ca="1">IF(ISNA(Y$1), 0, OFFSET(data!$A$1, ROW()-1, Y$1-1))</f>
        <v>350</v>
      </c>
      <c r="Z511">
        <f ca="1">IF(ISNA(Z$1), 0, OFFSET(data!$A$1, ROW()-1, Z$1-1))</f>
        <v>0</v>
      </c>
      <c r="AA511" t="str">
        <f ca="1">IF(ISNA(AA$1), #N/A, OFFSET(data!$A$1, ROW()-1, AA$1-1))</f>
        <v>typical</v>
      </c>
      <c r="AB511">
        <f t="shared" ca="1" si="101"/>
        <v>2035</v>
      </c>
      <c r="AC511">
        <f t="shared" ca="1" si="102"/>
        <v>8</v>
      </c>
      <c r="AD511" t="str">
        <f t="shared" ca="1" si="103"/>
        <v>08/04/2035</v>
      </c>
      <c r="AE511" t="str">
        <f t="shared" ca="1" si="104"/>
        <v/>
      </c>
      <c r="AF511" s="6">
        <f t="shared" ca="1" si="105"/>
        <v>0</v>
      </c>
      <c r="AG511">
        <f t="shared" ca="1" si="106"/>
        <v>1741.8500504739968</v>
      </c>
      <c r="AH511">
        <f t="shared" ca="1" si="107"/>
        <v>350</v>
      </c>
      <c r="AI511">
        <f t="shared" ca="1" si="108"/>
        <v>0</v>
      </c>
      <c r="AJ511">
        <f t="shared" ca="1" si="109"/>
        <v>2550.4168245513602</v>
      </c>
      <c r="AK511">
        <f t="shared" ca="1" si="110"/>
        <v>57.599999999999902</v>
      </c>
      <c r="AL511">
        <f t="shared" ca="1" si="111"/>
        <v>47.131333974945662</v>
      </c>
    </row>
    <row r="512" spans="1:38">
      <c r="A512" t="str">
        <f ca="1">IF(ISNA(A$1), 0, OFFSET(data!$A$1, ROW()-1, A$1-1))</f>
        <v>Oahu</v>
      </c>
      <c r="B512">
        <f ca="1">IF(ISNA(B$1), 0, OFFSET(data!$A$1, ROW()-1, B$1-1))</f>
        <v>2035</v>
      </c>
      <c r="C512" t="str">
        <f ca="1">IF(ISNA(C$1), 0, OFFSET(data!$A$1, ROW()-1, C$1-1))</f>
        <v>2035-08-04-10:00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1075.28314805896</v>
      </c>
      <c r="L512">
        <f ca="1">IF(ISNA(L$1), 0, OFFSET(data!$A$1, ROW()-1, L$1-1))</f>
        <v>0</v>
      </c>
      <c r="M512">
        <f ca="1">IF(ISNA(M$1), 0, OFFSET(data!$A$1, ROW()-1, M$1-1))</f>
        <v>4.7610038340322403</v>
      </c>
      <c r="N512">
        <f ca="1">IF(ISNA(N$1), 0, OFFSET(data!$A$1, ROW()-1, N$1-1))</f>
        <v>2093.15114587888</v>
      </c>
      <c r="O512">
        <f ca="1">IF(ISNA(O$1), 0, OFFSET(data!$A$1, ROW()-1, O$1-1))</f>
        <v>57.599999999999902</v>
      </c>
      <c r="P512">
        <f ca="1">IF(ISNA(P$1), 0, OFFSET(data!$A$1, ROW()-1, P$1-1))</f>
        <v>35.169598519899402</v>
      </c>
      <c r="Q512">
        <f ca="1">IF(ISNA(Q$1), 0, OFFSET(data!$A$1, ROW()-1, Q$1-1))</f>
        <v>1080.0441518929999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1042.92021699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-312.87606509699998</v>
      </c>
      <c r="X512">
        <f ca="1">IF(ISNA(X$1), 0, OFFSET(data!$A$1, ROW()-1, X$1-1))</f>
        <v>0</v>
      </c>
      <c r="Y512">
        <f ca="1">IF(ISNA(Y$1), 0, OFFSET(data!$A$1, ROW()-1, Y$1-1))</f>
        <v>350</v>
      </c>
      <c r="Z512">
        <f ca="1">IF(ISNA(Z$1), 0, OFFSET(data!$A$1, ROW()-1, Z$1-1))</f>
        <v>0</v>
      </c>
      <c r="AA512" t="str">
        <f ca="1">IF(ISNA(AA$1), #N/A, OFFSET(data!$A$1, ROW()-1, AA$1-1))</f>
        <v>typical</v>
      </c>
      <c r="AB512">
        <f t="shared" ca="1" si="101"/>
        <v>2035</v>
      </c>
      <c r="AC512">
        <f t="shared" ca="1" si="102"/>
        <v>8</v>
      </c>
      <c r="AD512" t="str">
        <f t="shared" ca="1" si="103"/>
        <v>08/04/2035</v>
      </c>
      <c r="AE512" t="str">
        <f t="shared" ca="1" si="104"/>
        <v/>
      </c>
      <c r="AF512" s="6">
        <f t="shared" ca="1" si="105"/>
        <v>0</v>
      </c>
      <c r="AG512">
        <f t="shared" ca="1" si="106"/>
        <v>730.04415189299993</v>
      </c>
      <c r="AH512">
        <f t="shared" ca="1" si="107"/>
        <v>350</v>
      </c>
      <c r="AI512">
        <f t="shared" ca="1" si="108"/>
        <v>0</v>
      </c>
      <c r="AJ512">
        <f t="shared" ca="1" si="109"/>
        <v>3168.4342939378403</v>
      </c>
      <c r="AK512">
        <f t="shared" ca="1" si="110"/>
        <v>57.599999999999902</v>
      </c>
      <c r="AL512">
        <f t="shared" ca="1" si="111"/>
        <v>39.93060235393164</v>
      </c>
    </row>
    <row r="513" spans="1:38">
      <c r="A513" t="str">
        <f ca="1">IF(ISNA(A$1), 0, OFFSET(data!$A$1, ROW()-1, A$1-1))</f>
        <v>Oahu</v>
      </c>
      <c r="B513">
        <f ca="1">IF(ISNA(B$1), 0, OFFSET(data!$A$1, ROW()-1, B$1-1))</f>
        <v>2035</v>
      </c>
      <c r="C513" t="str">
        <f ca="1">IF(ISNA(C$1), 0, OFFSET(data!$A$1, ROW()-1, C$1-1))</f>
        <v>2035-08-04-12:00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1076.89926874453</v>
      </c>
      <c r="L513">
        <f ca="1">IF(ISNA(L$1), 0, OFFSET(data!$A$1, ROW()-1, L$1-1))</f>
        <v>0</v>
      </c>
      <c r="M513">
        <f ca="1">IF(ISNA(M$1), 0, OFFSET(data!$A$1, ROW()-1, M$1-1))</f>
        <v>3.3431168134619398</v>
      </c>
      <c r="N513">
        <f ca="1">IF(ISNA(N$1), 0, OFFSET(data!$A$1, ROW()-1, N$1-1))</f>
        <v>2190.8154177729298</v>
      </c>
      <c r="O513">
        <f ca="1">IF(ISNA(O$1), 0, OFFSET(data!$A$1, ROW()-1, O$1-1))</f>
        <v>57.599999999999902</v>
      </c>
      <c r="P513">
        <f ca="1">IF(ISNA(P$1), 0, OFFSET(data!$A$1, ROW()-1, P$1-1))</f>
        <v>37.214261170471602</v>
      </c>
      <c r="Q513">
        <f ca="1">IF(ISNA(Q$1), 0, OFFSET(data!$A$1, ROW()-1, Q$1-1))</f>
        <v>1080.242385558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1043.20340794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-312.96102238200001</v>
      </c>
      <c r="X513">
        <f ca="1">IF(ISNA(X$1), 0, OFFSET(data!$A$1, ROW()-1, X$1-1))</f>
        <v>0</v>
      </c>
      <c r="Y513">
        <f ca="1">IF(ISNA(Y$1), 0, OFFSET(data!$A$1, ROW()-1, Y$1-1))</f>
        <v>350</v>
      </c>
      <c r="Z513">
        <f ca="1">IF(ISNA(Z$1), 0, OFFSET(data!$A$1, ROW()-1, Z$1-1))</f>
        <v>0</v>
      </c>
      <c r="AA513" t="str">
        <f ca="1">IF(ISNA(AA$1), #N/A, OFFSET(data!$A$1, ROW()-1, AA$1-1))</f>
        <v>typical</v>
      </c>
      <c r="AB513">
        <f t="shared" ca="1" si="101"/>
        <v>2035</v>
      </c>
      <c r="AC513">
        <f t="shared" ca="1" si="102"/>
        <v>8</v>
      </c>
      <c r="AD513" t="str">
        <f t="shared" ca="1" si="103"/>
        <v>08/04/2035</v>
      </c>
      <c r="AE513" t="str">
        <f t="shared" ca="1" si="104"/>
        <v>08/04/2035</v>
      </c>
      <c r="AF513" s="6">
        <f t="shared" ca="1" si="105"/>
        <v>0</v>
      </c>
      <c r="AG513">
        <f t="shared" ca="1" si="106"/>
        <v>730.24238555800002</v>
      </c>
      <c r="AH513">
        <f t="shared" ca="1" si="107"/>
        <v>350</v>
      </c>
      <c r="AI513">
        <f t="shared" ca="1" si="108"/>
        <v>0</v>
      </c>
      <c r="AJ513">
        <f t="shared" ca="1" si="109"/>
        <v>3267.71468651746</v>
      </c>
      <c r="AK513">
        <f t="shared" ca="1" si="110"/>
        <v>57.599999999999902</v>
      </c>
      <c r="AL513">
        <f t="shared" ca="1" si="111"/>
        <v>40.557377983933542</v>
      </c>
    </row>
    <row r="514" spans="1:38">
      <c r="A514" t="str">
        <f ca="1">IF(ISNA(A$1), 0, OFFSET(data!$A$1, ROW()-1, A$1-1))</f>
        <v>Oahu</v>
      </c>
      <c r="B514">
        <f ca="1">IF(ISNA(B$1), 0, OFFSET(data!$A$1, ROW()-1, B$1-1))</f>
        <v>2035</v>
      </c>
      <c r="C514" t="str">
        <f ca="1">IF(ISNA(C$1), 0, OFFSET(data!$A$1, ROW()-1, C$1-1))</f>
        <v>2035-08-04-14:00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2640.9939533779502</v>
      </c>
      <c r="L514">
        <f ca="1">IF(ISNA(L$1), 0, OFFSET(data!$A$1, ROW()-1, L$1-1))</f>
        <v>0</v>
      </c>
      <c r="M514">
        <f ca="1">IF(ISNA(M$1), 0, OFFSET(data!$A$1, ROW()-1, M$1-1))</f>
        <v>41.410414711919302</v>
      </c>
      <c r="N514">
        <f ca="1">IF(ISNA(N$1), 0, OFFSET(data!$A$1, ROW()-1, N$1-1))</f>
        <v>494.475521947998</v>
      </c>
      <c r="O514">
        <f ca="1">IF(ISNA(O$1), 0, OFFSET(data!$A$1, ROW()-1, O$1-1))</f>
        <v>57.599999999999902</v>
      </c>
      <c r="P514">
        <f ca="1">IF(ISNA(P$1), 0, OFFSET(data!$A$1, ROW()-1, P$1-1))</f>
        <v>0</v>
      </c>
      <c r="Q514">
        <f ca="1">IF(ISNA(Q$1), 0, OFFSET(data!$A$1, ROW()-1, Q$1-1))</f>
        <v>2682.4043680898699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1026.0739774399999</v>
      </c>
      <c r="U514">
        <f ca="1">IF(ISNA(U$1), 0, OFFSET(data!$A$1, ROW()-1, U$1-1))</f>
        <v>0</v>
      </c>
      <c r="V514">
        <f ca="1">IF(ISNA(V$1), 0, OFFSET(data!$A$1, ROW()-1, V$1-1))</f>
        <v>0</v>
      </c>
      <c r="W514">
        <f ca="1">IF(ISNA(W$1), 0, OFFSET(data!$A$1, ROW()-1, W$1-1))</f>
        <v>1306.33039064988</v>
      </c>
      <c r="X514">
        <f ca="1">IF(ISNA(X$1), 0, OFFSET(data!$A$1, ROW()-1, X$1-1))</f>
        <v>0</v>
      </c>
      <c r="Y514">
        <f ca="1">IF(ISNA(Y$1), 0, OFFSET(data!$A$1, ROW()-1, Y$1-1))</f>
        <v>350</v>
      </c>
      <c r="Z514">
        <f ca="1">IF(ISNA(Z$1), 0, OFFSET(data!$A$1, ROW()-1, Z$1-1))</f>
        <v>0</v>
      </c>
      <c r="AA514" t="str">
        <f ca="1">IF(ISNA(AA$1), #N/A, OFFSET(data!$A$1, ROW()-1, AA$1-1))</f>
        <v>typical</v>
      </c>
      <c r="AB514">
        <f t="shared" ca="1" si="101"/>
        <v>2035</v>
      </c>
      <c r="AC514">
        <f t="shared" ca="1" si="102"/>
        <v>8</v>
      </c>
      <c r="AD514" t="str">
        <f t="shared" ca="1" si="103"/>
        <v>08/04/2035</v>
      </c>
      <c r="AE514" t="str">
        <f t="shared" ca="1" si="104"/>
        <v/>
      </c>
      <c r="AF514" s="6">
        <f t="shared" ca="1" si="105"/>
        <v>0</v>
      </c>
      <c r="AG514">
        <f t="shared" ca="1" si="106"/>
        <v>2332.4043680898799</v>
      </c>
      <c r="AH514">
        <f t="shared" ca="1" si="107"/>
        <v>350</v>
      </c>
      <c r="AI514">
        <f t="shared" ca="1" si="108"/>
        <v>0</v>
      </c>
      <c r="AJ514">
        <f t="shared" ca="1" si="109"/>
        <v>3135.4694753259482</v>
      </c>
      <c r="AK514">
        <f t="shared" ca="1" si="110"/>
        <v>57.599999999999902</v>
      </c>
      <c r="AL514">
        <f t="shared" ca="1" si="111"/>
        <v>41.410414711919302</v>
      </c>
    </row>
    <row r="515" spans="1:38">
      <c r="A515" t="str">
        <f ca="1">IF(ISNA(A$1), 0, OFFSET(data!$A$1, ROW()-1, A$1-1))</f>
        <v>Oahu</v>
      </c>
      <c r="B515">
        <f ca="1">IF(ISNA(B$1), 0, OFFSET(data!$A$1, ROW()-1, B$1-1))</f>
        <v>2035</v>
      </c>
      <c r="C515" t="str">
        <f ca="1">IF(ISNA(C$1), 0, OFFSET(data!$A$1, ROW()-1, C$1-1))</f>
        <v>2035-08-04-16:00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1721.1035823402699</v>
      </c>
      <c r="L515">
        <f ca="1">IF(ISNA(L$1), 0, OFFSET(data!$A$1, ROW()-1, L$1-1))</f>
        <v>0</v>
      </c>
      <c r="M515">
        <f ca="1">IF(ISNA(M$1), 0, OFFSET(data!$A$1, ROW()-1, M$1-1))</f>
        <v>25.842551466331798</v>
      </c>
      <c r="N515">
        <f ca="1">IF(ISNA(N$1), 0, OFFSET(data!$A$1, ROW()-1, N$1-1))</f>
        <v>1191.0765823051099</v>
      </c>
      <c r="O515">
        <f ca="1">IF(ISNA(O$1), 0, OFFSET(data!$A$1, ROW()-1, O$1-1))</f>
        <v>57.599999999999902</v>
      </c>
      <c r="P515">
        <f ca="1">IF(ISNA(P$1), 0, OFFSET(data!$A$1, ROW()-1, P$1-1))</f>
        <v>9.4891262971827999</v>
      </c>
      <c r="Q515">
        <f ca="1">IF(ISNA(Q$1), 0, OFFSET(data!$A$1, ROW()-1, Q$1-1))</f>
        <v>1746.9461338066101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1040.6406944600001</v>
      </c>
      <c r="U515">
        <f ca="1">IF(ISNA(U$1), 0, OFFSET(data!$A$1, ROW()-1, U$1-1))</f>
        <v>0</v>
      </c>
      <c r="V515">
        <f ca="1">IF(ISNA(V$1), 0, OFFSET(data!$A$1, ROW()-1, V$1-1))</f>
        <v>299.287407163289</v>
      </c>
      <c r="W515">
        <f ca="1">IF(ISNA(W$1), 0, OFFSET(data!$A$1, ROW()-1, W$1-1))</f>
        <v>57.018032183322703</v>
      </c>
      <c r="X515">
        <f ca="1">IF(ISNA(X$1), 0, OFFSET(data!$A$1, ROW()-1, X$1-1))</f>
        <v>0</v>
      </c>
      <c r="Y515">
        <f ca="1">IF(ISNA(Y$1), 0, OFFSET(data!$A$1, ROW()-1, Y$1-1))</f>
        <v>350</v>
      </c>
      <c r="Z515">
        <f ca="1">IF(ISNA(Z$1), 0, OFFSET(data!$A$1, ROW()-1, Z$1-1))</f>
        <v>0</v>
      </c>
      <c r="AA515" t="str">
        <f ca="1">IF(ISNA(AA$1), #N/A, OFFSET(data!$A$1, ROW()-1, AA$1-1))</f>
        <v>typical</v>
      </c>
      <c r="AB515">
        <f t="shared" ca="1" si="101"/>
        <v>2035</v>
      </c>
      <c r="AC515">
        <f t="shared" ca="1" si="102"/>
        <v>8</v>
      </c>
      <c r="AD515" t="str">
        <f t="shared" ca="1" si="103"/>
        <v>08/04/2035</v>
      </c>
      <c r="AE515" t="str">
        <f t="shared" ca="1" si="104"/>
        <v/>
      </c>
      <c r="AF515" s="6">
        <f t="shared" ca="1" si="105"/>
        <v>0</v>
      </c>
      <c r="AG515">
        <f t="shared" ca="1" si="106"/>
        <v>1097.6587266433228</v>
      </c>
      <c r="AH515">
        <f t="shared" ca="1" si="107"/>
        <v>350</v>
      </c>
      <c r="AI515">
        <f t="shared" ca="1" si="108"/>
        <v>299.287407163289</v>
      </c>
      <c r="AJ515">
        <f t="shared" ca="1" si="109"/>
        <v>2912.1801646453796</v>
      </c>
      <c r="AK515">
        <f t="shared" ca="1" si="110"/>
        <v>57.599999999999902</v>
      </c>
      <c r="AL515">
        <f t="shared" ca="1" si="111"/>
        <v>35.331677763514598</v>
      </c>
    </row>
    <row r="516" spans="1:38">
      <c r="A516" t="str">
        <f ca="1">IF(ISNA(A$1), 0, OFFSET(data!$A$1, ROW()-1, A$1-1))</f>
        <v>Oahu</v>
      </c>
      <c r="B516">
        <f ca="1">IF(ISNA(B$1), 0, OFFSET(data!$A$1, ROW()-1, B$1-1))</f>
        <v>2035</v>
      </c>
      <c r="C516" t="str">
        <f ca="1">IF(ISNA(C$1), 0, OFFSET(data!$A$1, ROW()-1, C$1-1))</f>
        <v>2035-08-04-18:00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598.17035046559101</v>
      </c>
      <c r="L516">
        <f ca="1">IF(ISNA(L$1), 0, OFFSET(data!$A$1, ROW()-1, L$1-1))</f>
        <v>57.599999999999902</v>
      </c>
      <c r="M516">
        <f ca="1">IF(ISNA(M$1), 0, OFFSET(data!$A$1, ROW()-1, M$1-1))</f>
        <v>92.212842074467005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747.98319254005798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1010.6303563500001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-303.18910690500002</v>
      </c>
      <c r="X516">
        <f ca="1">IF(ISNA(X$1), 0, OFFSET(data!$A$1, ROW()-1, X$1-1))</f>
        <v>0</v>
      </c>
      <c r="Y516">
        <f ca="1">IF(ISNA(Y$1), 0, OFFSET(data!$A$1, ROW()-1, Y$1-1))</f>
        <v>40.541943095058798</v>
      </c>
      <c r="Z516">
        <f ca="1">IF(ISNA(Z$1), 0, OFFSET(data!$A$1, ROW()-1, Z$1-1))</f>
        <v>66.390476859179401</v>
      </c>
      <c r="AA516" t="str">
        <f ca="1">IF(ISNA(AA$1), #N/A, OFFSET(data!$A$1, ROW()-1, AA$1-1))</f>
        <v>typical</v>
      </c>
      <c r="AB516">
        <f t="shared" ca="1" si="101"/>
        <v>2035</v>
      </c>
      <c r="AC516">
        <f t="shared" ca="1" si="102"/>
        <v>8</v>
      </c>
      <c r="AD516" t="str">
        <f t="shared" ca="1" si="103"/>
        <v>08/04/2035</v>
      </c>
      <c r="AE516" t="str">
        <f t="shared" ca="1" si="104"/>
        <v/>
      </c>
      <c r="AF516" s="6">
        <f t="shared" ca="1" si="105"/>
        <v>6.6390476859179398E-2</v>
      </c>
      <c r="AG516">
        <f t="shared" ca="1" si="106"/>
        <v>707.44124944500004</v>
      </c>
      <c r="AH516">
        <f t="shared" ca="1" si="107"/>
        <v>40.541943095058798</v>
      </c>
      <c r="AI516">
        <f t="shared" ca="1" si="108"/>
        <v>0</v>
      </c>
      <c r="AJ516">
        <f t="shared" ca="1" si="109"/>
        <v>598.17035046559101</v>
      </c>
      <c r="AK516">
        <f t="shared" ca="1" si="110"/>
        <v>57.599999999999902</v>
      </c>
      <c r="AL516">
        <f t="shared" ca="1" si="111"/>
        <v>92.212842074467005</v>
      </c>
    </row>
    <row r="517" spans="1:38">
      <c r="A517" t="str">
        <f ca="1">IF(ISNA(A$1), 0, OFFSET(data!$A$1, ROW()-1, A$1-1))</f>
        <v>Oahu</v>
      </c>
      <c r="B517">
        <f ca="1">IF(ISNA(B$1), 0, OFFSET(data!$A$1, ROW()-1, B$1-1))</f>
        <v>2035</v>
      </c>
      <c r="C517" t="str">
        <f ca="1">IF(ISNA(C$1), 0, OFFSET(data!$A$1, ROW()-1, C$1-1))</f>
        <v>2035-08-04-20:00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110.60985732226101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168.209857322261</v>
      </c>
      <c r="R517">
        <f ca="1">IF(ISNA(R$1), 0, OFFSET(data!$A$1, ROW()-1, R$1-1))</f>
        <v>179.261275905838</v>
      </c>
      <c r="S517">
        <f ca="1">IF(ISNA(S$1), 0, OFFSET(data!$A$1, ROW()-1, S$1-1))</f>
        <v>350</v>
      </c>
      <c r="T517">
        <f ca="1">IF(ISNA(T$1), 0, OFFSET(data!$A$1, ROW()-1, T$1-1))</f>
        <v>996.38733318300001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-298.91619995489998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89.786756444444407</v>
      </c>
      <c r="AA517" t="str">
        <f ca="1">IF(ISNA(AA$1), #N/A, OFFSET(data!$A$1, ROW()-1, AA$1-1))</f>
        <v>typical</v>
      </c>
      <c r="AB517">
        <f t="shared" ca="1" si="101"/>
        <v>2035</v>
      </c>
      <c r="AC517">
        <f t="shared" ca="1" si="102"/>
        <v>8</v>
      </c>
      <c r="AD517" t="str">
        <f t="shared" ca="1" si="103"/>
        <v>08/04/2035</v>
      </c>
      <c r="AE517" t="str">
        <f t="shared" ca="1" si="104"/>
        <v/>
      </c>
      <c r="AF517" s="6">
        <f t="shared" ca="1" si="105"/>
        <v>8.9786756444444407E-2</v>
      </c>
      <c r="AG517">
        <f t="shared" ca="1" si="106"/>
        <v>697.47113322810003</v>
      </c>
      <c r="AH517">
        <f t="shared" ca="1" si="107"/>
        <v>350</v>
      </c>
      <c r="AI517">
        <f t="shared" ca="1" si="108"/>
        <v>179.261275905838</v>
      </c>
      <c r="AJ517">
        <f t="shared" ca="1" si="109"/>
        <v>0</v>
      </c>
      <c r="AK517">
        <f t="shared" ca="1" si="110"/>
        <v>57.599999999999902</v>
      </c>
      <c r="AL517">
        <f t="shared" ca="1" si="111"/>
        <v>110.60985732226101</v>
      </c>
    </row>
    <row r="518" spans="1:38">
      <c r="A518" t="str">
        <f ca="1">IF(ISNA(A$1), 0, OFFSET(data!$A$1, ROW()-1, A$1-1))</f>
        <v>Oahu</v>
      </c>
      <c r="B518">
        <f ca="1">IF(ISNA(B$1), 0, OFFSET(data!$A$1, ROW()-1, B$1-1))</f>
        <v>2035</v>
      </c>
      <c r="C518" t="str">
        <f ca="1">IF(ISNA(C$1), 0, OFFSET(data!$A$1, ROW()-1, C$1-1))</f>
        <v>2035-08-04-22:00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107.378628909371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164.978628909371</v>
      </c>
      <c r="R518">
        <f ca="1">IF(ISNA(R$1), 0, OFFSET(data!$A$1, ROW()-1, R$1-1))</f>
        <v>45.204279466628499</v>
      </c>
      <c r="S518">
        <f ca="1">IF(ISNA(S$1), 0, OFFSET(data!$A$1, ROW()-1, S$1-1))</f>
        <v>350</v>
      </c>
      <c r="T518">
        <f ca="1">IF(ISNA(T$1), 0, OFFSET(data!$A$1, ROW()-1, T$1-1))</f>
        <v>800.26129767999998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-240.07838930399899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89.786756444444407</v>
      </c>
      <c r="AA518" t="str">
        <f ca="1">IF(ISNA(AA$1), #N/A, OFFSET(data!$A$1, ROW()-1, AA$1-1))</f>
        <v>typical</v>
      </c>
      <c r="AB518">
        <f t="shared" ca="1" si="101"/>
        <v>2035</v>
      </c>
      <c r="AC518">
        <f t="shared" ca="1" si="102"/>
        <v>8</v>
      </c>
      <c r="AD518" t="str">
        <f t="shared" ca="1" si="103"/>
        <v>08/04/2035</v>
      </c>
      <c r="AE518" t="str">
        <f t="shared" ca="1" si="104"/>
        <v/>
      </c>
      <c r="AF518" s="6">
        <f t="shared" ca="1" si="105"/>
        <v>8.9786756444444407E-2</v>
      </c>
      <c r="AG518">
        <f t="shared" ca="1" si="106"/>
        <v>560.18290837600102</v>
      </c>
      <c r="AH518">
        <f t="shared" ca="1" si="107"/>
        <v>350</v>
      </c>
      <c r="AI518">
        <f t="shared" ca="1" si="108"/>
        <v>45.204279466628499</v>
      </c>
      <c r="AJ518">
        <f t="shared" ca="1" si="109"/>
        <v>0</v>
      </c>
      <c r="AK518">
        <f t="shared" ca="1" si="110"/>
        <v>57.599999999999902</v>
      </c>
      <c r="AL518">
        <f t="shared" ca="1" si="111"/>
        <v>107.378628909371</v>
      </c>
    </row>
    <row r="519" spans="1:38">
      <c r="A519" t="str">
        <f ca="1">IF(ISNA(A$1), 0, OFFSET(data!$A$1, ROW()-1, A$1-1))</f>
        <v>Oahu</v>
      </c>
      <c r="B519">
        <f ca="1">IF(ISNA(B$1), 0, OFFSET(data!$A$1, ROW()-1, B$1-1))</f>
        <v>2035</v>
      </c>
      <c r="C519" t="str">
        <f ca="1">IF(ISNA(C$1), 0, OFFSET(data!$A$1, ROW()-1, C$1-1))</f>
        <v>2035-08-30-00:00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26.895580546584501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84.495580546584506</v>
      </c>
      <c r="R519">
        <f ca="1">IF(ISNA(R$1), 0, OFFSET(data!$A$1, ROW()-1, R$1-1))</f>
        <v>107.94575449608701</v>
      </c>
      <c r="S519">
        <f ca="1">IF(ISNA(S$1), 0, OFFSET(data!$A$1, ROW()-1, S$1-1))</f>
        <v>229.97182507242701</v>
      </c>
      <c r="T519">
        <f ca="1">IF(ISNA(T$1), 0, OFFSET(data!$A$1, ROW()-1, T$1-1))</f>
        <v>603.44737159299996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-181.03421147789999</v>
      </c>
      <c r="X519">
        <f ca="1">IF(ISNA(X$1), 0, OFFSET(data!$A$1, ROW()-1, X$1-1))</f>
        <v>0</v>
      </c>
      <c r="Y519">
        <f ca="1">IF(ISNA(Y$1), 0, OFFSET(data!$A$1, ROW()-1, Y$1-1))</f>
        <v>0</v>
      </c>
      <c r="Z519">
        <f ca="1">IF(ISNA(Z$1), 0, OFFSET(data!$A$1, ROW()-1, Z$1-1))</f>
        <v>89.786756444444407</v>
      </c>
      <c r="AA519" t="str">
        <f ca="1">IF(ISNA(AA$1), #N/A, OFFSET(data!$A$1, ROW()-1, AA$1-1))</f>
        <v>peak</v>
      </c>
      <c r="AB519">
        <f t="shared" ca="1" si="101"/>
        <v>2035</v>
      </c>
      <c r="AC519">
        <f t="shared" ca="1" si="102"/>
        <v>8</v>
      </c>
      <c r="AD519" t="str">
        <f t="shared" ca="1" si="103"/>
        <v>08/30/2035</v>
      </c>
      <c r="AE519" t="str">
        <f t="shared" ca="1" si="104"/>
        <v/>
      </c>
      <c r="AF519" s="6">
        <f t="shared" ca="1" si="105"/>
        <v>8.9786756444444407E-2</v>
      </c>
      <c r="AG519">
        <f t="shared" ca="1" si="106"/>
        <v>422.41316011509997</v>
      </c>
      <c r="AH519">
        <f t="shared" ca="1" si="107"/>
        <v>229.97182507242701</v>
      </c>
      <c r="AI519">
        <f t="shared" ca="1" si="108"/>
        <v>107.94575449608701</v>
      </c>
      <c r="AJ519">
        <f t="shared" ca="1" si="109"/>
        <v>0</v>
      </c>
      <c r="AK519">
        <f t="shared" ca="1" si="110"/>
        <v>57.599999999999902</v>
      </c>
      <c r="AL519">
        <f t="shared" ca="1" si="111"/>
        <v>26.895580546584501</v>
      </c>
    </row>
    <row r="520" spans="1:38">
      <c r="A520" t="str">
        <f ca="1">IF(ISNA(A$1), 0, OFFSET(data!$A$1, ROW()-1, A$1-1))</f>
        <v>Oahu</v>
      </c>
      <c r="B520">
        <f ca="1">IF(ISNA(B$1), 0, OFFSET(data!$A$1, ROW()-1, B$1-1))</f>
        <v>2035</v>
      </c>
      <c r="C520" t="str">
        <f ca="1">IF(ISNA(C$1), 0, OFFSET(data!$A$1, ROW()-1, C$1-1))</f>
        <v>2035-08-30-02:00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42.0148617484273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99.614861748427302</v>
      </c>
      <c r="R520">
        <f ca="1">IF(ISNA(R$1), 0, OFFSET(data!$A$1, ROW()-1, R$1-1))</f>
        <v>0</v>
      </c>
      <c r="S520">
        <f ca="1">IF(ISNA(S$1), 0, OFFSET(data!$A$1, ROW()-1, S$1-1))</f>
        <v>271.64450379647201</v>
      </c>
      <c r="T520">
        <f ca="1">IF(ISNA(T$1), 0, OFFSET(data!$A$1, ROW()-1, T$1-1))</f>
        <v>530.37052220700002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-159.1111566621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89.786756444444407</v>
      </c>
      <c r="AA520" t="str">
        <f ca="1">IF(ISNA(AA$1), #N/A, OFFSET(data!$A$1, ROW()-1, AA$1-1))</f>
        <v>peak</v>
      </c>
      <c r="AB520">
        <f t="shared" ca="1" si="101"/>
        <v>2035</v>
      </c>
      <c r="AC520">
        <f t="shared" ca="1" si="102"/>
        <v>8</v>
      </c>
      <c r="AD520" t="str">
        <f t="shared" ca="1" si="103"/>
        <v>08/30/2035</v>
      </c>
      <c r="AE520" t="str">
        <f t="shared" ca="1" si="104"/>
        <v/>
      </c>
      <c r="AF520" s="6">
        <f t="shared" ca="1" si="105"/>
        <v>8.9786756444444407E-2</v>
      </c>
      <c r="AG520">
        <f t="shared" ca="1" si="106"/>
        <v>371.25936554489999</v>
      </c>
      <c r="AH520">
        <f t="shared" ca="1" si="107"/>
        <v>271.64450379647201</v>
      </c>
      <c r="AI520">
        <f t="shared" ca="1" si="108"/>
        <v>0</v>
      </c>
      <c r="AJ520">
        <f t="shared" ca="1" si="109"/>
        <v>0</v>
      </c>
      <c r="AK520">
        <f t="shared" ca="1" si="110"/>
        <v>57.599999999999902</v>
      </c>
      <c r="AL520">
        <f t="shared" ca="1" si="111"/>
        <v>42.0148617484273</v>
      </c>
    </row>
    <row r="521" spans="1:38">
      <c r="A521" t="str">
        <f ca="1">IF(ISNA(A$1), 0, OFFSET(data!$A$1, ROW()-1, A$1-1))</f>
        <v>Oahu</v>
      </c>
      <c r="B521">
        <f ca="1">IF(ISNA(B$1), 0, OFFSET(data!$A$1, ROW()-1, B$1-1))</f>
        <v>2035</v>
      </c>
      <c r="C521" t="str">
        <f ca="1">IF(ISNA(C$1), 0, OFFSET(data!$A$1, ROW()-1, C$1-1))</f>
        <v>2035-08-30-04:00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50.882234744127899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108.482234744127</v>
      </c>
      <c r="R521">
        <f ca="1">IF(ISNA(R$1), 0, OFFSET(data!$A$1, ROW()-1, R$1-1))</f>
        <v>0</v>
      </c>
      <c r="S521">
        <f ca="1">IF(ISNA(S$1), 0, OFFSET(data!$A$1, ROW()-1, S$1-1))</f>
        <v>317.52817492757202</v>
      </c>
      <c r="T521">
        <f ca="1">IF(ISNA(T$1), 0, OFFSET(data!$A$1, ROW()-1, T$1-1))</f>
        <v>608.58629953100001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-182.57588985929999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89.786756444444407</v>
      </c>
      <c r="AA521" t="str">
        <f ca="1">IF(ISNA(AA$1), #N/A, OFFSET(data!$A$1, ROW()-1, AA$1-1))</f>
        <v>peak</v>
      </c>
      <c r="AB521">
        <f t="shared" ca="1" si="101"/>
        <v>2035</v>
      </c>
      <c r="AC521">
        <f t="shared" ca="1" si="102"/>
        <v>8</v>
      </c>
      <c r="AD521" t="str">
        <f t="shared" ca="1" si="103"/>
        <v>08/30/2035</v>
      </c>
      <c r="AE521" t="str">
        <f t="shared" ca="1" si="104"/>
        <v/>
      </c>
      <c r="AF521" s="6">
        <f t="shared" ca="1" si="105"/>
        <v>8.9786756444444407E-2</v>
      </c>
      <c r="AG521">
        <f t="shared" ca="1" si="106"/>
        <v>426.01040967170002</v>
      </c>
      <c r="AH521">
        <f t="shared" ca="1" si="107"/>
        <v>317.52817492757202</v>
      </c>
      <c r="AI521">
        <f t="shared" ca="1" si="108"/>
        <v>0</v>
      </c>
      <c r="AJ521">
        <f t="shared" ca="1" si="109"/>
        <v>0</v>
      </c>
      <c r="AK521">
        <f t="shared" ca="1" si="110"/>
        <v>57.599999999999902</v>
      </c>
      <c r="AL521">
        <f t="shared" ca="1" si="111"/>
        <v>50.882234744127899</v>
      </c>
    </row>
    <row r="522" spans="1:38">
      <c r="A522" t="str">
        <f ca="1">IF(ISNA(A$1), 0, OFFSET(data!$A$1, ROW()-1, A$1-1))</f>
        <v>Oahu</v>
      </c>
      <c r="B522">
        <f ca="1">IF(ISNA(B$1), 0, OFFSET(data!$A$1, ROW()-1, B$1-1))</f>
        <v>2035</v>
      </c>
      <c r="C522" t="str">
        <f ca="1">IF(ISNA(C$1), 0, OFFSET(data!$A$1, ROW()-1, C$1-1))</f>
        <v>2035-08-30-06:00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124.535238625635</v>
      </c>
      <c r="L522">
        <f ca="1">IF(ISNA(L$1), 0, OFFSET(data!$A$1, ROW()-1, L$1-1))</f>
        <v>57.599999999999902</v>
      </c>
      <c r="M522">
        <f ca="1">IF(ISNA(M$1), 0, OFFSET(data!$A$1, ROW()-1, M$1-1))</f>
        <v>43.502218785021299</v>
      </c>
      <c r="N522">
        <f ca="1">IF(ISNA(N$1), 0, OFFSET(data!$A$1, ROW()-1, N$1-1))</f>
        <v>4.4408920985006202E-16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225.63745741065699</v>
      </c>
      <c r="R522">
        <f ca="1">IF(ISNA(R$1), 0, OFFSET(data!$A$1, ROW()-1, R$1-1))</f>
        <v>96.171478370744495</v>
      </c>
      <c r="S522">
        <f ca="1">IF(ISNA(S$1), 0, OFFSET(data!$A$1, ROW()-1, S$1-1))</f>
        <v>322.57285856439802</v>
      </c>
      <c r="T522">
        <f ca="1">IF(ISNA(T$1), 0, OFFSET(data!$A$1, ROW()-1, T$1-1))</f>
        <v>920.54542049400004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-276.16362614820002</v>
      </c>
      <c r="X522">
        <f ca="1">IF(ISNA(X$1), 0, OFFSET(data!$A$1, ROW()-1, X$1-1))</f>
        <v>0</v>
      </c>
      <c r="Y522">
        <f ca="1">IF(ISNA(Y$1), 0, OFFSET(data!$A$1, ROW()-1, Y$1-1))</f>
        <v>0</v>
      </c>
      <c r="Z522">
        <f ca="1">IF(ISNA(Z$1), 0, OFFSET(data!$A$1, ROW()-1, Z$1-1))</f>
        <v>89.786756444444407</v>
      </c>
      <c r="AA522" t="str">
        <f ca="1">IF(ISNA(AA$1), #N/A, OFFSET(data!$A$1, ROW()-1, AA$1-1))</f>
        <v>peak</v>
      </c>
      <c r="AB522">
        <f t="shared" ca="1" si="101"/>
        <v>2035</v>
      </c>
      <c r="AC522">
        <f t="shared" ca="1" si="102"/>
        <v>8</v>
      </c>
      <c r="AD522" t="str">
        <f t="shared" ca="1" si="103"/>
        <v>08/30/2035</v>
      </c>
      <c r="AE522" t="str">
        <f t="shared" ca="1" si="104"/>
        <v/>
      </c>
      <c r="AF522" s="6">
        <f t="shared" ca="1" si="105"/>
        <v>8.9786756444444407E-2</v>
      </c>
      <c r="AG522">
        <f t="shared" ca="1" si="106"/>
        <v>644.38179434580002</v>
      </c>
      <c r="AH522">
        <f t="shared" ca="1" si="107"/>
        <v>322.57285856439802</v>
      </c>
      <c r="AI522">
        <f t="shared" ca="1" si="108"/>
        <v>96.171478370744495</v>
      </c>
      <c r="AJ522">
        <f t="shared" ca="1" si="109"/>
        <v>124.535238625635</v>
      </c>
      <c r="AK522">
        <f t="shared" ca="1" si="110"/>
        <v>57.599999999999902</v>
      </c>
      <c r="AL522">
        <f t="shared" ca="1" si="111"/>
        <v>43.502218785021299</v>
      </c>
    </row>
    <row r="523" spans="1:38">
      <c r="A523" t="str">
        <f ca="1">IF(ISNA(A$1), 0, OFFSET(data!$A$1, ROW()-1, A$1-1))</f>
        <v>Oahu</v>
      </c>
      <c r="B523">
        <f ca="1">IF(ISNA(B$1), 0, OFFSET(data!$A$1, ROW()-1, B$1-1))</f>
        <v>2035</v>
      </c>
      <c r="C523" t="str">
        <f ca="1">IF(ISNA(C$1), 0, OFFSET(data!$A$1, ROW()-1, C$1-1))</f>
        <v>2035-08-30-08:00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2194.8687695840499</v>
      </c>
      <c r="L523">
        <f ca="1">IF(ISNA(L$1), 0, OFFSET(data!$A$1, ROW()-1, L$1-1))</f>
        <v>0</v>
      </c>
      <c r="M523">
        <f ca="1">IF(ISNA(M$1), 0, OFFSET(data!$A$1, ROW()-1, M$1-1))</f>
        <v>25.992231002345001</v>
      </c>
      <c r="N523">
        <f ca="1">IF(ISNA(N$1), 0, OFFSET(data!$A$1, ROW()-1, N$1-1))</f>
        <v>169.44458559801001</v>
      </c>
      <c r="O523">
        <f ca="1">IF(ISNA(O$1), 0, OFFSET(data!$A$1, ROW()-1, O$1-1))</f>
        <v>57.599999999999902</v>
      </c>
      <c r="P523">
        <f ca="1">IF(ISNA(P$1), 0, OFFSET(data!$A$1, ROW()-1, P$1-1))</f>
        <v>0</v>
      </c>
      <c r="Q523">
        <f ca="1">IF(ISNA(Q$1), 0, OFFSET(data!$A$1, ROW()-1, Q$1-1))</f>
        <v>2220.8610005864002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1105.9891474599999</v>
      </c>
      <c r="U523">
        <f ca="1">IF(ISNA(U$1), 0, OFFSET(data!$A$1, ROW()-1, U$1-1))</f>
        <v>0</v>
      </c>
      <c r="V523">
        <f ca="1">IF(ISNA(V$1), 0, OFFSET(data!$A$1, ROW()-1, V$1-1))</f>
        <v>241.53181381323799</v>
      </c>
      <c r="W523">
        <f ca="1">IF(ISNA(W$1), 0, OFFSET(data!$A$1, ROW()-1, W$1-1))</f>
        <v>523.34003931316101</v>
      </c>
      <c r="X523">
        <f ca="1">IF(ISNA(X$1), 0, OFFSET(data!$A$1, ROW()-1, X$1-1))</f>
        <v>0</v>
      </c>
      <c r="Y523">
        <f ca="1">IF(ISNA(Y$1), 0, OFFSET(data!$A$1, ROW()-1, Y$1-1))</f>
        <v>350</v>
      </c>
      <c r="Z523">
        <f ca="1">IF(ISNA(Z$1), 0, OFFSET(data!$A$1, ROW()-1, Z$1-1))</f>
        <v>0</v>
      </c>
      <c r="AA523" t="str">
        <f ca="1">IF(ISNA(AA$1), #N/A, OFFSET(data!$A$1, ROW()-1, AA$1-1))</f>
        <v>peak</v>
      </c>
      <c r="AB523">
        <f t="shared" ca="1" si="101"/>
        <v>2035</v>
      </c>
      <c r="AC523">
        <f t="shared" ca="1" si="102"/>
        <v>8</v>
      </c>
      <c r="AD523" t="str">
        <f t="shared" ca="1" si="103"/>
        <v>08/30/2035</v>
      </c>
      <c r="AE523" t="str">
        <f t="shared" ca="1" si="104"/>
        <v/>
      </c>
      <c r="AF523" s="6">
        <f t="shared" ca="1" si="105"/>
        <v>0</v>
      </c>
      <c r="AG523">
        <f t="shared" ca="1" si="106"/>
        <v>1629.3291867731609</v>
      </c>
      <c r="AH523">
        <f t="shared" ca="1" si="107"/>
        <v>350</v>
      </c>
      <c r="AI523">
        <f t="shared" ca="1" si="108"/>
        <v>241.53181381323799</v>
      </c>
      <c r="AJ523">
        <f t="shared" ca="1" si="109"/>
        <v>2364.3133551820601</v>
      </c>
      <c r="AK523">
        <f t="shared" ca="1" si="110"/>
        <v>57.599999999999902</v>
      </c>
      <c r="AL523">
        <f t="shared" ca="1" si="111"/>
        <v>25.992231002345001</v>
      </c>
    </row>
    <row r="524" spans="1:38">
      <c r="A524" t="str">
        <f ca="1">IF(ISNA(A$1), 0, OFFSET(data!$A$1, ROW()-1, A$1-1))</f>
        <v>Oahu</v>
      </c>
      <c r="B524">
        <f ca="1">IF(ISNA(B$1), 0, OFFSET(data!$A$1, ROW()-1, B$1-1))</f>
        <v>2035</v>
      </c>
      <c r="C524" t="str">
        <f ca="1">IF(ISNA(C$1), 0, OFFSET(data!$A$1, ROW()-1, C$1-1))</f>
        <v>2035-08-30-10:00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2038.8140161932399</v>
      </c>
      <c r="L524">
        <f ca="1">IF(ISNA(L$1), 0, OFFSET(data!$A$1, ROW()-1, L$1-1))</f>
        <v>0</v>
      </c>
      <c r="M524">
        <f ca="1">IF(ISNA(M$1), 0, OFFSET(data!$A$1, ROW()-1, M$1-1))</f>
        <v>20.8350965914223</v>
      </c>
      <c r="N524">
        <f ca="1">IF(ISNA(N$1), 0, OFFSET(data!$A$1, ROW()-1, N$1-1))</f>
        <v>1047.6320387734399</v>
      </c>
      <c r="O524">
        <f ca="1">IF(ISNA(O$1), 0, OFFSET(data!$A$1, ROW()-1, O$1-1))</f>
        <v>57.599999999999902</v>
      </c>
      <c r="P524">
        <f ca="1">IF(ISNA(P$1), 0, OFFSET(data!$A$1, ROW()-1, P$1-1))</f>
        <v>8.4565983435149796</v>
      </c>
      <c r="Q524">
        <f ca="1">IF(ISNA(Q$1), 0, OFFSET(data!$A$1, ROW()-1, Q$1-1))</f>
        <v>2059.6491127846698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1202.2380143299999</v>
      </c>
      <c r="U524">
        <f ca="1">IF(ISNA(U$1), 0, OFFSET(data!$A$1, ROW()-1, U$1-1))</f>
        <v>0</v>
      </c>
      <c r="V524">
        <f ca="1">IF(ISNA(V$1), 0, OFFSET(data!$A$1, ROW()-1, V$1-1))</f>
        <v>404.83335561331899</v>
      </c>
      <c r="W524">
        <f ca="1">IF(ISNA(W$1), 0, OFFSET(data!$A$1, ROW()-1, W$1-1))</f>
        <v>102.57774284135</v>
      </c>
      <c r="X524">
        <f ca="1">IF(ISNA(X$1), 0, OFFSET(data!$A$1, ROW()-1, X$1-1))</f>
        <v>0</v>
      </c>
      <c r="Y524">
        <f ca="1">IF(ISNA(Y$1), 0, OFFSET(data!$A$1, ROW()-1, Y$1-1))</f>
        <v>350</v>
      </c>
      <c r="Z524">
        <f ca="1">IF(ISNA(Z$1), 0, OFFSET(data!$A$1, ROW()-1, Z$1-1))</f>
        <v>0</v>
      </c>
      <c r="AA524" t="str">
        <f ca="1">IF(ISNA(AA$1), #N/A, OFFSET(data!$A$1, ROW()-1, AA$1-1))</f>
        <v>peak</v>
      </c>
      <c r="AB524">
        <f t="shared" ca="1" si="101"/>
        <v>2035</v>
      </c>
      <c r="AC524">
        <f t="shared" ca="1" si="102"/>
        <v>8</v>
      </c>
      <c r="AD524" t="str">
        <f t="shared" ca="1" si="103"/>
        <v>08/30/2035</v>
      </c>
      <c r="AE524" t="str">
        <f t="shared" ca="1" si="104"/>
        <v/>
      </c>
      <c r="AF524" s="6">
        <f t="shared" ca="1" si="105"/>
        <v>0</v>
      </c>
      <c r="AG524">
        <f t="shared" ca="1" si="106"/>
        <v>1304.81575717135</v>
      </c>
      <c r="AH524">
        <f t="shared" ca="1" si="107"/>
        <v>350</v>
      </c>
      <c r="AI524">
        <f t="shared" ca="1" si="108"/>
        <v>404.83335561331899</v>
      </c>
      <c r="AJ524">
        <f t="shared" ca="1" si="109"/>
        <v>3086.4460549666801</v>
      </c>
      <c r="AK524">
        <f t="shared" ca="1" si="110"/>
        <v>57.599999999999902</v>
      </c>
      <c r="AL524">
        <f t="shared" ca="1" si="111"/>
        <v>29.291694934937279</v>
      </c>
    </row>
    <row r="525" spans="1:38">
      <c r="A525" t="str">
        <f ca="1">IF(ISNA(A$1), 0, OFFSET(data!$A$1, ROW()-1, A$1-1))</f>
        <v>Oahu</v>
      </c>
      <c r="B525">
        <f ca="1">IF(ISNA(B$1), 0, OFFSET(data!$A$1, ROW()-1, B$1-1))</f>
        <v>2035</v>
      </c>
      <c r="C525" t="str">
        <f ca="1">IF(ISNA(C$1), 0, OFFSET(data!$A$1, ROW()-1, C$1-1))</f>
        <v>2035-08-30-12:00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1587.58719168021</v>
      </c>
      <c r="L525">
        <f ca="1">IF(ISNA(L$1), 0, OFFSET(data!$A$1, ROW()-1, L$1-1))</f>
        <v>0</v>
      </c>
      <c r="M525">
        <f ca="1">IF(ISNA(M$1), 0, OFFSET(data!$A$1, ROW()-1, M$1-1))</f>
        <v>29.621661714104199</v>
      </c>
      <c r="N525">
        <f ca="1">IF(ISNA(N$1), 0, OFFSET(data!$A$1, ROW()-1, N$1-1))</f>
        <v>1582.8069913254401</v>
      </c>
      <c r="O525">
        <f ca="1">IF(ISNA(O$1), 0, OFFSET(data!$A$1, ROW()-1, O$1-1))</f>
        <v>57.599999999999902</v>
      </c>
      <c r="P525">
        <f ca="1">IF(ISNA(P$1), 0, OFFSET(data!$A$1, ROW()-1, P$1-1))</f>
        <v>9.4293688444282697</v>
      </c>
      <c r="Q525">
        <f ca="1">IF(ISNA(Q$1), 0, OFFSET(data!$A$1, ROW()-1, Q$1-1))</f>
        <v>1617.2088533943199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1231.96499683</v>
      </c>
      <c r="U525">
        <f ca="1">IF(ISNA(U$1), 0, OFFSET(data!$A$1, ROW()-1, U$1-1))</f>
        <v>0</v>
      </c>
      <c r="V525">
        <f ca="1">IF(ISNA(V$1), 0, OFFSET(data!$A$1, ROW()-1, V$1-1))</f>
        <v>404.83335561331899</v>
      </c>
      <c r="W525">
        <f ca="1">IF(ISNA(W$1), 0, OFFSET(data!$A$1, ROW()-1, W$1-1))</f>
        <v>-369.58949904899998</v>
      </c>
      <c r="X525">
        <f ca="1">IF(ISNA(X$1), 0, OFFSET(data!$A$1, ROW()-1, X$1-1))</f>
        <v>0</v>
      </c>
      <c r="Y525">
        <f ca="1">IF(ISNA(Y$1), 0, OFFSET(data!$A$1, ROW()-1, Y$1-1))</f>
        <v>350</v>
      </c>
      <c r="Z525">
        <f ca="1">IF(ISNA(Z$1), 0, OFFSET(data!$A$1, ROW()-1, Z$1-1))</f>
        <v>0</v>
      </c>
      <c r="AA525" t="str">
        <f ca="1">IF(ISNA(AA$1), #N/A, OFFSET(data!$A$1, ROW()-1, AA$1-1))</f>
        <v>peak</v>
      </c>
      <c r="AB525">
        <f t="shared" ca="1" si="101"/>
        <v>2035</v>
      </c>
      <c r="AC525">
        <f t="shared" ca="1" si="102"/>
        <v>8</v>
      </c>
      <c r="AD525" t="str">
        <f t="shared" ca="1" si="103"/>
        <v>08/30/2035</v>
      </c>
      <c r="AE525" t="str">
        <f t="shared" ca="1" si="104"/>
        <v>08/30/2035</v>
      </c>
      <c r="AF525" s="6">
        <f t="shared" ca="1" si="105"/>
        <v>0</v>
      </c>
      <c r="AG525">
        <f t="shared" ca="1" si="106"/>
        <v>862.37549778100004</v>
      </c>
      <c r="AH525">
        <f t="shared" ca="1" si="107"/>
        <v>350</v>
      </c>
      <c r="AI525">
        <f t="shared" ca="1" si="108"/>
        <v>404.83335561331899</v>
      </c>
      <c r="AJ525">
        <f t="shared" ca="1" si="109"/>
        <v>3170.3941830056501</v>
      </c>
      <c r="AK525">
        <f t="shared" ca="1" si="110"/>
        <v>57.599999999999902</v>
      </c>
      <c r="AL525">
        <f t="shared" ca="1" si="111"/>
        <v>39.051030558532467</v>
      </c>
    </row>
    <row r="526" spans="1:38">
      <c r="A526" t="str">
        <f ca="1">IF(ISNA(A$1), 0, OFFSET(data!$A$1, ROW()-1, A$1-1))</f>
        <v>Oahu</v>
      </c>
      <c r="B526">
        <f ca="1">IF(ISNA(B$1), 0, OFFSET(data!$A$1, ROW()-1, B$1-1))</f>
        <v>2035</v>
      </c>
      <c r="C526" t="str">
        <f ca="1">IF(ISNA(C$1), 0, OFFSET(data!$A$1, ROW()-1, C$1-1))</f>
        <v>2035-08-30-14:00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3033.9301776827001</v>
      </c>
      <c r="L526">
        <f ca="1">IF(ISNA(L$1), 0, OFFSET(data!$A$1, ROW()-1, L$1-1))</f>
        <v>0</v>
      </c>
      <c r="M526">
        <f ca="1">IF(ISNA(M$1), 0, OFFSET(data!$A$1, ROW()-1, M$1-1))</f>
        <v>44.868727529510601</v>
      </c>
      <c r="N526">
        <f ca="1">IF(ISNA(N$1), 0, OFFSET(data!$A$1, ROW()-1, N$1-1))</f>
        <v>134.44807836128001</v>
      </c>
      <c r="O526">
        <f ca="1">IF(ISNA(O$1), 0, OFFSET(data!$A$1, ROW()-1, O$1-1))</f>
        <v>57.599999999999902</v>
      </c>
      <c r="P526">
        <f ca="1">IF(ISNA(P$1), 0, OFFSET(data!$A$1, ROW()-1, P$1-1))</f>
        <v>0</v>
      </c>
      <c r="Q526">
        <f ca="1">IF(ISNA(Q$1), 0, OFFSET(data!$A$1, ROW()-1, Q$1-1))</f>
        <v>3078.7989052122098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1242</v>
      </c>
      <c r="U526">
        <f ca="1">IF(ISNA(U$1), 0, OFFSET(data!$A$1, ROW()-1, U$1-1))</f>
        <v>0</v>
      </c>
      <c r="V526">
        <f ca="1">IF(ISNA(V$1), 0, OFFSET(data!$A$1, ROW()-1, V$1-1))</f>
        <v>404.83335561331899</v>
      </c>
      <c r="W526">
        <f ca="1">IF(ISNA(W$1), 0, OFFSET(data!$A$1, ROW()-1, W$1-1))</f>
        <v>1081.96554959889</v>
      </c>
      <c r="X526">
        <f ca="1">IF(ISNA(X$1), 0, OFFSET(data!$A$1, ROW()-1, X$1-1))</f>
        <v>0</v>
      </c>
      <c r="Y526">
        <f ca="1">IF(ISNA(Y$1), 0, OFFSET(data!$A$1, ROW()-1, Y$1-1))</f>
        <v>350</v>
      </c>
      <c r="Z526">
        <f ca="1">IF(ISNA(Z$1), 0, OFFSET(data!$A$1, ROW()-1, Z$1-1))</f>
        <v>0</v>
      </c>
      <c r="AA526" t="str">
        <f ca="1">IF(ISNA(AA$1), #N/A, OFFSET(data!$A$1, ROW()-1, AA$1-1))</f>
        <v>peak</v>
      </c>
      <c r="AB526">
        <f t="shared" ca="1" si="101"/>
        <v>2035</v>
      </c>
      <c r="AC526">
        <f t="shared" ca="1" si="102"/>
        <v>8</v>
      </c>
      <c r="AD526" t="str">
        <f t="shared" ca="1" si="103"/>
        <v>08/30/2035</v>
      </c>
      <c r="AE526" t="str">
        <f t="shared" ca="1" si="104"/>
        <v/>
      </c>
      <c r="AF526" s="6">
        <f t="shared" ca="1" si="105"/>
        <v>0</v>
      </c>
      <c r="AG526">
        <f t="shared" ca="1" si="106"/>
        <v>2323.96554959889</v>
      </c>
      <c r="AH526">
        <f t="shared" ca="1" si="107"/>
        <v>350</v>
      </c>
      <c r="AI526">
        <f t="shared" ca="1" si="108"/>
        <v>404.83335561331899</v>
      </c>
      <c r="AJ526">
        <f t="shared" ca="1" si="109"/>
        <v>3168.3782560439799</v>
      </c>
      <c r="AK526">
        <f t="shared" ca="1" si="110"/>
        <v>57.599999999999902</v>
      </c>
      <c r="AL526">
        <f t="shared" ca="1" si="111"/>
        <v>44.868727529510601</v>
      </c>
    </row>
    <row r="527" spans="1:38">
      <c r="A527" t="str">
        <f ca="1">IF(ISNA(A$1), 0, OFFSET(data!$A$1, ROW()-1, A$1-1))</f>
        <v>Oahu</v>
      </c>
      <c r="B527">
        <f ca="1">IF(ISNA(B$1), 0, OFFSET(data!$A$1, ROW()-1, B$1-1))</f>
        <v>2035</v>
      </c>
      <c r="C527" t="str">
        <f ca="1">IF(ISNA(C$1), 0, OFFSET(data!$A$1, ROW()-1, C$1-1))</f>
        <v>2035-08-30-16:00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2313.3457107673298</v>
      </c>
      <c r="L527">
        <f ca="1">IF(ISNA(L$1), 0, OFFSET(data!$A$1, ROW()-1, L$1-1))</f>
        <v>0</v>
      </c>
      <c r="M527">
        <f ca="1">IF(ISNA(M$1), 0, OFFSET(data!$A$1, ROW()-1, M$1-1))</f>
        <v>28.758290422770301</v>
      </c>
      <c r="N527">
        <f ca="1">IF(ISNA(N$1), 0, OFFSET(data!$A$1, ROW()-1, N$1-1))</f>
        <v>645.98951148047001</v>
      </c>
      <c r="O527">
        <f ca="1">IF(ISNA(O$1), 0, OFFSET(data!$A$1, ROW()-1, O$1-1))</f>
        <v>57.599999999999902</v>
      </c>
      <c r="P527">
        <f ca="1">IF(ISNA(P$1), 0, OFFSET(data!$A$1, ROW()-1, P$1-1))</f>
        <v>19.321606352107001</v>
      </c>
      <c r="Q527">
        <f ca="1">IF(ISNA(Q$1), 0, OFFSET(data!$A$1, ROW()-1, Q$1-1))</f>
        <v>2342.1040011901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1195.8851521399999</v>
      </c>
      <c r="U527">
        <f ca="1">IF(ISNA(U$1), 0, OFFSET(data!$A$1, ROW()-1, U$1-1))</f>
        <v>0</v>
      </c>
      <c r="V527">
        <f ca="1">IF(ISNA(V$1), 0, OFFSET(data!$A$1, ROW()-1, V$1-1))</f>
        <v>404.83335561331899</v>
      </c>
      <c r="W527">
        <f ca="1">IF(ISNA(W$1), 0, OFFSET(data!$A$1, ROW()-1, W$1-1))</f>
        <v>391.38549343679</v>
      </c>
      <c r="X527">
        <f ca="1">IF(ISNA(X$1), 0, OFFSET(data!$A$1, ROW()-1, X$1-1))</f>
        <v>0</v>
      </c>
      <c r="Y527">
        <f ca="1">IF(ISNA(Y$1), 0, OFFSET(data!$A$1, ROW()-1, Y$1-1))</f>
        <v>350</v>
      </c>
      <c r="Z527">
        <f ca="1">IF(ISNA(Z$1), 0, OFFSET(data!$A$1, ROW()-1, Z$1-1))</f>
        <v>0</v>
      </c>
      <c r="AA527" t="str">
        <f ca="1">IF(ISNA(AA$1), #N/A, OFFSET(data!$A$1, ROW()-1, AA$1-1))</f>
        <v>peak</v>
      </c>
      <c r="AB527">
        <f t="shared" ca="1" si="101"/>
        <v>2035</v>
      </c>
      <c r="AC527">
        <f t="shared" ca="1" si="102"/>
        <v>8</v>
      </c>
      <c r="AD527" t="str">
        <f t="shared" ca="1" si="103"/>
        <v>08/30/2035</v>
      </c>
      <c r="AE527" t="str">
        <f t="shared" ca="1" si="104"/>
        <v/>
      </c>
      <c r="AF527" s="6">
        <f t="shared" ca="1" si="105"/>
        <v>0</v>
      </c>
      <c r="AG527">
        <f t="shared" ca="1" si="106"/>
        <v>1587.27064557679</v>
      </c>
      <c r="AH527">
        <f t="shared" ca="1" si="107"/>
        <v>350</v>
      </c>
      <c r="AI527">
        <f t="shared" ca="1" si="108"/>
        <v>404.83335561331899</v>
      </c>
      <c r="AJ527">
        <f t="shared" ca="1" si="109"/>
        <v>2959.3352222477997</v>
      </c>
      <c r="AK527">
        <f t="shared" ca="1" si="110"/>
        <v>57.599999999999902</v>
      </c>
      <c r="AL527">
        <f t="shared" ca="1" si="111"/>
        <v>48.079896774877298</v>
      </c>
    </row>
    <row r="528" spans="1:38">
      <c r="A528" t="str">
        <f ca="1">IF(ISNA(A$1), 0, OFFSET(data!$A$1, ROW()-1, A$1-1))</f>
        <v>Oahu</v>
      </c>
      <c r="B528">
        <f ca="1">IF(ISNA(B$1), 0, OFFSET(data!$A$1, ROW()-1, B$1-1))</f>
        <v>2035</v>
      </c>
      <c r="C528" t="str">
        <f ca="1">IF(ISNA(C$1), 0, OFFSET(data!$A$1, ROW()-1, C$1-1))</f>
        <v>2035-08-30-18:00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273.13919741952998</v>
      </c>
      <c r="L528">
        <f ca="1">IF(ISNA(L$1), 0, OFFSET(data!$A$1, ROW()-1, L$1-1))</f>
        <v>57.599999999999902</v>
      </c>
      <c r="M528">
        <f ca="1">IF(ISNA(M$1), 0, OFFSET(data!$A$1, ROW()-1, M$1-1))</f>
        <v>84.229130883208001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414.96832830273797</v>
      </c>
      <c r="R528">
        <f ca="1">IF(ISNA(R$1), 0, OFFSET(data!$A$1, ROW()-1, R$1-1))</f>
        <v>404.83335561331899</v>
      </c>
      <c r="S528">
        <f ca="1">IF(ISNA(S$1), 0, OFFSET(data!$A$1, ROW()-1, S$1-1))</f>
        <v>11.5964609759426</v>
      </c>
      <c r="T528">
        <f ca="1">IF(ISNA(T$1), 0, OFFSET(data!$A$1, ROW()-1, T$1-1))</f>
        <v>1187.7116355600001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-356.31349066799999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89.786756444444407</v>
      </c>
      <c r="AA528" t="str">
        <f ca="1">IF(ISNA(AA$1), #N/A, OFFSET(data!$A$1, ROW()-1, AA$1-1))</f>
        <v>peak</v>
      </c>
      <c r="AB528">
        <f t="shared" ca="1" si="101"/>
        <v>2035</v>
      </c>
      <c r="AC528">
        <f t="shared" ca="1" si="102"/>
        <v>8</v>
      </c>
      <c r="AD528" t="str">
        <f t="shared" ca="1" si="103"/>
        <v>08/30/2035</v>
      </c>
      <c r="AE528" t="str">
        <f t="shared" ca="1" si="104"/>
        <v/>
      </c>
      <c r="AF528" s="6">
        <f t="shared" ca="1" si="105"/>
        <v>8.9786756444444407E-2</v>
      </c>
      <c r="AG528">
        <f t="shared" ca="1" si="106"/>
        <v>831.39814489200012</v>
      </c>
      <c r="AH528">
        <f t="shared" ca="1" si="107"/>
        <v>11.5964609759426</v>
      </c>
      <c r="AI528">
        <f t="shared" ca="1" si="108"/>
        <v>404.83335561331899</v>
      </c>
      <c r="AJ528">
        <f t="shared" ca="1" si="109"/>
        <v>273.13919741952998</v>
      </c>
      <c r="AK528">
        <f t="shared" ca="1" si="110"/>
        <v>57.599999999999902</v>
      </c>
      <c r="AL528">
        <f t="shared" ca="1" si="111"/>
        <v>84.229130883208001</v>
      </c>
    </row>
    <row r="529" spans="1:38">
      <c r="A529" t="str">
        <f ca="1">IF(ISNA(A$1), 0, OFFSET(data!$A$1, ROW()-1, A$1-1))</f>
        <v>Oahu</v>
      </c>
      <c r="B529">
        <f ca="1">IF(ISNA(B$1), 0, OFFSET(data!$A$1, ROW()-1, B$1-1))</f>
        <v>2035</v>
      </c>
      <c r="C529" t="str">
        <f ca="1">IF(ISNA(C$1), 0, OFFSET(data!$A$1, ROW()-1, C$1-1))</f>
        <v>2035-08-30-20:00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71.618364345551697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129.21836434555101</v>
      </c>
      <c r="R529">
        <f ca="1">IF(ISNA(R$1), 0, OFFSET(data!$A$1, ROW()-1, R$1-1))</f>
        <v>404.83335561331899</v>
      </c>
      <c r="S529">
        <f ca="1">IF(ISNA(S$1), 0, OFFSET(data!$A$1, ROW()-1, S$1-1))</f>
        <v>240.78263763912801</v>
      </c>
      <c r="T529">
        <f ca="1">IF(ISNA(T$1), 0, OFFSET(data!$A$1, ROW()-1, T$1-1))</f>
        <v>1106.9062251400001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-332.07186754200001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89.786756444444407</v>
      </c>
      <c r="AA529" t="str">
        <f ca="1">IF(ISNA(AA$1), #N/A, OFFSET(data!$A$1, ROW()-1, AA$1-1))</f>
        <v>peak</v>
      </c>
      <c r="AB529">
        <f t="shared" ca="1" si="101"/>
        <v>2035</v>
      </c>
      <c r="AC529">
        <f t="shared" ca="1" si="102"/>
        <v>8</v>
      </c>
      <c r="AD529" t="str">
        <f t="shared" ca="1" si="103"/>
        <v>08/30/2035</v>
      </c>
      <c r="AE529" t="str">
        <f t="shared" ca="1" si="104"/>
        <v/>
      </c>
      <c r="AF529" s="6">
        <f t="shared" ca="1" si="105"/>
        <v>8.9786756444444407E-2</v>
      </c>
      <c r="AG529">
        <f t="shared" ca="1" si="106"/>
        <v>774.834357598</v>
      </c>
      <c r="AH529">
        <f t="shared" ca="1" si="107"/>
        <v>240.78263763912801</v>
      </c>
      <c r="AI529">
        <f t="shared" ca="1" si="108"/>
        <v>404.83335561331899</v>
      </c>
      <c r="AJ529">
        <f t="shared" ca="1" si="109"/>
        <v>0</v>
      </c>
      <c r="AK529">
        <f t="shared" ca="1" si="110"/>
        <v>57.599999999999902</v>
      </c>
      <c r="AL529">
        <f t="shared" ca="1" si="111"/>
        <v>71.618364345551697</v>
      </c>
    </row>
    <row r="530" spans="1:38">
      <c r="A530" t="str">
        <f ca="1">IF(ISNA(A$1), 0, OFFSET(data!$A$1, ROW()-1, A$1-1))</f>
        <v>Oahu</v>
      </c>
      <c r="B530">
        <f ca="1">IF(ISNA(B$1), 0, OFFSET(data!$A$1, ROW()-1, B$1-1))</f>
        <v>2035</v>
      </c>
      <c r="C530" t="str">
        <f ca="1">IF(ISNA(C$1), 0, OFFSET(data!$A$1, ROW()-1, C$1-1))</f>
        <v>2035-08-30-22:00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52.7526733648264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110.352673364826</v>
      </c>
      <c r="R530">
        <f ca="1">IF(ISNA(R$1), 0, OFFSET(data!$A$1, ROW()-1, R$1-1))</f>
        <v>381.86498310641599</v>
      </c>
      <c r="S530">
        <f ca="1">IF(ISNA(S$1), 0, OFFSET(data!$A$1, ROW()-1, S$1-1))</f>
        <v>73.403539024057295</v>
      </c>
      <c r="T530">
        <f ca="1">IF(ISNA(T$1), 0, OFFSET(data!$A$1, ROW()-1, T$1-1))</f>
        <v>808.03027927899996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-242.409083783699</v>
      </c>
      <c r="X530">
        <f ca="1">IF(ISNA(X$1), 0, OFFSET(data!$A$1, ROW()-1, X$1-1))</f>
        <v>0</v>
      </c>
      <c r="Y530">
        <f ca="1">IF(ISNA(Y$1), 0, OFFSET(data!$A$1, ROW()-1, Y$1-1))</f>
        <v>0</v>
      </c>
      <c r="Z530">
        <f ca="1">IF(ISNA(Z$1), 0, OFFSET(data!$A$1, ROW()-1, Z$1-1))</f>
        <v>89.786756444444407</v>
      </c>
      <c r="AA530" t="str">
        <f ca="1">IF(ISNA(AA$1), #N/A, OFFSET(data!$A$1, ROW()-1, AA$1-1))</f>
        <v>peak</v>
      </c>
      <c r="AB530">
        <f t="shared" ca="1" si="101"/>
        <v>2035</v>
      </c>
      <c r="AC530">
        <f t="shared" ca="1" si="102"/>
        <v>8</v>
      </c>
      <c r="AD530" t="str">
        <f t="shared" ca="1" si="103"/>
        <v>08/30/2035</v>
      </c>
      <c r="AE530" t="str">
        <f t="shared" ca="1" si="104"/>
        <v/>
      </c>
      <c r="AF530" s="6">
        <f t="shared" ca="1" si="105"/>
        <v>8.9786756444444407E-2</v>
      </c>
      <c r="AG530">
        <f t="shared" ca="1" si="106"/>
        <v>565.62119549530098</v>
      </c>
      <c r="AH530">
        <f t="shared" ca="1" si="107"/>
        <v>73.403539024057295</v>
      </c>
      <c r="AI530">
        <f t="shared" ca="1" si="108"/>
        <v>381.86498310641599</v>
      </c>
      <c r="AJ530">
        <f t="shared" ca="1" si="109"/>
        <v>0</v>
      </c>
      <c r="AK530">
        <f t="shared" ca="1" si="110"/>
        <v>57.599999999999902</v>
      </c>
      <c r="AL530">
        <f t="shared" ca="1" si="111"/>
        <v>52.7526733648264</v>
      </c>
    </row>
    <row r="531" spans="1:38">
      <c r="A531" t="str">
        <f ca="1">IF(ISNA(A$1), 0, OFFSET(data!$A$1, ROW()-1, A$1-1))</f>
        <v>Oahu</v>
      </c>
      <c r="B531">
        <f ca="1">IF(ISNA(B$1), 0, OFFSET(data!$A$1, ROW()-1, B$1-1))</f>
        <v>2035</v>
      </c>
      <c r="C531" t="str">
        <f ca="1">IF(ISNA(C$1), 0, OFFSET(data!$A$1, ROW()-1, C$1-1))</f>
        <v>2035-10-14-00:00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57.588297790974202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115.188297790974</v>
      </c>
      <c r="R531">
        <f ca="1">IF(ISNA(R$1), 0, OFFSET(data!$A$1, ROW()-1, R$1-1))</f>
        <v>0</v>
      </c>
      <c r="S531">
        <f ca="1">IF(ISNA(S$1), 0, OFFSET(data!$A$1, ROW()-1, S$1-1))</f>
        <v>281.91232461772501</v>
      </c>
      <c r="T531">
        <f ca="1">IF(ISNA(T$1), 0, OFFSET(data!$A$1, ROW()-1, T$1-1))</f>
        <v>567.28660344100001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-170.18598103229999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89.786756444444407</v>
      </c>
      <c r="AA531" t="str">
        <f ca="1">IF(ISNA(AA$1), #N/A, OFFSET(data!$A$1, ROW()-1, AA$1-1))</f>
        <v>typical</v>
      </c>
      <c r="AB531">
        <f t="shared" ref="AB531:AB562" ca="1" si="112">VALUE(LEFT(C531, 4))</f>
        <v>2035</v>
      </c>
      <c r="AC531">
        <f t="shared" ref="AC531:AC562" ca="1" si="113">VALUE(MID(C531, 6, 2))</f>
        <v>10</v>
      </c>
      <c r="AD531" t="str">
        <f t="shared" ref="AD531:AD562" ca="1" si="114">SUBSTITUTE(MID(C531,6,6)&amp;LEFT(C531,4), "-", "/")</f>
        <v>10/14/2035</v>
      </c>
      <c r="AE531" t="str">
        <f t="shared" ref="AE531:AE562" ca="1" si="115">IF(RIGHT(C531, 5)="12:00", AD531, "")</f>
        <v/>
      </c>
      <c r="AF531" s="6">
        <f t="shared" ref="AF531:AF562" ca="1" si="116">Z531/1000</f>
        <v>8.9786756444444407E-2</v>
      </c>
      <c r="AG531">
        <f t="shared" ref="AG531:AG562" ca="1" si="117">T531+W531</f>
        <v>397.10062240870002</v>
      </c>
      <c r="AH531">
        <f t="shared" ref="AH531:AH562" ca="1" si="118">MAX(S531,Y531)</f>
        <v>281.91232461772501</v>
      </c>
      <c r="AI531">
        <f t="shared" ref="AI531:AI562" ca="1" si="119">MAX(R531,V531)</f>
        <v>0</v>
      </c>
      <c r="AJ531">
        <f t="shared" ref="AJ531:AJ562" ca="1" si="120">K531+N531</f>
        <v>0</v>
      </c>
      <c r="AK531">
        <f t="shared" ref="AK531:AK562" ca="1" si="121">L531+O531</f>
        <v>57.599999999999902</v>
      </c>
      <c r="AL531">
        <f t="shared" ref="AL531:AL562" ca="1" si="122">M531+P531</f>
        <v>57.588297790974202</v>
      </c>
    </row>
    <row r="532" spans="1:38">
      <c r="A532" t="str">
        <f ca="1">IF(ISNA(A$1), 0, OFFSET(data!$A$1, ROW()-1, A$1-1))</f>
        <v>Oahu</v>
      </c>
      <c r="B532">
        <f ca="1">IF(ISNA(B$1), 0, OFFSET(data!$A$1, ROW()-1, B$1-1))</f>
        <v>2035</v>
      </c>
      <c r="C532" t="str">
        <f ca="1">IF(ISNA(C$1), 0, OFFSET(data!$A$1, ROW()-1, C$1-1))</f>
        <v>2035-10-14-02:00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45.7633665374617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103.363366537461</v>
      </c>
      <c r="R532">
        <f ca="1">IF(ISNA(R$1), 0, OFFSET(data!$A$1, ROW()-1, R$1-1))</f>
        <v>0</v>
      </c>
      <c r="S532">
        <f ca="1">IF(ISNA(S$1), 0, OFFSET(data!$A$1, ROW()-1, S$1-1))</f>
        <v>240.80846320973799</v>
      </c>
      <c r="T532">
        <f ca="1">IF(ISNA(T$1), 0, OFFSET(data!$A$1, ROW()-1, T$1-1))</f>
        <v>491.67404249600003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-147.50221274879999</v>
      </c>
      <c r="X532">
        <f ca="1">IF(ISNA(X$1), 0, OFFSET(data!$A$1, ROW()-1, X$1-1))</f>
        <v>0</v>
      </c>
      <c r="Y532">
        <f ca="1">IF(ISNA(Y$1), 0, OFFSET(data!$A$1, ROW()-1, Y$1-1))</f>
        <v>0</v>
      </c>
      <c r="Z532">
        <f ca="1">IF(ISNA(Z$1), 0, OFFSET(data!$A$1, ROW()-1, Z$1-1))</f>
        <v>89.786756444444407</v>
      </c>
      <c r="AA532" t="str">
        <f ca="1">IF(ISNA(AA$1), #N/A, OFFSET(data!$A$1, ROW()-1, AA$1-1))</f>
        <v>typical</v>
      </c>
      <c r="AB532">
        <f t="shared" ca="1" si="112"/>
        <v>2035</v>
      </c>
      <c r="AC532">
        <f t="shared" ca="1" si="113"/>
        <v>10</v>
      </c>
      <c r="AD532" t="str">
        <f t="shared" ca="1" si="114"/>
        <v>10/14/2035</v>
      </c>
      <c r="AE532" t="str">
        <f t="shared" ca="1" si="115"/>
        <v/>
      </c>
      <c r="AF532" s="6">
        <f t="shared" ca="1" si="116"/>
        <v>8.9786756444444407E-2</v>
      </c>
      <c r="AG532">
        <f t="shared" ca="1" si="117"/>
        <v>344.17182974720004</v>
      </c>
      <c r="AH532">
        <f t="shared" ca="1" si="118"/>
        <v>240.80846320973799</v>
      </c>
      <c r="AI532">
        <f t="shared" ca="1" si="119"/>
        <v>0</v>
      </c>
      <c r="AJ532">
        <f t="shared" ca="1" si="120"/>
        <v>0</v>
      </c>
      <c r="AK532">
        <f t="shared" ca="1" si="121"/>
        <v>57.599999999999902</v>
      </c>
      <c r="AL532">
        <f t="shared" ca="1" si="122"/>
        <v>45.7633665374617</v>
      </c>
    </row>
    <row r="533" spans="1:38">
      <c r="A533" t="str">
        <f ca="1">IF(ISNA(A$1), 0, OFFSET(data!$A$1, ROW()-1, A$1-1))</f>
        <v>Oahu</v>
      </c>
      <c r="B533">
        <f ca="1">IF(ISNA(B$1), 0, OFFSET(data!$A$1, ROW()-1, B$1-1))</f>
        <v>2035</v>
      </c>
      <c r="C533" t="str">
        <f ca="1">IF(ISNA(C$1), 0, OFFSET(data!$A$1, ROW()-1, C$1-1))</f>
        <v>2035-10-14-04:00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29.4050198081923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87.005019808192401</v>
      </c>
      <c r="R533">
        <f ca="1">IF(ISNA(R$1), 0, OFFSET(data!$A$1, ROW()-1, R$1-1))</f>
        <v>78.225633599735403</v>
      </c>
      <c r="S533">
        <f ca="1">IF(ISNA(S$1), 0, OFFSET(data!$A$1, ROW()-1, S$1-1))</f>
        <v>187.94836098937199</v>
      </c>
      <c r="T533">
        <f ca="1">IF(ISNA(T$1), 0, OFFSET(data!$A$1, ROW()-1, T$1-1))</f>
        <v>504.54144913900001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-151.36243474169899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89.786756444444407</v>
      </c>
      <c r="AA533" t="str">
        <f ca="1">IF(ISNA(AA$1), #N/A, OFFSET(data!$A$1, ROW()-1, AA$1-1))</f>
        <v>typical</v>
      </c>
      <c r="AB533">
        <f t="shared" ca="1" si="112"/>
        <v>2035</v>
      </c>
      <c r="AC533">
        <f t="shared" ca="1" si="113"/>
        <v>10</v>
      </c>
      <c r="AD533" t="str">
        <f t="shared" ca="1" si="114"/>
        <v>10/14/2035</v>
      </c>
      <c r="AE533" t="str">
        <f t="shared" ca="1" si="115"/>
        <v/>
      </c>
      <c r="AF533" s="6">
        <f t="shared" ca="1" si="116"/>
        <v>8.9786756444444407E-2</v>
      </c>
      <c r="AG533">
        <f t="shared" ca="1" si="117"/>
        <v>353.17901439730099</v>
      </c>
      <c r="AH533">
        <f t="shared" ca="1" si="118"/>
        <v>187.94836098937199</v>
      </c>
      <c r="AI533">
        <f t="shared" ca="1" si="119"/>
        <v>78.225633599735403</v>
      </c>
      <c r="AJ533">
        <f t="shared" ca="1" si="120"/>
        <v>0</v>
      </c>
      <c r="AK533">
        <f t="shared" ca="1" si="121"/>
        <v>57.599999999999902</v>
      </c>
      <c r="AL533">
        <f t="shared" ca="1" si="122"/>
        <v>29.4050198081923</v>
      </c>
    </row>
    <row r="534" spans="1:38">
      <c r="A534" t="str">
        <f ca="1">IF(ISNA(A$1), 0, OFFSET(data!$A$1, ROW()-1, A$1-1))</f>
        <v>Oahu</v>
      </c>
      <c r="B534">
        <f ca="1">IF(ISNA(B$1), 0, OFFSET(data!$A$1, ROW()-1, B$1-1))</f>
        <v>2035</v>
      </c>
      <c r="C534" t="str">
        <f ca="1">IF(ISNA(C$1), 0, OFFSET(data!$A$1, ROW()-1, C$1-1))</f>
        <v>2035-10-14-06:00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5.0441510045479996</v>
      </c>
      <c r="L534">
        <f ca="1">IF(ISNA(L$1), 0, OFFSET(data!$A$1, ROW()-1, L$1-1))</f>
        <v>57.599999999999902</v>
      </c>
      <c r="M534">
        <f ca="1">IF(ISNA(M$1), 0, OFFSET(data!$A$1, ROW()-1, M$1-1))</f>
        <v>21.120287820324201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83.764438824872201</v>
      </c>
      <c r="R534">
        <f ca="1">IF(ISNA(R$1), 0, OFFSET(data!$A$1, ROW()-1, R$1-1))</f>
        <v>0</v>
      </c>
      <c r="S534">
        <f ca="1">IF(ISNA(S$1), 0, OFFSET(data!$A$1, ROW()-1, S$1-1))</f>
        <v>347.05163901062701</v>
      </c>
      <c r="T534">
        <f ca="1">IF(ISNA(T$1), 0, OFFSET(data!$A$1, ROW()-1, T$1-1))</f>
        <v>615.45153976500001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-184.6354619295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89.786756444444407</v>
      </c>
      <c r="AA534" t="str">
        <f ca="1">IF(ISNA(AA$1), #N/A, OFFSET(data!$A$1, ROW()-1, AA$1-1))</f>
        <v>typical</v>
      </c>
      <c r="AB534">
        <f t="shared" ca="1" si="112"/>
        <v>2035</v>
      </c>
      <c r="AC534">
        <f t="shared" ca="1" si="113"/>
        <v>10</v>
      </c>
      <c r="AD534" t="str">
        <f t="shared" ca="1" si="114"/>
        <v>10/14/2035</v>
      </c>
      <c r="AE534" t="str">
        <f t="shared" ca="1" si="115"/>
        <v/>
      </c>
      <c r="AF534" s="6">
        <f t="shared" ca="1" si="116"/>
        <v>8.9786756444444407E-2</v>
      </c>
      <c r="AG534">
        <f t="shared" ca="1" si="117"/>
        <v>430.81607783549998</v>
      </c>
      <c r="AH534">
        <f t="shared" ca="1" si="118"/>
        <v>347.05163901062701</v>
      </c>
      <c r="AI534">
        <f t="shared" ca="1" si="119"/>
        <v>0</v>
      </c>
      <c r="AJ534">
        <f t="shared" ca="1" si="120"/>
        <v>5.0441510045479996</v>
      </c>
      <c r="AK534">
        <f t="shared" ca="1" si="121"/>
        <v>57.599999999999902</v>
      </c>
      <c r="AL534">
        <f t="shared" ca="1" si="122"/>
        <v>21.120287820324201</v>
      </c>
    </row>
    <row r="535" spans="1:38">
      <c r="A535" t="str">
        <f ca="1">IF(ISNA(A$1), 0, OFFSET(data!$A$1, ROW()-1, A$1-1))</f>
        <v>Oahu</v>
      </c>
      <c r="B535">
        <f ca="1">IF(ISNA(B$1), 0, OFFSET(data!$A$1, ROW()-1, B$1-1))</f>
        <v>2035</v>
      </c>
      <c r="C535" t="str">
        <f ca="1">IF(ISNA(C$1), 0, OFFSET(data!$A$1, ROW()-1, C$1-1))</f>
        <v>2035-10-14-08:00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1555.35179313861</v>
      </c>
      <c r="L535">
        <f ca="1">IF(ISNA(L$1), 0, OFFSET(data!$A$1, ROW()-1, L$1-1))</f>
        <v>0</v>
      </c>
      <c r="M535">
        <f ca="1">IF(ISNA(M$1), 0, OFFSET(data!$A$1, ROW()-1, M$1-1))</f>
        <v>6.0078071571805003</v>
      </c>
      <c r="N535">
        <f ca="1">IF(ISNA(N$1), 0, OFFSET(data!$A$1, ROW()-1, N$1-1))</f>
        <v>263.941322259635</v>
      </c>
      <c r="O535">
        <f ca="1">IF(ISNA(O$1), 0, OFFSET(data!$A$1, ROW()-1, O$1-1))</f>
        <v>57.599999999999902</v>
      </c>
      <c r="P535">
        <f ca="1">IF(ISNA(P$1), 0, OFFSET(data!$A$1, ROW()-1, P$1-1))</f>
        <v>11.032529141655299</v>
      </c>
      <c r="Q535">
        <f ca="1">IF(ISNA(Q$1), 0, OFFSET(data!$A$1, ROW()-1, Q$1-1))</f>
        <v>1561.35960029579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855.37239770099995</v>
      </c>
      <c r="U535">
        <f ca="1">IF(ISNA(U$1), 0, OFFSET(data!$A$1, ROW()-1, U$1-1))</f>
        <v>0</v>
      </c>
      <c r="V535">
        <f ca="1">IF(ISNA(V$1), 0, OFFSET(data!$A$1, ROW()-1, V$1-1))</f>
        <v>0</v>
      </c>
      <c r="W535">
        <f ca="1">IF(ISNA(W$1), 0, OFFSET(data!$A$1, ROW()-1, W$1-1))</f>
        <v>355.98720259479097</v>
      </c>
      <c r="X535">
        <f ca="1">IF(ISNA(X$1), 0, OFFSET(data!$A$1, ROW()-1, X$1-1))</f>
        <v>0</v>
      </c>
      <c r="Y535">
        <f ca="1">IF(ISNA(Y$1), 0, OFFSET(data!$A$1, ROW()-1, Y$1-1))</f>
        <v>350</v>
      </c>
      <c r="Z535">
        <f ca="1">IF(ISNA(Z$1), 0, OFFSET(data!$A$1, ROW()-1, Z$1-1))</f>
        <v>0</v>
      </c>
      <c r="AA535" t="str">
        <f ca="1">IF(ISNA(AA$1), #N/A, OFFSET(data!$A$1, ROW()-1, AA$1-1))</f>
        <v>typical</v>
      </c>
      <c r="AB535">
        <f t="shared" ca="1" si="112"/>
        <v>2035</v>
      </c>
      <c r="AC535">
        <f t="shared" ca="1" si="113"/>
        <v>10</v>
      </c>
      <c r="AD535" t="str">
        <f t="shared" ca="1" si="114"/>
        <v>10/14/2035</v>
      </c>
      <c r="AE535" t="str">
        <f t="shared" ca="1" si="115"/>
        <v/>
      </c>
      <c r="AF535" s="6">
        <f t="shared" ca="1" si="116"/>
        <v>0</v>
      </c>
      <c r="AG535">
        <f t="shared" ca="1" si="117"/>
        <v>1211.3596002957909</v>
      </c>
      <c r="AH535">
        <f t="shared" ca="1" si="118"/>
        <v>350</v>
      </c>
      <c r="AI535">
        <f t="shared" ca="1" si="119"/>
        <v>0</v>
      </c>
      <c r="AJ535">
        <f t="shared" ca="1" si="120"/>
        <v>1819.2931153982449</v>
      </c>
      <c r="AK535">
        <f t="shared" ca="1" si="121"/>
        <v>57.599999999999902</v>
      </c>
      <c r="AL535">
        <f t="shared" ca="1" si="122"/>
        <v>17.0403362988358</v>
      </c>
    </row>
    <row r="536" spans="1:38">
      <c r="A536" t="str">
        <f ca="1">IF(ISNA(A$1), 0, OFFSET(data!$A$1, ROW()-1, A$1-1))</f>
        <v>Oahu</v>
      </c>
      <c r="B536">
        <f ca="1">IF(ISNA(B$1), 0, OFFSET(data!$A$1, ROW()-1, B$1-1))</f>
        <v>2035</v>
      </c>
      <c r="C536" t="str">
        <f ca="1">IF(ISNA(C$1), 0, OFFSET(data!$A$1, ROW()-1, C$1-1))</f>
        <v>2035-10-14-10:00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2122.2447063109998</v>
      </c>
      <c r="L536">
        <f ca="1">IF(ISNA(L$1), 0, OFFSET(data!$A$1, ROW()-1, L$1-1))</f>
        <v>0</v>
      </c>
      <c r="M536">
        <f ca="1">IF(ISNA(M$1), 0, OFFSET(data!$A$1, ROW()-1, M$1-1))</f>
        <v>18.629579342983899</v>
      </c>
      <c r="N536">
        <f ca="1">IF(ISNA(N$1), 0, OFFSET(data!$A$1, ROW()-1, N$1-1))</f>
        <v>362.49577095370699</v>
      </c>
      <c r="O536">
        <f ca="1">IF(ISNA(O$1), 0, OFFSET(data!$A$1, ROW()-1, O$1-1))</f>
        <v>57.599999999999902</v>
      </c>
      <c r="P536">
        <f ca="1">IF(ISNA(P$1), 0, OFFSET(data!$A$1, ROW()-1, P$1-1))</f>
        <v>0</v>
      </c>
      <c r="Q536">
        <f ca="1">IF(ISNA(Q$1), 0, OFFSET(data!$A$1, ROW()-1, Q$1-1))</f>
        <v>2140.8742856539802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965.97229544499999</v>
      </c>
      <c r="U536">
        <f ca="1">IF(ISNA(U$1), 0, OFFSET(data!$A$1, ROW()-1, U$1-1))</f>
        <v>0</v>
      </c>
      <c r="V536">
        <f ca="1">IF(ISNA(V$1), 0, OFFSET(data!$A$1, ROW()-1, V$1-1))</f>
        <v>186.83862659642199</v>
      </c>
      <c r="W536">
        <f ca="1">IF(ISNA(W$1), 0, OFFSET(data!$A$1, ROW()-1, W$1-1))</f>
        <v>638.06336361256604</v>
      </c>
      <c r="X536">
        <f ca="1">IF(ISNA(X$1), 0, OFFSET(data!$A$1, ROW()-1, X$1-1))</f>
        <v>0</v>
      </c>
      <c r="Y536">
        <f ca="1">IF(ISNA(Y$1), 0, OFFSET(data!$A$1, ROW()-1, Y$1-1))</f>
        <v>350</v>
      </c>
      <c r="Z536">
        <f ca="1">IF(ISNA(Z$1), 0, OFFSET(data!$A$1, ROW()-1, Z$1-1))</f>
        <v>0</v>
      </c>
      <c r="AA536" t="str">
        <f ca="1">IF(ISNA(AA$1), #N/A, OFFSET(data!$A$1, ROW()-1, AA$1-1))</f>
        <v>typical</v>
      </c>
      <c r="AB536">
        <f t="shared" ca="1" si="112"/>
        <v>2035</v>
      </c>
      <c r="AC536">
        <f t="shared" ca="1" si="113"/>
        <v>10</v>
      </c>
      <c r="AD536" t="str">
        <f t="shared" ca="1" si="114"/>
        <v>10/14/2035</v>
      </c>
      <c r="AE536" t="str">
        <f t="shared" ca="1" si="115"/>
        <v/>
      </c>
      <c r="AF536" s="6">
        <f t="shared" ca="1" si="116"/>
        <v>0</v>
      </c>
      <c r="AG536">
        <f t="shared" ca="1" si="117"/>
        <v>1604.0356590575661</v>
      </c>
      <c r="AH536">
        <f t="shared" ca="1" si="118"/>
        <v>350</v>
      </c>
      <c r="AI536">
        <f t="shared" ca="1" si="119"/>
        <v>186.83862659642199</v>
      </c>
      <c r="AJ536">
        <f t="shared" ca="1" si="120"/>
        <v>2484.7404772647069</v>
      </c>
      <c r="AK536">
        <f t="shared" ca="1" si="121"/>
        <v>57.599999999999902</v>
      </c>
      <c r="AL536">
        <f t="shared" ca="1" si="122"/>
        <v>18.629579342983899</v>
      </c>
    </row>
    <row r="537" spans="1:38">
      <c r="A537" t="str">
        <f ca="1">IF(ISNA(A$1), 0, OFFSET(data!$A$1, ROW()-1, A$1-1))</f>
        <v>Oahu</v>
      </c>
      <c r="B537">
        <f ca="1">IF(ISNA(B$1), 0, OFFSET(data!$A$1, ROW()-1, B$1-1))</f>
        <v>2035</v>
      </c>
      <c r="C537" t="str">
        <f ca="1">IF(ISNA(C$1), 0, OFFSET(data!$A$1, ROW()-1, C$1-1))</f>
        <v>2035-10-14-12:00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1738.4370238563199</v>
      </c>
      <c r="L537">
        <f ca="1">IF(ISNA(L$1), 0, OFFSET(data!$A$1, ROW()-1, L$1-1))</f>
        <v>0</v>
      </c>
      <c r="M537">
        <f ca="1">IF(ISNA(M$1), 0, OFFSET(data!$A$1, ROW()-1, M$1-1))</f>
        <v>42.933507841927302</v>
      </c>
      <c r="N537">
        <f ca="1">IF(ISNA(N$1), 0, OFFSET(data!$A$1, ROW()-1, N$1-1))</f>
        <v>678.81138177929097</v>
      </c>
      <c r="O537">
        <f ca="1">IF(ISNA(O$1), 0, OFFSET(data!$A$1, ROW()-1, O$1-1))</f>
        <v>57.599999999999902</v>
      </c>
      <c r="P537">
        <f ca="1">IF(ISNA(P$1), 0, OFFSET(data!$A$1, ROW()-1, P$1-1))</f>
        <v>0</v>
      </c>
      <c r="Q537">
        <f ca="1">IF(ISNA(Q$1), 0, OFFSET(data!$A$1, ROW()-1, Q$1-1))</f>
        <v>1781.37053169824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980.21548325799995</v>
      </c>
      <c r="U537">
        <f ca="1">IF(ISNA(U$1), 0, OFFSET(data!$A$1, ROW()-1, U$1-1))</f>
        <v>0</v>
      </c>
      <c r="V537">
        <f ca="1">IF(ISNA(V$1), 0, OFFSET(data!$A$1, ROW()-1, V$1-1))</f>
        <v>404.83335561331899</v>
      </c>
      <c r="W537">
        <f ca="1">IF(ISNA(W$1), 0, OFFSET(data!$A$1, ROW()-1, W$1-1))</f>
        <v>46.321692826926999</v>
      </c>
      <c r="X537">
        <f ca="1">IF(ISNA(X$1), 0, OFFSET(data!$A$1, ROW()-1, X$1-1))</f>
        <v>0</v>
      </c>
      <c r="Y537">
        <f ca="1">IF(ISNA(Y$1), 0, OFFSET(data!$A$1, ROW()-1, Y$1-1))</f>
        <v>350</v>
      </c>
      <c r="Z537">
        <f ca="1">IF(ISNA(Z$1), 0, OFFSET(data!$A$1, ROW()-1, Z$1-1))</f>
        <v>0</v>
      </c>
      <c r="AA537" t="str">
        <f ca="1">IF(ISNA(AA$1), #N/A, OFFSET(data!$A$1, ROW()-1, AA$1-1))</f>
        <v>typical</v>
      </c>
      <c r="AB537">
        <f t="shared" ca="1" si="112"/>
        <v>2035</v>
      </c>
      <c r="AC537">
        <f t="shared" ca="1" si="113"/>
        <v>10</v>
      </c>
      <c r="AD537" t="str">
        <f t="shared" ca="1" si="114"/>
        <v>10/14/2035</v>
      </c>
      <c r="AE537" t="str">
        <f t="shared" ca="1" si="115"/>
        <v>10/14/2035</v>
      </c>
      <c r="AF537" s="6">
        <f t="shared" ca="1" si="116"/>
        <v>0</v>
      </c>
      <c r="AG537">
        <f t="shared" ca="1" si="117"/>
        <v>1026.5371760849268</v>
      </c>
      <c r="AH537">
        <f t="shared" ca="1" si="118"/>
        <v>350</v>
      </c>
      <c r="AI537">
        <f t="shared" ca="1" si="119"/>
        <v>404.83335561331899</v>
      </c>
      <c r="AJ537">
        <f t="shared" ca="1" si="120"/>
        <v>2417.2484056356107</v>
      </c>
      <c r="AK537">
        <f t="shared" ca="1" si="121"/>
        <v>57.599999999999902</v>
      </c>
      <c r="AL537">
        <f t="shared" ca="1" si="122"/>
        <v>42.933507841927302</v>
      </c>
    </row>
    <row r="538" spans="1:38">
      <c r="A538" t="str">
        <f ca="1">IF(ISNA(A$1), 0, OFFSET(data!$A$1, ROW()-1, A$1-1))</f>
        <v>Oahu</v>
      </c>
      <c r="B538">
        <f ca="1">IF(ISNA(B$1), 0, OFFSET(data!$A$1, ROW()-1, B$1-1))</f>
        <v>2035</v>
      </c>
      <c r="C538" t="str">
        <f ca="1">IF(ISNA(C$1), 0, OFFSET(data!$A$1, ROW()-1, C$1-1))</f>
        <v>2035-10-14-14:00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2407.7458026675399</v>
      </c>
      <c r="L538">
        <f ca="1">IF(ISNA(L$1), 0, OFFSET(data!$A$1, ROW()-1, L$1-1))</f>
        <v>0</v>
      </c>
      <c r="M538">
        <f ca="1">IF(ISNA(M$1), 0, OFFSET(data!$A$1, ROW()-1, M$1-1))</f>
        <v>53.220589452010202</v>
      </c>
      <c r="N538">
        <f ca="1">IF(ISNA(N$1), 0, OFFSET(data!$A$1, ROW()-1, N$1-1))</f>
        <v>448.00045970231099</v>
      </c>
      <c r="O538">
        <f ca="1">IF(ISNA(O$1), 0, OFFSET(data!$A$1, ROW()-1, O$1-1))</f>
        <v>57.599999999999902</v>
      </c>
      <c r="P538">
        <f ca="1">IF(ISNA(P$1), 0, OFFSET(data!$A$1, ROW()-1, P$1-1))</f>
        <v>11.4823064796867</v>
      </c>
      <c r="Q538">
        <f ca="1">IF(ISNA(Q$1), 0, OFFSET(data!$A$1, ROW()-1, Q$1-1))</f>
        <v>2460.9663921195502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968.10330737300001</v>
      </c>
      <c r="U538">
        <f ca="1">IF(ISNA(U$1), 0, OFFSET(data!$A$1, ROW()-1, U$1-1))</f>
        <v>0</v>
      </c>
      <c r="V538">
        <f ca="1">IF(ISNA(V$1), 0, OFFSET(data!$A$1, ROW()-1, V$1-1))</f>
        <v>404.83335561331899</v>
      </c>
      <c r="W538">
        <f ca="1">IF(ISNA(W$1), 0, OFFSET(data!$A$1, ROW()-1, W$1-1))</f>
        <v>738.02972913323299</v>
      </c>
      <c r="X538">
        <f ca="1">IF(ISNA(X$1), 0, OFFSET(data!$A$1, ROW()-1, X$1-1))</f>
        <v>0</v>
      </c>
      <c r="Y538">
        <f ca="1">IF(ISNA(Y$1), 0, OFFSET(data!$A$1, ROW()-1, Y$1-1))</f>
        <v>350</v>
      </c>
      <c r="Z538">
        <f ca="1">IF(ISNA(Z$1), 0, OFFSET(data!$A$1, ROW()-1, Z$1-1))</f>
        <v>0</v>
      </c>
      <c r="AA538" t="str">
        <f ca="1">IF(ISNA(AA$1), #N/A, OFFSET(data!$A$1, ROW()-1, AA$1-1))</f>
        <v>typical</v>
      </c>
      <c r="AB538">
        <f t="shared" ca="1" si="112"/>
        <v>2035</v>
      </c>
      <c r="AC538">
        <f t="shared" ca="1" si="113"/>
        <v>10</v>
      </c>
      <c r="AD538" t="str">
        <f t="shared" ca="1" si="114"/>
        <v>10/14/2035</v>
      </c>
      <c r="AE538" t="str">
        <f t="shared" ca="1" si="115"/>
        <v/>
      </c>
      <c r="AF538" s="6">
        <f t="shared" ca="1" si="116"/>
        <v>0</v>
      </c>
      <c r="AG538">
        <f t="shared" ca="1" si="117"/>
        <v>1706.1330365062331</v>
      </c>
      <c r="AH538">
        <f t="shared" ca="1" si="118"/>
        <v>350</v>
      </c>
      <c r="AI538">
        <f t="shared" ca="1" si="119"/>
        <v>404.83335561331899</v>
      </c>
      <c r="AJ538">
        <f t="shared" ca="1" si="120"/>
        <v>2855.7462623698511</v>
      </c>
      <c r="AK538">
        <f t="shared" ca="1" si="121"/>
        <v>57.599999999999902</v>
      </c>
      <c r="AL538">
        <f t="shared" ca="1" si="122"/>
        <v>64.702895931696901</v>
      </c>
    </row>
    <row r="539" spans="1:38">
      <c r="A539" t="str">
        <f ca="1">IF(ISNA(A$1), 0, OFFSET(data!$A$1, ROW()-1, A$1-1))</f>
        <v>Oahu</v>
      </c>
      <c r="B539">
        <f ca="1">IF(ISNA(B$1), 0, OFFSET(data!$A$1, ROW()-1, B$1-1))</f>
        <v>2035</v>
      </c>
      <c r="C539" t="str">
        <f ca="1">IF(ISNA(C$1), 0, OFFSET(data!$A$1, ROW()-1, C$1-1))</f>
        <v>2035-10-14-16:00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1412.5465503463299</v>
      </c>
      <c r="L539">
        <f ca="1">IF(ISNA(L$1), 0, OFFSET(data!$A$1, ROW()-1, L$1-1))</f>
        <v>0</v>
      </c>
      <c r="M539">
        <f ca="1">IF(ISNA(M$1), 0, OFFSET(data!$A$1, ROW()-1, M$1-1))</f>
        <v>63.162248878167397</v>
      </c>
      <c r="N539">
        <f ca="1">IF(ISNA(N$1), 0, OFFSET(data!$A$1, ROW()-1, N$1-1))</f>
        <v>1463.9926676141199</v>
      </c>
      <c r="O539">
        <f ca="1">IF(ISNA(O$1), 0, OFFSET(data!$A$1, ROW()-1, O$1-1))</f>
        <v>57.599999999999902</v>
      </c>
      <c r="P539">
        <f ca="1">IF(ISNA(P$1), 0, OFFSET(data!$A$1, ROW()-1, P$1-1))</f>
        <v>17.043552207707801</v>
      </c>
      <c r="Q539">
        <f ca="1">IF(ISNA(Q$1), 0, OFFSET(data!$A$1, ROW()-1, Q$1-1))</f>
        <v>1475.7087992244999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994.76869930700002</v>
      </c>
      <c r="U539">
        <f ca="1">IF(ISNA(U$1), 0, OFFSET(data!$A$1, ROW()-1, U$1-1))</f>
        <v>0</v>
      </c>
      <c r="V539">
        <f ca="1">IF(ISNA(V$1), 0, OFFSET(data!$A$1, ROW()-1, V$1-1))</f>
        <v>404.83335561331899</v>
      </c>
      <c r="W539">
        <f ca="1">IF(ISNA(W$1), 0, OFFSET(data!$A$1, ROW()-1, W$1-1))</f>
        <v>-273.893255695817</v>
      </c>
      <c r="X539">
        <f ca="1">IF(ISNA(X$1), 0, OFFSET(data!$A$1, ROW()-1, X$1-1))</f>
        <v>0</v>
      </c>
      <c r="Y539">
        <f ca="1">IF(ISNA(Y$1), 0, OFFSET(data!$A$1, ROW()-1, Y$1-1))</f>
        <v>350</v>
      </c>
      <c r="Z539">
        <f ca="1">IF(ISNA(Z$1), 0, OFFSET(data!$A$1, ROW()-1, Z$1-1))</f>
        <v>0</v>
      </c>
      <c r="AA539" t="str">
        <f ca="1">IF(ISNA(AA$1), #N/A, OFFSET(data!$A$1, ROW()-1, AA$1-1))</f>
        <v>typical</v>
      </c>
      <c r="AB539">
        <f t="shared" ca="1" si="112"/>
        <v>2035</v>
      </c>
      <c r="AC539">
        <f t="shared" ca="1" si="113"/>
        <v>10</v>
      </c>
      <c r="AD539" t="str">
        <f t="shared" ca="1" si="114"/>
        <v>10/14/2035</v>
      </c>
      <c r="AE539" t="str">
        <f t="shared" ca="1" si="115"/>
        <v/>
      </c>
      <c r="AF539" s="6">
        <f t="shared" ca="1" si="116"/>
        <v>0</v>
      </c>
      <c r="AG539">
        <f t="shared" ca="1" si="117"/>
        <v>720.87544361118307</v>
      </c>
      <c r="AH539">
        <f t="shared" ca="1" si="118"/>
        <v>350</v>
      </c>
      <c r="AI539">
        <f t="shared" ca="1" si="119"/>
        <v>404.83335561331899</v>
      </c>
      <c r="AJ539">
        <f t="shared" ca="1" si="120"/>
        <v>2876.5392179604496</v>
      </c>
      <c r="AK539">
        <f t="shared" ca="1" si="121"/>
        <v>57.599999999999902</v>
      </c>
      <c r="AL539">
        <f t="shared" ca="1" si="122"/>
        <v>80.205801085875194</v>
      </c>
    </row>
    <row r="540" spans="1:38">
      <c r="A540" t="str">
        <f ca="1">IF(ISNA(A$1), 0, OFFSET(data!$A$1, ROW()-1, A$1-1))</f>
        <v>Oahu</v>
      </c>
      <c r="B540">
        <f ca="1">IF(ISNA(B$1), 0, OFFSET(data!$A$1, ROW()-1, B$1-1))</f>
        <v>2035</v>
      </c>
      <c r="C540" t="str">
        <f ca="1">IF(ISNA(C$1), 0, OFFSET(data!$A$1, ROW()-1, C$1-1))</f>
        <v>2035-10-14-18:00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45.815870725187203</v>
      </c>
      <c r="L540">
        <f ca="1">IF(ISNA(L$1), 0, OFFSET(data!$A$1, ROW()-1, L$1-1))</f>
        <v>57.599999999999902</v>
      </c>
      <c r="M540">
        <f ca="1">IF(ISNA(M$1), 0, OFFSET(data!$A$1, ROW()-1, M$1-1))</f>
        <v>102.671649644932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206.08752037011899</v>
      </c>
      <c r="R540">
        <f ca="1">IF(ISNA(R$1), 0, OFFSET(data!$A$1, ROW()-1, R$1-1))</f>
        <v>404.83335561331899</v>
      </c>
      <c r="S540">
        <f ca="1">IF(ISNA(S$1), 0, OFFSET(data!$A$1, ROW()-1, S$1-1))</f>
        <v>169.99383836556001</v>
      </c>
      <c r="T540">
        <f ca="1">IF(ISNA(T$1), 0, OFFSET(data!$A$1, ROW()-1, T$1-1))</f>
        <v>1115.5924490699999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-334.67773472099998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89.786756444444407</v>
      </c>
      <c r="AA540" t="str">
        <f ca="1">IF(ISNA(AA$1), #N/A, OFFSET(data!$A$1, ROW()-1, AA$1-1))</f>
        <v>typical</v>
      </c>
      <c r="AB540">
        <f t="shared" ca="1" si="112"/>
        <v>2035</v>
      </c>
      <c r="AC540">
        <f t="shared" ca="1" si="113"/>
        <v>10</v>
      </c>
      <c r="AD540" t="str">
        <f t="shared" ca="1" si="114"/>
        <v>10/14/2035</v>
      </c>
      <c r="AE540" t="str">
        <f t="shared" ca="1" si="115"/>
        <v/>
      </c>
      <c r="AF540" s="6">
        <f t="shared" ca="1" si="116"/>
        <v>8.9786756444444407E-2</v>
      </c>
      <c r="AG540">
        <f t="shared" ca="1" si="117"/>
        <v>780.91471434899995</v>
      </c>
      <c r="AH540">
        <f t="shared" ca="1" si="118"/>
        <v>169.99383836556001</v>
      </c>
      <c r="AI540">
        <f t="shared" ca="1" si="119"/>
        <v>404.83335561331899</v>
      </c>
      <c r="AJ540">
        <f t="shared" ca="1" si="120"/>
        <v>45.815870725187203</v>
      </c>
      <c r="AK540">
        <f t="shared" ca="1" si="121"/>
        <v>57.599999999999902</v>
      </c>
      <c r="AL540">
        <f t="shared" ca="1" si="122"/>
        <v>102.671649644932</v>
      </c>
    </row>
    <row r="541" spans="1:38">
      <c r="A541" t="str">
        <f ca="1">IF(ISNA(A$1), 0, OFFSET(data!$A$1, ROW()-1, A$1-1))</f>
        <v>Oahu</v>
      </c>
      <c r="B541">
        <f ca="1">IF(ISNA(B$1), 0, OFFSET(data!$A$1, ROW()-1, B$1-1))</f>
        <v>2035</v>
      </c>
      <c r="C541" t="str">
        <f ca="1">IF(ISNA(C$1), 0, OFFSET(data!$A$1, ROW()-1, C$1-1))</f>
        <v>2035-10-14-20:00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145.74538796341599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203.34538796341599</v>
      </c>
      <c r="R541">
        <f ca="1">IF(ISNA(R$1), 0, OFFSET(data!$A$1, ROW()-1, R$1-1))</f>
        <v>394.049162799908</v>
      </c>
      <c r="S541">
        <f ca="1">IF(ISNA(S$1), 0, OFFSET(data!$A$1, ROW()-1, S$1-1))</f>
        <v>89.785373806975102</v>
      </c>
      <c r="T541">
        <f ca="1">IF(ISNA(T$1), 0, OFFSET(data!$A$1, ROW()-1, T$1-1))</f>
        <v>981.68560652899998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-294.50568195869999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89.786756444444407</v>
      </c>
      <c r="AA541" t="str">
        <f ca="1">IF(ISNA(AA$1), #N/A, OFFSET(data!$A$1, ROW()-1, AA$1-1))</f>
        <v>typical</v>
      </c>
      <c r="AB541">
        <f t="shared" ca="1" si="112"/>
        <v>2035</v>
      </c>
      <c r="AC541">
        <f t="shared" ca="1" si="113"/>
        <v>10</v>
      </c>
      <c r="AD541" t="str">
        <f t="shared" ca="1" si="114"/>
        <v>10/14/2035</v>
      </c>
      <c r="AE541" t="str">
        <f t="shared" ca="1" si="115"/>
        <v/>
      </c>
      <c r="AF541" s="6">
        <f t="shared" ca="1" si="116"/>
        <v>8.9786756444444407E-2</v>
      </c>
      <c r="AG541">
        <f t="shared" ca="1" si="117"/>
        <v>687.17992457030005</v>
      </c>
      <c r="AH541">
        <f t="shared" ca="1" si="118"/>
        <v>89.785373806975102</v>
      </c>
      <c r="AI541">
        <f t="shared" ca="1" si="119"/>
        <v>394.049162799908</v>
      </c>
      <c r="AJ541">
        <f t="shared" ca="1" si="120"/>
        <v>0</v>
      </c>
      <c r="AK541">
        <f t="shared" ca="1" si="121"/>
        <v>57.599999999999902</v>
      </c>
      <c r="AL541">
        <f t="shared" ca="1" si="122"/>
        <v>145.74538796341599</v>
      </c>
    </row>
    <row r="542" spans="1:38">
      <c r="A542" t="str">
        <f ca="1">IF(ISNA(A$1), 0, OFFSET(data!$A$1, ROW()-1, A$1-1))</f>
        <v>Oahu</v>
      </c>
      <c r="B542">
        <f ca="1">IF(ISNA(B$1), 0, OFFSET(data!$A$1, ROW()-1, B$1-1))</f>
        <v>2035</v>
      </c>
      <c r="C542" t="str">
        <f ca="1">IF(ISNA(C$1), 0, OFFSET(data!$A$1, ROW()-1, C$1-1))</f>
        <v>2035-10-14-22:00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135.66232439497699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193.26232439497699</v>
      </c>
      <c r="R542">
        <f ca="1">IF(ISNA(R$1), 0, OFFSET(data!$A$1, ROW()-1, R$1-1))</f>
        <v>173.895868064322</v>
      </c>
      <c r="S542">
        <f ca="1">IF(ISNA(S$1), 0, OFFSET(data!$A$1, ROW()-1, S$1-1))</f>
        <v>150</v>
      </c>
      <c r="T542">
        <f ca="1">IF(ISNA(T$1), 0, OFFSET(data!$A$1, ROW()-1, T$1-1))</f>
        <v>738.79741779899996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-221.63922533969901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89.786756444444407</v>
      </c>
      <c r="AA542" t="str">
        <f ca="1">IF(ISNA(AA$1), #N/A, OFFSET(data!$A$1, ROW()-1, AA$1-1))</f>
        <v>typical</v>
      </c>
      <c r="AB542">
        <f t="shared" ca="1" si="112"/>
        <v>2035</v>
      </c>
      <c r="AC542">
        <f t="shared" ca="1" si="113"/>
        <v>10</v>
      </c>
      <c r="AD542" t="str">
        <f t="shared" ca="1" si="114"/>
        <v>10/14/2035</v>
      </c>
      <c r="AE542" t="str">
        <f t="shared" ca="1" si="115"/>
        <v/>
      </c>
      <c r="AF542" s="6">
        <f t="shared" ca="1" si="116"/>
        <v>8.9786756444444407E-2</v>
      </c>
      <c r="AG542">
        <f t="shared" ca="1" si="117"/>
        <v>517.15819245930095</v>
      </c>
      <c r="AH542">
        <f t="shared" ca="1" si="118"/>
        <v>150</v>
      </c>
      <c r="AI542">
        <f t="shared" ca="1" si="119"/>
        <v>173.895868064322</v>
      </c>
      <c r="AJ542">
        <f t="shared" ca="1" si="120"/>
        <v>0</v>
      </c>
      <c r="AK542">
        <f t="shared" ca="1" si="121"/>
        <v>57.599999999999902</v>
      </c>
      <c r="AL542">
        <f t="shared" ca="1" si="122"/>
        <v>135.66232439497699</v>
      </c>
    </row>
    <row r="543" spans="1:38">
      <c r="A543" t="str">
        <f ca="1">IF(ISNA(A$1), 0, OFFSET(data!$A$1, ROW()-1, A$1-1))</f>
        <v>Oahu</v>
      </c>
      <c r="B543">
        <f ca="1">IF(ISNA(B$1), 0, OFFSET(data!$A$1, ROW()-1, B$1-1))</f>
        <v>2035</v>
      </c>
      <c r="C543" t="str">
        <f ca="1">IF(ISNA(C$1), 0, OFFSET(data!$A$1, ROW()-1, C$1-1))</f>
        <v>2035-10-22-00:00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4.5580144798718596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62.158014479871802</v>
      </c>
      <c r="R543">
        <f ca="1">IF(ISNA(R$1), 0, OFFSET(data!$A$1, ROW()-1, R$1-1))</f>
        <v>210.703439261238</v>
      </c>
      <c r="S543">
        <f ca="1">IF(ISNA(S$1), 0, OFFSET(data!$A$1, ROW()-1, S$1-1))</f>
        <v>97.170534219489895</v>
      </c>
      <c r="T543">
        <f ca="1">IF(ISNA(T$1), 0, OFFSET(data!$A$1, ROW()-1, T$1-1))</f>
        <v>528.61712565799996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-158.58513769739901</v>
      </c>
      <c r="X543">
        <f ca="1">IF(ISNA(X$1), 0, OFFSET(data!$A$1, ROW()-1, X$1-1))</f>
        <v>0</v>
      </c>
      <c r="Y543">
        <f ca="1">IF(ISNA(Y$1), 0, OFFSET(data!$A$1, ROW()-1, Y$1-1))</f>
        <v>0</v>
      </c>
      <c r="Z543">
        <f ca="1">IF(ISNA(Z$1), 0, OFFSET(data!$A$1, ROW()-1, Z$1-1))</f>
        <v>142.51136703590299</v>
      </c>
      <c r="AA543" t="str">
        <f ca="1">IF(ISNA(AA$1), #N/A, OFFSET(data!$A$1, ROW()-1, AA$1-1))</f>
        <v>peak</v>
      </c>
      <c r="AB543">
        <f t="shared" ca="1" si="112"/>
        <v>2035</v>
      </c>
      <c r="AC543">
        <f t="shared" ca="1" si="113"/>
        <v>10</v>
      </c>
      <c r="AD543" t="str">
        <f t="shared" ca="1" si="114"/>
        <v>10/22/2035</v>
      </c>
      <c r="AE543" t="str">
        <f t="shared" ca="1" si="115"/>
        <v/>
      </c>
      <c r="AF543" s="6">
        <f t="shared" ca="1" si="116"/>
        <v>0.142511367035903</v>
      </c>
      <c r="AG543">
        <f t="shared" ca="1" si="117"/>
        <v>370.03198796060099</v>
      </c>
      <c r="AH543">
        <f t="shared" ca="1" si="118"/>
        <v>97.170534219489895</v>
      </c>
      <c r="AI543">
        <f t="shared" ca="1" si="119"/>
        <v>210.703439261238</v>
      </c>
      <c r="AJ543">
        <f t="shared" ca="1" si="120"/>
        <v>0</v>
      </c>
      <c r="AK543">
        <f t="shared" ca="1" si="121"/>
        <v>57.599999999999902</v>
      </c>
      <c r="AL543">
        <f t="shared" ca="1" si="122"/>
        <v>4.5580144798718596</v>
      </c>
    </row>
    <row r="544" spans="1:38">
      <c r="A544" t="str">
        <f ca="1">IF(ISNA(A$1), 0, OFFSET(data!$A$1, ROW()-1, A$1-1))</f>
        <v>Oahu</v>
      </c>
      <c r="B544">
        <f ca="1">IF(ISNA(B$1), 0, OFFSET(data!$A$1, ROW()-1, B$1-1))</f>
        <v>2035</v>
      </c>
      <c r="C544" t="str">
        <f ca="1">IF(ISNA(C$1), 0, OFFSET(data!$A$1, ROW()-1, C$1-1))</f>
        <v>2035-10-22-02:00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0.46238310143275002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58.062383101432701</v>
      </c>
      <c r="R544">
        <f ca="1">IF(ISNA(R$1), 0, OFFSET(data!$A$1, ROW()-1, R$1-1))</f>
        <v>182.76470710676699</v>
      </c>
      <c r="S544">
        <f ca="1">IF(ISNA(S$1), 0, OFFSET(data!$A$1, ROW()-1, S$1-1))</f>
        <v>85</v>
      </c>
      <c r="T544">
        <f ca="1">IF(ISNA(T$1), 0, OFFSET(data!$A$1, ROW()-1, T$1-1))</f>
        <v>465.46727172599998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-139.64018151779999</v>
      </c>
      <c r="X544">
        <f ca="1">IF(ISNA(X$1), 0, OFFSET(data!$A$1, ROW()-1, X$1-1))</f>
        <v>0</v>
      </c>
      <c r="Y544">
        <f ca="1">IF(ISNA(Y$1), 0, OFFSET(data!$A$1, ROW()-1, Y$1-1))</f>
        <v>0</v>
      </c>
      <c r="Z544">
        <f ca="1">IF(ISNA(Z$1), 0, OFFSET(data!$A$1, ROW()-1, Z$1-1))</f>
        <v>142.51136703590299</v>
      </c>
      <c r="AA544" t="str">
        <f ca="1">IF(ISNA(AA$1), #N/A, OFFSET(data!$A$1, ROW()-1, AA$1-1))</f>
        <v>peak</v>
      </c>
      <c r="AB544">
        <f t="shared" ca="1" si="112"/>
        <v>2035</v>
      </c>
      <c r="AC544">
        <f t="shared" ca="1" si="113"/>
        <v>10</v>
      </c>
      <c r="AD544" t="str">
        <f t="shared" ca="1" si="114"/>
        <v>10/22/2035</v>
      </c>
      <c r="AE544" t="str">
        <f t="shared" ca="1" si="115"/>
        <v/>
      </c>
      <c r="AF544" s="6">
        <f t="shared" ca="1" si="116"/>
        <v>0.142511367035903</v>
      </c>
      <c r="AG544">
        <f t="shared" ca="1" si="117"/>
        <v>325.82709020819999</v>
      </c>
      <c r="AH544">
        <f t="shared" ca="1" si="118"/>
        <v>85</v>
      </c>
      <c r="AI544">
        <f t="shared" ca="1" si="119"/>
        <v>182.76470710676699</v>
      </c>
      <c r="AJ544">
        <f t="shared" ca="1" si="120"/>
        <v>0</v>
      </c>
      <c r="AK544">
        <f t="shared" ca="1" si="121"/>
        <v>57.599999999999902</v>
      </c>
      <c r="AL544">
        <f t="shared" ca="1" si="122"/>
        <v>0.46238310143275002</v>
      </c>
    </row>
    <row r="545" spans="1:38">
      <c r="A545" t="str">
        <f ca="1">IF(ISNA(A$1), 0, OFFSET(data!$A$1, ROW()-1, A$1-1))</f>
        <v>Oahu</v>
      </c>
      <c r="B545">
        <f ca="1">IF(ISNA(B$1), 0, OFFSET(data!$A$1, ROW()-1, B$1-1))</f>
        <v>2035</v>
      </c>
      <c r="C545" t="str">
        <f ca="1">IF(ISNA(C$1), 0, OFFSET(data!$A$1, ROW()-1, C$1-1))</f>
        <v>2035-10-22-04:00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0.48803388983964902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58.0880338898396</v>
      </c>
      <c r="R545">
        <f ca="1">IF(ISNA(R$1), 0, OFFSET(data!$A$1, ROW()-1, R$1-1))</f>
        <v>80.628629774160203</v>
      </c>
      <c r="S545">
        <f ca="1">IF(ISNA(S$1), 0, OFFSET(data!$A$1, ROW()-1, S$1-1))</f>
        <v>250</v>
      </c>
      <c r="T545">
        <f ca="1">IF(ISNA(T$1), 0, OFFSET(data!$A$1, ROW()-1, T$1-1))</f>
        <v>555.30951951999998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-166.592855856</v>
      </c>
      <c r="X545">
        <f ca="1">IF(ISNA(X$1), 0, OFFSET(data!$A$1, ROW()-1, X$1-1))</f>
        <v>0</v>
      </c>
      <c r="Y545">
        <f ca="1">IF(ISNA(Y$1), 0, OFFSET(data!$A$1, ROW()-1, Y$1-1))</f>
        <v>0</v>
      </c>
      <c r="Z545">
        <f ca="1">IF(ISNA(Z$1), 0, OFFSET(data!$A$1, ROW()-1, Z$1-1))</f>
        <v>142.51136703590299</v>
      </c>
      <c r="AA545" t="str">
        <f ca="1">IF(ISNA(AA$1), #N/A, OFFSET(data!$A$1, ROW()-1, AA$1-1))</f>
        <v>peak</v>
      </c>
      <c r="AB545">
        <f t="shared" ca="1" si="112"/>
        <v>2035</v>
      </c>
      <c r="AC545">
        <f t="shared" ca="1" si="113"/>
        <v>10</v>
      </c>
      <c r="AD545" t="str">
        <f t="shared" ca="1" si="114"/>
        <v>10/22/2035</v>
      </c>
      <c r="AE545" t="str">
        <f t="shared" ca="1" si="115"/>
        <v/>
      </c>
      <c r="AF545" s="6">
        <f t="shared" ca="1" si="116"/>
        <v>0.142511367035903</v>
      </c>
      <c r="AG545">
        <f t="shared" ca="1" si="117"/>
        <v>388.71666366399995</v>
      </c>
      <c r="AH545">
        <f t="shared" ca="1" si="118"/>
        <v>250</v>
      </c>
      <c r="AI545">
        <f t="shared" ca="1" si="119"/>
        <v>80.628629774160203</v>
      </c>
      <c r="AJ545">
        <f t="shared" ca="1" si="120"/>
        <v>0</v>
      </c>
      <c r="AK545">
        <f t="shared" ca="1" si="121"/>
        <v>57.599999999999902</v>
      </c>
      <c r="AL545">
        <f t="shared" ca="1" si="122"/>
        <v>0.48803388983964902</v>
      </c>
    </row>
    <row r="546" spans="1:38">
      <c r="A546" t="str">
        <f ca="1">IF(ISNA(A$1), 0, OFFSET(data!$A$1, ROW()-1, A$1-1))</f>
        <v>Oahu</v>
      </c>
      <c r="B546">
        <f ca="1">IF(ISNA(B$1), 0, OFFSET(data!$A$1, ROW()-1, B$1-1))</f>
        <v>2035</v>
      </c>
      <c r="C546" t="str">
        <f ca="1">IF(ISNA(C$1), 0, OFFSET(data!$A$1, ROW()-1, C$1-1))</f>
        <v>2035-10-22-06:00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0.11672022870755699</v>
      </c>
      <c r="L546">
        <f ca="1">IF(ISNA(L$1), 0, OFFSET(data!$A$1, ROW()-1, L$1-1))</f>
        <v>57.599999999999902</v>
      </c>
      <c r="M546">
        <f ca="1">IF(ISNA(M$1), 0, OFFSET(data!$A$1, ROW()-1, M$1-1))</f>
        <v>0.492940463071315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236.40966069177799</v>
      </c>
      <c r="R546">
        <f ca="1">IF(ISNA(R$1), 0, OFFSET(data!$A$1, ROW()-1, R$1-1))</f>
        <v>9.5941290665211802</v>
      </c>
      <c r="S546">
        <f ca="1">IF(ISNA(S$1), 0, OFFSET(data!$A$1, ROW()-1, S$1-1))</f>
        <v>350</v>
      </c>
      <c r="T546">
        <f ca="1">IF(ISNA(T$1), 0, OFFSET(data!$A$1, ROW()-1, T$1-1))</f>
        <v>851.43398536899997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-255.430195610699</v>
      </c>
      <c r="X546">
        <f ca="1">IF(ISNA(X$1), 0, OFFSET(data!$A$1, ROW()-1, X$1-1))</f>
        <v>0</v>
      </c>
      <c r="Y546">
        <f ca="1">IF(ISNA(Y$1), 0, OFFSET(data!$A$1, ROW()-1, Y$1-1))</f>
        <v>0</v>
      </c>
      <c r="Z546">
        <f ca="1">IF(ISNA(Z$1), 0, OFFSET(data!$A$1, ROW()-1, Z$1-1))</f>
        <v>142.51136703590299</v>
      </c>
      <c r="AA546" t="str">
        <f ca="1">IF(ISNA(AA$1), #N/A, OFFSET(data!$A$1, ROW()-1, AA$1-1))</f>
        <v>peak</v>
      </c>
      <c r="AB546">
        <f t="shared" ca="1" si="112"/>
        <v>2035</v>
      </c>
      <c r="AC546">
        <f t="shared" ca="1" si="113"/>
        <v>10</v>
      </c>
      <c r="AD546" t="str">
        <f t="shared" ca="1" si="114"/>
        <v>10/22/2035</v>
      </c>
      <c r="AE546" t="str">
        <f t="shared" ca="1" si="115"/>
        <v/>
      </c>
      <c r="AF546" s="6">
        <f t="shared" ca="1" si="116"/>
        <v>0.142511367035903</v>
      </c>
      <c r="AG546">
        <f t="shared" ca="1" si="117"/>
        <v>596.00378975830097</v>
      </c>
      <c r="AH546">
        <f t="shared" ca="1" si="118"/>
        <v>350</v>
      </c>
      <c r="AI546">
        <f t="shared" ca="1" si="119"/>
        <v>9.5941290665211802</v>
      </c>
      <c r="AJ546">
        <f t="shared" ca="1" si="120"/>
        <v>0.11672022870755699</v>
      </c>
      <c r="AK546">
        <f t="shared" ca="1" si="121"/>
        <v>57.599999999999902</v>
      </c>
      <c r="AL546">
        <f t="shared" ca="1" si="122"/>
        <v>0.492940463071315</v>
      </c>
    </row>
    <row r="547" spans="1:38">
      <c r="A547" t="str">
        <f ca="1">IF(ISNA(A$1), 0, OFFSET(data!$A$1, ROW()-1, A$1-1))</f>
        <v>Oahu</v>
      </c>
      <c r="B547">
        <f ca="1">IF(ISNA(B$1), 0, OFFSET(data!$A$1, ROW()-1, B$1-1))</f>
        <v>2035</v>
      </c>
      <c r="C547" t="str">
        <f ca="1">IF(ISNA(C$1), 0, OFFSET(data!$A$1, ROW()-1, C$1-1))</f>
        <v>2035-10-22-08:00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2096.1705754998802</v>
      </c>
      <c r="L547">
        <f ca="1">IF(ISNA(L$1), 0, OFFSET(data!$A$1, ROW()-1, L$1-1))</f>
        <v>57.599999999999902</v>
      </c>
      <c r="M547">
        <f ca="1">IF(ISNA(M$1), 0, OFFSET(data!$A$1, ROW()-1, M$1-1))</f>
        <v>0.60444302116241899</v>
      </c>
      <c r="N547">
        <f ca="1">IF(ISNA(N$1), 0, OFFSET(data!$A$1, ROW()-1, N$1-1))</f>
        <v>-7.1054273576010003E-15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2154.3750185210401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1053.62944513</v>
      </c>
      <c r="U547">
        <f ca="1">IF(ISNA(U$1), 0, OFFSET(data!$A$1, ROW()-1, U$1-1))</f>
        <v>0</v>
      </c>
      <c r="V547">
        <f ca="1">IF(ISNA(V$1), 0, OFFSET(data!$A$1, ROW()-1, V$1-1))</f>
        <v>404.72377772091801</v>
      </c>
      <c r="W547">
        <f ca="1">IF(ISNA(W$1), 0, OFFSET(data!$A$1, ROW()-1, W$1-1))</f>
        <v>346.02179567012502</v>
      </c>
      <c r="X547">
        <f ca="1">IF(ISNA(X$1), 0, OFFSET(data!$A$1, ROW()-1, X$1-1))</f>
        <v>0</v>
      </c>
      <c r="Y547">
        <f ca="1">IF(ISNA(Y$1), 0, OFFSET(data!$A$1, ROW()-1, Y$1-1))</f>
        <v>350</v>
      </c>
      <c r="Z547">
        <f ca="1">IF(ISNA(Z$1), 0, OFFSET(data!$A$1, ROW()-1, Z$1-1))</f>
        <v>39.543457943594397</v>
      </c>
      <c r="AA547" t="str">
        <f ca="1">IF(ISNA(AA$1), #N/A, OFFSET(data!$A$1, ROW()-1, AA$1-1))</f>
        <v>peak</v>
      </c>
      <c r="AB547">
        <f t="shared" ca="1" si="112"/>
        <v>2035</v>
      </c>
      <c r="AC547">
        <f t="shared" ca="1" si="113"/>
        <v>10</v>
      </c>
      <c r="AD547" t="str">
        <f t="shared" ca="1" si="114"/>
        <v>10/22/2035</v>
      </c>
      <c r="AE547" t="str">
        <f t="shared" ca="1" si="115"/>
        <v/>
      </c>
      <c r="AF547" s="6">
        <f t="shared" ca="1" si="116"/>
        <v>3.9543457943594394E-2</v>
      </c>
      <c r="AG547">
        <f t="shared" ca="1" si="117"/>
        <v>1399.6512408001249</v>
      </c>
      <c r="AH547">
        <f t="shared" ca="1" si="118"/>
        <v>350</v>
      </c>
      <c r="AI547">
        <f t="shared" ca="1" si="119"/>
        <v>404.72377772091801</v>
      </c>
      <c r="AJ547">
        <f t="shared" ca="1" si="120"/>
        <v>2096.1705754998802</v>
      </c>
      <c r="AK547">
        <f t="shared" ca="1" si="121"/>
        <v>57.599999999999902</v>
      </c>
      <c r="AL547">
        <f t="shared" ca="1" si="122"/>
        <v>0.60444302116241899</v>
      </c>
    </row>
    <row r="548" spans="1:38">
      <c r="A548" t="str">
        <f ca="1">IF(ISNA(A$1), 0, OFFSET(data!$A$1, ROW()-1, A$1-1))</f>
        <v>Oahu</v>
      </c>
      <c r="B548">
        <f ca="1">IF(ISNA(B$1), 0, OFFSET(data!$A$1, ROW()-1, B$1-1))</f>
        <v>2035</v>
      </c>
      <c r="C548" t="str">
        <f ca="1">IF(ISNA(C$1), 0, OFFSET(data!$A$1, ROW()-1, C$1-1))</f>
        <v>2035-10-22-10:00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2298.97880225874</v>
      </c>
      <c r="L548">
        <f ca="1">IF(ISNA(L$1), 0, OFFSET(data!$A$1, ROW()-1, L$1-1))</f>
        <v>57.599999999999902</v>
      </c>
      <c r="M548">
        <f ca="1">IF(ISNA(M$1), 0, OFFSET(data!$A$1, ROW()-1, M$1-1))</f>
        <v>4.4643270016849304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2361.0431292604198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1149.70296411</v>
      </c>
      <c r="U548">
        <f ca="1">IF(ISNA(U$1), 0, OFFSET(data!$A$1, ROW()-1, U$1-1))</f>
        <v>0</v>
      </c>
      <c r="V548">
        <f ca="1">IF(ISNA(V$1), 0, OFFSET(data!$A$1, ROW()-1, V$1-1))</f>
        <v>404.83335561331899</v>
      </c>
      <c r="W548">
        <f ca="1">IF(ISNA(W$1), 0, OFFSET(data!$A$1, ROW()-1, W$1-1))</f>
        <v>456.506809537111</v>
      </c>
      <c r="X548">
        <f ca="1">IF(ISNA(X$1), 0, OFFSET(data!$A$1, ROW()-1, X$1-1))</f>
        <v>0</v>
      </c>
      <c r="Y548">
        <f ca="1">IF(ISNA(Y$1), 0, OFFSET(data!$A$1, ROW()-1, Y$1-1))</f>
        <v>350</v>
      </c>
      <c r="Z548">
        <f ca="1">IF(ISNA(Z$1), 0, OFFSET(data!$A$1, ROW()-1, Z$1-1))</f>
        <v>39.543457943594397</v>
      </c>
      <c r="AA548" t="str">
        <f ca="1">IF(ISNA(AA$1), #N/A, OFFSET(data!$A$1, ROW()-1, AA$1-1))</f>
        <v>peak</v>
      </c>
      <c r="AB548">
        <f t="shared" ca="1" si="112"/>
        <v>2035</v>
      </c>
      <c r="AC548">
        <f t="shared" ca="1" si="113"/>
        <v>10</v>
      </c>
      <c r="AD548" t="str">
        <f t="shared" ca="1" si="114"/>
        <v>10/22/2035</v>
      </c>
      <c r="AE548" t="str">
        <f t="shared" ca="1" si="115"/>
        <v/>
      </c>
      <c r="AF548" s="6">
        <f t="shared" ca="1" si="116"/>
        <v>3.9543457943594394E-2</v>
      </c>
      <c r="AG548">
        <f t="shared" ca="1" si="117"/>
        <v>1606.209773647111</v>
      </c>
      <c r="AH548">
        <f t="shared" ca="1" si="118"/>
        <v>350</v>
      </c>
      <c r="AI548">
        <f t="shared" ca="1" si="119"/>
        <v>404.83335561331899</v>
      </c>
      <c r="AJ548">
        <f t="shared" ca="1" si="120"/>
        <v>2298.97880225874</v>
      </c>
      <c r="AK548">
        <f t="shared" ca="1" si="121"/>
        <v>57.599999999999902</v>
      </c>
      <c r="AL548">
        <f t="shared" ca="1" si="122"/>
        <v>4.4643270016849304</v>
      </c>
    </row>
    <row r="549" spans="1:38">
      <c r="A549" t="str">
        <f ca="1">IF(ISNA(A$1), 0, OFFSET(data!$A$1, ROW()-1, A$1-1))</f>
        <v>Oahu</v>
      </c>
      <c r="B549">
        <f ca="1">IF(ISNA(B$1), 0, OFFSET(data!$A$1, ROW()-1, B$1-1))</f>
        <v>2035</v>
      </c>
      <c r="C549" t="str">
        <f ca="1">IF(ISNA(C$1), 0, OFFSET(data!$A$1, ROW()-1, C$1-1))</f>
        <v>2035-10-22-12:00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2138.9833299829702</v>
      </c>
      <c r="L549">
        <f ca="1">IF(ISNA(L$1), 0, OFFSET(data!$A$1, ROW()-1, L$1-1))</f>
        <v>57.599999999999902</v>
      </c>
      <c r="M549">
        <f ca="1">IF(ISNA(M$1), 0, OFFSET(data!$A$1, ROW()-1, M$1-1))</f>
        <v>12.698853745817599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2209.2821837287902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1190.59804289</v>
      </c>
      <c r="U549">
        <f ca="1">IF(ISNA(U$1), 0, OFFSET(data!$A$1, ROW()-1, U$1-1))</f>
        <v>0</v>
      </c>
      <c r="V549">
        <f ca="1">IF(ISNA(V$1), 0, OFFSET(data!$A$1, ROW()-1, V$1-1))</f>
        <v>404.83335561331899</v>
      </c>
      <c r="W549">
        <f ca="1">IF(ISNA(W$1), 0, OFFSET(data!$A$1, ROW()-1, W$1-1))</f>
        <v>263.85078522547099</v>
      </c>
      <c r="X549">
        <f ca="1">IF(ISNA(X$1), 0, OFFSET(data!$A$1, ROW()-1, X$1-1))</f>
        <v>0</v>
      </c>
      <c r="Y549">
        <f ca="1">IF(ISNA(Y$1), 0, OFFSET(data!$A$1, ROW()-1, Y$1-1))</f>
        <v>350</v>
      </c>
      <c r="Z549">
        <f ca="1">IF(ISNA(Z$1), 0, OFFSET(data!$A$1, ROW()-1, Z$1-1))</f>
        <v>39.543457943594397</v>
      </c>
      <c r="AA549" t="str">
        <f ca="1">IF(ISNA(AA$1), #N/A, OFFSET(data!$A$1, ROW()-1, AA$1-1))</f>
        <v>peak</v>
      </c>
      <c r="AB549">
        <f t="shared" ca="1" si="112"/>
        <v>2035</v>
      </c>
      <c r="AC549">
        <f t="shared" ca="1" si="113"/>
        <v>10</v>
      </c>
      <c r="AD549" t="str">
        <f t="shared" ca="1" si="114"/>
        <v>10/22/2035</v>
      </c>
      <c r="AE549" t="str">
        <f t="shared" ca="1" si="115"/>
        <v>10/22/2035</v>
      </c>
      <c r="AF549" s="6">
        <f t="shared" ca="1" si="116"/>
        <v>3.9543457943594394E-2</v>
      </c>
      <c r="AG549">
        <f t="shared" ca="1" si="117"/>
        <v>1454.4488281154709</v>
      </c>
      <c r="AH549">
        <f t="shared" ca="1" si="118"/>
        <v>350</v>
      </c>
      <c r="AI549">
        <f t="shared" ca="1" si="119"/>
        <v>404.83335561331899</v>
      </c>
      <c r="AJ549">
        <f t="shared" ca="1" si="120"/>
        <v>2138.9833299829702</v>
      </c>
      <c r="AK549">
        <f t="shared" ca="1" si="121"/>
        <v>57.599999999999902</v>
      </c>
      <c r="AL549">
        <f t="shared" ca="1" si="122"/>
        <v>12.698853745817599</v>
      </c>
    </row>
    <row r="550" spans="1:38">
      <c r="A550" t="str">
        <f ca="1">IF(ISNA(A$1), 0, OFFSET(data!$A$1, ROW()-1, A$1-1))</f>
        <v>Oahu</v>
      </c>
      <c r="B550">
        <f ca="1">IF(ISNA(B$1), 0, OFFSET(data!$A$1, ROW()-1, B$1-1))</f>
        <v>2035</v>
      </c>
      <c r="C550" t="str">
        <f ca="1">IF(ISNA(C$1), 0, OFFSET(data!$A$1, ROW()-1, C$1-1))</f>
        <v>2035-10-22-14:00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2204.8527263713199</v>
      </c>
      <c r="L550">
        <f ca="1">IF(ISNA(L$1), 0, OFFSET(data!$A$1, ROW()-1, L$1-1))</f>
        <v>57.599999999999902</v>
      </c>
      <c r="M550">
        <f ca="1">IF(ISNA(M$1), 0, OFFSET(data!$A$1, ROW()-1, M$1-1))</f>
        <v>10.9883493011396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2273.4410756724601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1193.2821004100001</v>
      </c>
      <c r="U550">
        <f ca="1">IF(ISNA(U$1), 0, OFFSET(data!$A$1, ROW()-1, U$1-1))</f>
        <v>0</v>
      </c>
      <c r="V550">
        <f ca="1">IF(ISNA(V$1), 0, OFFSET(data!$A$1, ROW()-1, V$1-1))</f>
        <v>404.83335561331899</v>
      </c>
      <c r="W550">
        <f ca="1">IF(ISNA(W$1), 0, OFFSET(data!$A$1, ROW()-1, W$1-1))</f>
        <v>325.32561964914498</v>
      </c>
      <c r="X550">
        <f ca="1">IF(ISNA(X$1), 0, OFFSET(data!$A$1, ROW()-1, X$1-1))</f>
        <v>0</v>
      </c>
      <c r="Y550">
        <f ca="1">IF(ISNA(Y$1), 0, OFFSET(data!$A$1, ROW()-1, Y$1-1))</f>
        <v>350</v>
      </c>
      <c r="Z550">
        <f ca="1">IF(ISNA(Z$1), 0, OFFSET(data!$A$1, ROW()-1, Z$1-1))</f>
        <v>39.543457943594397</v>
      </c>
      <c r="AA550" t="str">
        <f ca="1">IF(ISNA(AA$1), #N/A, OFFSET(data!$A$1, ROW()-1, AA$1-1))</f>
        <v>peak</v>
      </c>
      <c r="AB550">
        <f t="shared" ca="1" si="112"/>
        <v>2035</v>
      </c>
      <c r="AC550">
        <f t="shared" ca="1" si="113"/>
        <v>10</v>
      </c>
      <c r="AD550" t="str">
        <f t="shared" ca="1" si="114"/>
        <v>10/22/2035</v>
      </c>
      <c r="AE550" t="str">
        <f t="shared" ca="1" si="115"/>
        <v/>
      </c>
      <c r="AF550" s="6">
        <f t="shared" ca="1" si="116"/>
        <v>3.9543457943594394E-2</v>
      </c>
      <c r="AG550">
        <f t="shared" ca="1" si="117"/>
        <v>1518.6077200591451</v>
      </c>
      <c r="AH550">
        <f t="shared" ca="1" si="118"/>
        <v>350</v>
      </c>
      <c r="AI550">
        <f t="shared" ca="1" si="119"/>
        <v>404.83335561331899</v>
      </c>
      <c r="AJ550">
        <f t="shared" ca="1" si="120"/>
        <v>2204.8527263713199</v>
      </c>
      <c r="AK550">
        <f t="shared" ca="1" si="121"/>
        <v>57.599999999999902</v>
      </c>
      <c r="AL550">
        <f t="shared" ca="1" si="122"/>
        <v>10.9883493011396</v>
      </c>
    </row>
    <row r="551" spans="1:38">
      <c r="A551" t="str">
        <f ca="1">IF(ISNA(A$1), 0, OFFSET(data!$A$1, ROW()-1, A$1-1))</f>
        <v>Oahu</v>
      </c>
      <c r="B551">
        <f ca="1">IF(ISNA(B$1), 0, OFFSET(data!$A$1, ROW()-1, B$1-1))</f>
        <v>2035</v>
      </c>
      <c r="C551" t="str">
        <f ca="1">IF(ISNA(C$1), 0, OFFSET(data!$A$1, ROW()-1, C$1-1))</f>
        <v>2035-10-22-16:00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2075.5102505319101</v>
      </c>
      <c r="L551">
        <f ca="1">IF(ISNA(L$1), 0, OFFSET(data!$A$1, ROW()-1, L$1-1))</f>
        <v>57.599999999999902</v>
      </c>
      <c r="M551">
        <f ca="1">IF(ISNA(M$1), 0, OFFSET(data!$A$1, ROW()-1, M$1-1))</f>
        <v>12.4866370710551</v>
      </c>
      <c r="N551">
        <f ca="1">IF(ISNA(N$1), 0, OFFSET(data!$A$1, ROW()-1, N$1-1))</f>
        <v>1.4210854715202001E-14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2145.5968876029601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1156.2176732200001</v>
      </c>
      <c r="U551">
        <f ca="1">IF(ISNA(U$1), 0, OFFSET(data!$A$1, ROW()-1, U$1-1))</f>
        <v>0</v>
      </c>
      <c r="V551">
        <f ca="1">IF(ISNA(V$1), 0, OFFSET(data!$A$1, ROW()-1, V$1-1))</f>
        <v>404.83335561331899</v>
      </c>
      <c r="W551">
        <f ca="1">IF(ISNA(W$1), 0, OFFSET(data!$A$1, ROW()-1, W$1-1))</f>
        <v>234.545858769646</v>
      </c>
      <c r="X551">
        <f ca="1">IF(ISNA(X$1), 0, OFFSET(data!$A$1, ROW()-1, X$1-1))</f>
        <v>0</v>
      </c>
      <c r="Y551">
        <f ca="1">IF(ISNA(Y$1), 0, OFFSET(data!$A$1, ROW()-1, Y$1-1))</f>
        <v>350</v>
      </c>
      <c r="Z551">
        <f ca="1">IF(ISNA(Z$1), 0, OFFSET(data!$A$1, ROW()-1, Z$1-1))</f>
        <v>39.543457943594397</v>
      </c>
      <c r="AA551" t="str">
        <f ca="1">IF(ISNA(AA$1), #N/A, OFFSET(data!$A$1, ROW()-1, AA$1-1))</f>
        <v>peak</v>
      </c>
      <c r="AB551">
        <f t="shared" ca="1" si="112"/>
        <v>2035</v>
      </c>
      <c r="AC551">
        <f t="shared" ca="1" si="113"/>
        <v>10</v>
      </c>
      <c r="AD551" t="str">
        <f t="shared" ca="1" si="114"/>
        <v>10/22/2035</v>
      </c>
      <c r="AE551" t="str">
        <f t="shared" ca="1" si="115"/>
        <v/>
      </c>
      <c r="AF551" s="6">
        <f t="shared" ca="1" si="116"/>
        <v>3.9543457943594394E-2</v>
      </c>
      <c r="AG551">
        <f t="shared" ca="1" si="117"/>
        <v>1390.763531989646</v>
      </c>
      <c r="AH551">
        <f t="shared" ca="1" si="118"/>
        <v>350</v>
      </c>
      <c r="AI551">
        <f t="shared" ca="1" si="119"/>
        <v>404.83335561331899</v>
      </c>
      <c r="AJ551">
        <f t="shared" ca="1" si="120"/>
        <v>2075.5102505319101</v>
      </c>
      <c r="AK551">
        <f t="shared" ca="1" si="121"/>
        <v>57.599999999999902</v>
      </c>
      <c r="AL551">
        <f t="shared" ca="1" si="122"/>
        <v>12.4866370710551</v>
      </c>
    </row>
    <row r="552" spans="1:38">
      <c r="A552" t="str">
        <f ca="1">IF(ISNA(A$1), 0, OFFSET(data!$A$1, ROW()-1, A$1-1))</f>
        <v>Oahu</v>
      </c>
      <c r="B552">
        <f ca="1">IF(ISNA(B$1), 0, OFFSET(data!$A$1, ROW()-1, B$1-1))</f>
        <v>2035</v>
      </c>
      <c r="C552" t="str">
        <f ca="1">IF(ISNA(C$1), 0, OFFSET(data!$A$1, ROW()-1, C$1-1))</f>
        <v>2035-10-22-18:00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26.8057173918289</v>
      </c>
      <c r="L552">
        <f ca="1">IF(ISNA(L$1), 0, OFFSET(data!$A$1, ROW()-1, L$1-1))</f>
        <v>57.599999999999902</v>
      </c>
      <c r="M552">
        <f ca="1">IF(ISNA(M$1), 0, OFFSET(data!$A$1, ROW()-1, M$1-1))</f>
        <v>28.471355024341499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112.87707241616999</v>
      </c>
      <c r="R552">
        <f ca="1">IF(ISNA(R$1), 0, OFFSET(data!$A$1, ROW()-1, R$1-1))</f>
        <v>404.83335561331899</v>
      </c>
      <c r="S552">
        <f ca="1">IF(ISNA(S$1), 0, OFFSET(data!$A$1, ROW()-1, S$1-1))</f>
        <v>337.82946578051002</v>
      </c>
      <c r="T552">
        <f ca="1">IF(ISNA(T$1), 0, OFFSET(data!$A$1, ROW()-1, T$1-1))</f>
        <v>1222.1998483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-366.659954489999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142.51136703590299</v>
      </c>
      <c r="AA552" t="str">
        <f ca="1">IF(ISNA(AA$1), #N/A, OFFSET(data!$A$1, ROW()-1, AA$1-1))</f>
        <v>peak</v>
      </c>
      <c r="AB552">
        <f t="shared" ca="1" si="112"/>
        <v>2035</v>
      </c>
      <c r="AC552">
        <f t="shared" ca="1" si="113"/>
        <v>10</v>
      </c>
      <c r="AD552" t="str">
        <f t="shared" ca="1" si="114"/>
        <v>10/22/2035</v>
      </c>
      <c r="AE552" t="str">
        <f t="shared" ca="1" si="115"/>
        <v/>
      </c>
      <c r="AF552" s="6">
        <f t="shared" ca="1" si="116"/>
        <v>0.142511367035903</v>
      </c>
      <c r="AG552">
        <f t="shared" ca="1" si="117"/>
        <v>855.53989381000099</v>
      </c>
      <c r="AH552">
        <f t="shared" ca="1" si="118"/>
        <v>337.82946578051002</v>
      </c>
      <c r="AI552">
        <f t="shared" ca="1" si="119"/>
        <v>404.83335561331899</v>
      </c>
      <c r="AJ552">
        <f t="shared" ca="1" si="120"/>
        <v>26.8057173918289</v>
      </c>
      <c r="AK552">
        <f t="shared" ca="1" si="121"/>
        <v>57.599999999999902</v>
      </c>
      <c r="AL552">
        <f t="shared" ca="1" si="122"/>
        <v>28.471355024341499</v>
      </c>
    </row>
    <row r="553" spans="1:38">
      <c r="A553" t="str">
        <f ca="1">IF(ISNA(A$1), 0, OFFSET(data!$A$1, ROW()-1, A$1-1))</f>
        <v>Oahu</v>
      </c>
      <c r="B553">
        <f ca="1">IF(ISNA(B$1), 0, OFFSET(data!$A$1, ROW()-1, B$1-1))</f>
        <v>2035</v>
      </c>
      <c r="C553" t="str">
        <f ca="1">IF(ISNA(C$1), 0, OFFSET(data!$A$1, ROW()-1, C$1-1))</f>
        <v>2035-10-22-20:00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81.456624761187797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43.614363130494603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182.67098789168199</v>
      </c>
      <c r="R553">
        <f ca="1">IF(ISNA(R$1), 0, OFFSET(data!$A$1, ROW()-1, R$1-1))</f>
        <v>398.24170407231702</v>
      </c>
      <c r="S553">
        <f ca="1">IF(ISNA(S$1), 0, OFFSET(data!$A$1, ROW()-1, S$1-1))</f>
        <v>150</v>
      </c>
      <c r="T553">
        <f ca="1">IF(ISNA(T$1), 0, OFFSET(data!$A$1, ROW()-1, T$1-1))</f>
        <v>1044.16098852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-313.24829655600001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142.51136703590299</v>
      </c>
      <c r="AA553" t="str">
        <f ca="1">IF(ISNA(AA$1), #N/A, OFFSET(data!$A$1, ROW()-1, AA$1-1))</f>
        <v>peak</v>
      </c>
      <c r="AB553">
        <f t="shared" ca="1" si="112"/>
        <v>2035</v>
      </c>
      <c r="AC553">
        <f t="shared" ca="1" si="113"/>
        <v>10</v>
      </c>
      <c r="AD553" t="str">
        <f t="shared" ca="1" si="114"/>
        <v>10/22/2035</v>
      </c>
      <c r="AE553" t="str">
        <f t="shared" ca="1" si="115"/>
        <v/>
      </c>
      <c r="AF553" s="6">
        <f t="shared" ca="1" si="116"/>
        <v>0.142511367035903</v>
      </c>
      <c r="AG553">
        <f t="shared" ca="1" si="117"/>
        <v>730.91269196400003</v>
      </c>
      <c r="AH553">
        <f t="shared" ca="1" si="118"/>
        <v>150</v>
      </c>
      <c r="AI553">
        <f t="shared" ca="1" si="119"/>
        <v>398.24170407231702</v>
      </c>
      <c r="AJ553">
        <f t="shared" ca="1" si="120"/>
        <v>0</v>
      </c>
      <c r="AK553">
        <f t="shared" ca="1" si="121"/>
        <v>57.599999999999902</v>
      </c>
      <c r="AL553">
        <f t="shared" ca="1" si="122"/>
        <v>43.614363130494603</v>
      </c>
    </row>
    <row r="554" spans="1:38">
      <c r="A554" t="str">
        <f ca="1">IF(ISNA(A$1), 0, OFFSET(data!$A$1, ROW()-1, A$1-1))</f>
        <v>Oahu</v>
      </c>
      <c r="B554">
        <f ca="1">IF(ISNA(B$1), 0, OFFSET(data!$A$1, ROW()-1, B$1-1))</f>
        <v>2035</v>
      </c>
      <c r="C554" t="str">
        <f ca="1">IF(ISNA(C$1), 0, OFFSET(data!$A$1, ROW()-1, C$1-1))</f>
        <v>2035-10-22-22:00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41.176308052076898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98.776308052076899</v>
      </c>
      <c r="R554">
        <f ca="1">IF(ISNA(R$1), 0, OFFSET(data!$A$1, ROW()-1, R$1-1))</f>
        <v>231.276935236323</v>
      </c>
      <c r="S554">
        <f ca="1">IF(ISNA(S$1), 0, OFFSET(data!$A$1, ROW()-1, S$1-1))</f>
        <v>197.5</v>
      </c>
      <c r="T554">
        <f ca="1">IF(ISNA(T$1), 0, OFFSET(data!$A$1, ROW()-1, T$1-1))</f>
        <v>753.64749041200002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-226.09424712360001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142.51136703590299</v>
      </c>
      <c r="AA554" t="str">
        <f ca="1">IF(ISNA(AA$1), #N/A, OFFSET(data!$A$1, ROW()-1, AA$1-1))</f>
        <v>peak</v>
      </c>
      <c r="AB554">
        <f t="shared" ca="1" si="112"/>
        <v>2035</v>
      </c>
      <c r="AC554">
        <f t="shared" ca="1" si="113"/>
        <v>10</v>
      </c>
      <c r="AD554" t="str">
        <f t="shared" ca="1" si="114"/>
        <v>10/22/2035</v>
      </c>
      <c r="AE554" t="str">
        <f t="shared" ca="1" si="115"/>
        <v/>
      </c>
      <c r="AF554" s="6">
        <f t="shared" ca="1" si="116"/>
        <v>0.142511367035903</v>
      </c>
      <c r="AG554">
        <f t="shared" ca="1" si="117"/>
        <v>527.55324328840004</v>
      </c>
      <c r="AH554">
        <f t="shared" ca="1" si="118"/>
        <v>197.5</v>
      </c>
      <c r="AI554">
        <f t="shared" ca="1" si="119"/>
        <v>231.276935236323</v>
      </c>
      <c r="AJ554">
        <f t="shared" ca="1" si="120"/>
        <v>0</v>
      </c>
      <c r="AK554">
        <f t="shared" ca="1" si="121"/>
        <v>57.599999999999902</v>
      </c>
      <c r="AL554">
        <f t="shared" ca="1" si="122"/>
        <v>41.176308052076898</v>
      </c>
    </row>
    <row r="555" spans="1:38">
      <c r="A555" t="str">
        <f ca="1">IF(ISNA(A$1), 0, OFFSET(data!$A$1, ROW()-1, A$1-1))</f>
        <v>Oahu</v>
      </c>
      <c r="B555">
        <f ca="1">IF(ISNA(B$1), 0, OFFSET(data!$A$1, ROW()-1, B$1-1))</f>
        <v>2035</v>
      </c>
      <c r="C555" t="str">
        <f ca="1">IF(ISNA(C$1), 0, OFFSET(data!$A$1, ROW()-1, C$1-1))</f>
        <v>2035-12-04-00:00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14.2371182492187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71.837118249218705</v>
      </c>
      <c r="R555">
        <f ca="1">IF(ISNA(R$1), 0, OFFSET(data!$A$1, ROW()-1, R$1-1))</f>
        <v>50.961209019281199</v>
      </c>
      <c r="S555">
        <f ca="1">IF(ISNA(S$1), 0, OFFSET(data!$A$1, ROW()-1, S$1-1))</f>
        <v>250</v>
      </c>
      <c r="T555">
        <f ca="1">IF(ISNA(T$1), 0, OFFSET(data!$A$1, ROW()-1, T$1-1))</f>
        <v>532.569038955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-159.77071168649999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97.976756444444405</v>
      </c>
      <c r="AA555" t="str">
        <f ca="1">IF(ISNA(AA$1), #N/A, OFFSET(data!$A$1, ROW()-1, AA$1-1))</f>
        <v>peak</v>
      </c>
      <c r="AB555">
        <f t="shared" ca="1" si="112"/>
        <v>2035</v>
      </c>
      <c r="AC555">
        <f t="shared" ca="1" si="113"/>
        <v>12</v>
      </c>
      <c r="AD555" t="str">
        <f t="shared" ca="1" si="114"/>
        <v>12/04/2035</v>
      </c>
      <c r="AE555" t="str">
        <f t="shared" ca="1" si="115"/>
        <v/>
      </c>
      <c r="AF555" s="6">
        <f t="shared" ca="1" si="116"/>
        <v>9.797675644444441E-2</v>
      </c>
      <c r="AG555">
        <f t="shared" ca="1" si="117"/>
        <v>372.79832726849997</v>
      </c>
      <c r="AH555">
        <f t="shared" ca="1" si="118"/>
        <v>250</v>
      </c>
      <c r="AI555">
        <f t="shared" ca="1" si="119"/>
        <v>50.961209019281199</v>
      </c>
      <c r="AJ555">
        <f t="shared" ca="1" si="120"/>
        <v>0</v>
      </c>
      <c r="AK555">
        <f t="shared" ca="1" si="121"/>
        <v>57.599999999999902</v>
      </c>
      <c r="AL555">
        <f t="shared" ca="1" si="122"/>
        <v>14.2371182492187</v>
      </c>
    </row>
    <row r="556" spans="1:38">
      <c r="A556" t="str">
        <f ca="1">IF(ISNA(A$1), 0, OFFSET(data!$A$1, ROW()-1, A$1-1))</f>
        <v>Oahu</v>
      </c>
      <c r="B556">
        <f ca="1">IF(ISNA(B$1), 0, OFFSET(data!$A$1, ROW()-1, B$1-1))</f>
        <v>2035</v>
      </c>
      <c r="C556" t="str">
        <f ca="1">IF(ISNA(C$1), 0, OFFSET(data!$A$1, ROW()-1, C$1-1))</f>
        <v>2035-12-04-02:00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38.732354253900603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96.332354253900604</v>
      </c>
      <c r="R556">
        <f ca="1">IF(ISNA(R$1), 0, OFFSET(data!$A$1, ROW()-1, R$1-1))</f>
        <v>35.148207174499298</v>
      </c>
      <c r="S556">
        <f ca="1">IF(ISNA(S$1), 0, OFFSET(data!$A$1, ROW()-1, S$1-1))</f>
        <v>197.5</v>
      </c>
      <c r="T556">
        <f ca="1">IF(ISNA(T$1), 0, OFFSET(data!$A$1, ROW()-1, T$1-1))</f>
        <v>469.97223061199998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-140.99166918359899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97.976756444444405</v>
      </c>
      <c r="AA556" t="str">
        <f ca="1">IF(ISNA(AA$1), #N/A, OFFSET(data!$A$1, ROW()-1, AA$1-1))</f>
        <v>peak</v>
      </c>
      <c r="AB556">
        <f t="shared" ca="1" si="112"/>
        <v>2035</v>
      </c>
      <c r="AC556">
        <f t="shared" ca="1" si="113"/>
        <v>12</v>
      </c>
      <c r="AD556" t="str">
        <f t="shared" ca="1" si="114"/>
        <v>12/04/2035</v>
      </c>
      <c r="AE556" t="str">
        <f t="shared" ca="1" si="115"/>
        <v/>
      </c>
      <c r="AF556" s="6">
        <f t="shared" ca="1" si="116"/>
        <v>9.797675644444441E-2</v>
      </c>
      <c r="AG556">
        <f t="shared" ca="1" si="117"/>
        <v>328.98056142840096</v>
      </c>
      <c r="AH556">
        <f t="shared" ca="1" si="118"/>
        <v>197.5</v>
      </c>
      <c r="AI556">
        <f t="shared" ca="1" si="119"/>
        <v>35.148207174499298</v>
      </c>
      <c r="AJ556">
        <f t="shared" ca="1" si="120"/>
        <v>0</v>
      </c>
      <c r="AK556">
        <f t="shared" ca="1" si="121"/>
        <v>57.599999999999902</v>
      </c>
      <c r="AL556">
        <f t="shared" ca="1" si="122"/>
        <v>38.732354253900603</v>
      </c>
    </row>
    <row r="557" spans="1:38">
      <c r="A557" t="str">
        <f ca="1">IF(ISNA(A$1), 0, OFFSET(data!$A$1, ROW()-1, A$1-1))</f>
        <v>Oahu</v>
      </c>
      <c r="B557">
        <f ca="1">IF(ISNA(B$1), 0, OFFSET(data!$A$1, ROW()-1, B$1-1))</f>
        <v>2035</v>
      </c>
      <c r="C557" t="str">
        <f ca="1">IF(ISNA(C$1), 0, OFFSET(data!$A$1, ROW()-1, C$1-1))</f>
        <v>2035-12-04-04:00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55.984884555197198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113.58488455519699</v>
      </c>
      <c r="R557">
        <f ca="1">IF(ISNA(R$1), 0, OFFSET(data!$A$1, ROW()-1, R$1-1))</f>
        <v>295.07212679410202</v>
      </c>
      <c r="S557">
        <f ca="1">IF(ISNA(S$1), 0, OFFSET(data!$A$1, ROW()-1, S$1-1))</f>
        <v>0</v>
      </c>
      <c r="T557">
        <f ca="1">IF(ISNA(T$1), 0, OFFSET(data!$A$1, ROW()-1, T$1-1))</f>
        <v>583.795730499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-175.13871914969999</v>
      </c>
      <c r="X557">
        <f ca="1">IF(ISNA(X$1), 0, OFFSET(data!$A$1, ROW()-1, X$1-1))</f>
        <v>0</v>
      </c>
      <c r="Y557">
        <f ca="1">IF(ISNA(Y$1), 0, OFFSET(data!$A$1, ROW()-1, Y$1-1))</f>
        <v>0</v>
      </c>
      <c r="Z557">
        <f ca="1">IF(ISNA(Z$1), 0, OFFSET(data!$A$1, ROW()-1, Z$1-1))</f>
        <v>97.976756444444405</v>
      </c>
      <c r="AA557" t="str">
        <f ca="1">IF(ISNA(AA$1), #N/A, OFFSET(data!$A$1, ROW()-1, AA$1-1))</f>
        <v>peak</v>
      </c>
      <c r="AB557">
        <f t="shared" ca="1" si="112"/>
        <v>2035</v>
      </c>
      <c r="AC557">
        <f t="shared" ca="1" si="113"/>
        <v>12</v>
      </c>
      <c r="AD557" t="str">
        <f t="shared" ca="1" si="114"/>
        <v>12/04/2035</v>
      </c>
      <c r="AE557" t="str">
        <f t="shared" ca="1" si="115"/>
        <v/>
      </c>
      <c r="AF557" s="6">
        <f t="shared" ca="1" si="116"/>
        <v>9.797675644444441E-2</v>
      </c>
      <c r="AG557">
        <f t="shared" ca="1" si="117"/>
        <v>408.65701134929998</v>
      </c>
      <c r="AH557">
        <f t="shared" ca="1" si="118"/>
        <v>0</v>
      </c>
      <c r="AI557">
        <f t="shared" ca="1" si="119"/>
        <v>295.07212679410202</v>
      </c>
      <c r="AJ557">
        <f t="shared" ca="1" si="120"/>
        <v>0</v>
      </c>
      <c r="AK557">
        <f t="shared" ca="1" si="121"/>
        <v>57.599999999999902</v>
      </c>
      <c r="AL557">
        <f t="shared" ca="1" si="122"/>
        <v>55.984884555197198</v>
      </c>
    </row>
    <row r="558" spans="1:38">
      <c r="A558" t="str">
        <f ca="1">IF(ISNA(A$1), 0, OFFSET(data!$A$1, ROW()-1, A$1-1))</f>
        <v>Oahu</v>
      </c>
      <c r="B558">
        <f ca="1">IF(ISNA(B$1), 0, OFFSET(data!$A$1, ROW()-1, B$1-1))</f>
        <v>2035</v>
      </c>
      <c r="C558" t="str">
        <f ca="1">IF(ISNA(C$1), 0, OFFSET(data!$A$1, ROW()-1, C$1-1))</f>
        <v>2035-12-04-06:00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83.954545877880605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141.55454587788</v>
      </c>
      <c r="R558">
        <f ca="1">IF(ISNA(R$1), 0, OFFSET(data!$A$1, ROW()-1, R$1-1))</f>
        <v>163.63772560831899</v>
      </c>
      <c r="S558">
        <f ca="1">IF(ISNA(S$1), 0, OFFSET(data!$A$1, ROW()-1, S$1-1))</f>
        <v>350</v>
      </c>
      <c r="T558">
        <f ca="1">IF(ISNA(T$1), 0, OFFSET(data!$A$1, ROW()-1, T$1-1))</f>
        <v>935.98895926600005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-280.79668777979998</v>
      </c>
      <c r="X558">
        <f ca="1">IF(ISNA(X$1), 0, OFFSET(data!$A$1, ROW()-1, X$1-1))</f>
        <v>0</v>
      </c>
      <c r="Y558">
        <f ca="1">IF(ISNA(Y$1), 0, OFFSET(data!$A$1, ROW()-1, Y$1-1))</f>
        <v>0</v>
      </c>
      <c r="Z558">
        <f ca="1">IF(ISNA(Z$1), 0, OFFSET(data!$A$1, ROW()-1, Z$1-1))</f>
        <v>97.976756444444405</v>
      </c>
      <c r="AA558" t="str">
        <f ca="1">IF(ISNA(AA$1), #N/A, OFFSET(data!$A$1, ROW()-1, AA$1-1))</f>
        <v>peak</v>
      </c>
      <c r="AB558">
        <f t="shared" ca="1" si="112"/>
        <v>2035</v>
      </c>
      <c r="AC558">
        <f t="shared" ca="1" si="113"/>
        <v>12</v>
      </c>
      <c r="AD558" t="str">
        <f t="shared" ca="1" si="114"/>
        <v>12/04/2035</v>
      </c>
      <c r="AE558" t="str">
        <f t="shared" ca="1" si="115"/>
        <v/>
      </c>
      <c r="AF558" s="6">
        <f t="shared" ca="1" si="116"/>
        <v>9.797675644444441E-2</v>
      </c>
      <c r="AG558">
        <f t="shared" ca="1" si="117"/>
        <v>655.19227148620007</v>
      </c>
      <c r="AH558">
        <f t="shared" ca="1" si="118"/>
        <v>350</v>
      </c>
      <c r="AI558">
        <f t="shared" ca="1" si="119"/>
        <v>163.63772560831899</v>
      </c>
      <c r="AJ558">
        <f t="shared" ca="1" si="120"/>
        <v>0</v>
      </c>
      <c r="AK558">
        <f t="shared" ca="1" si="121"/>
        <v>57.599999999999902</v>
      </c>
      <c r="AL558">
        <f t="shared" ca="1" si="122"/>
        <v>83.954545877880605</v>
      </c>
    </row>
    <row r="559" spans="1:38">
      <c r="A559" t="str">
        <f ca="1">IF(ISNA(A$1), 0, OFFSET(data!$A$1, ROW()-1, A$1-1))</f>
        <v>Oahu</v>
      </c>
      <c r="B559">
        <f ca="1">IF(ISNA(B$1), 0, OFFSET(data!$A$1, ROW()-1, B$1-1))</f>
        <v>2035</v>
      </c>
      <c r="C559" t="str">
        <f ca="1">IF(ISNA(C$1), 0, OFFSET(data!$A$1, ROW()-1, C$1-1))</f>
        <v>2035-12-04-08:00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1674.7535998388901</v>
      </c>
      <c r="L559">
        <f ca="1">IF(ISNA(L$1), 0, OFFSET(data!$A$1, ROW()-1, L$1-1))</f>
        <v>35.535165752286602</v>
      </c>
      <c r="M559">
        <f ca="1">IF(ISNA(M$1), 0, OFFSET(data!$A$1, ROW()-1, M$1-1))</f>
        <v>114.381584778011</v>
      </c>
      <c r="N559">
        <f ca="1">IF(ISNA(N$1), 0, OFFSET(data!$A$1, ROW()-1, N$1-1))</f>
        <v>3.5527136788005001E-15</v>
      </c>
      <c r="O559">
        <f ca="1">IF(ISNA(O$1), 0, OFFSET(data!$A$1, ROW()-1, O$1-1))</f>
        <v>22.0648342477133</v>
      </c>
      <c r="P559">
        <f ca="1">IF(ISNA(P$1), 0, OFFSET(data!$A$1, ROW()-1, P$1-1))</f>
        <v>0</v>
      </c>
      <c r="Q559">
        <f ca="1">IF(ISNA(Q$1), 0, OFFSET(data!$A$1, ROW()-1, Q$1-1))</f>
        <v>1824.6703503691899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1049.81245915</v>
      </c>
      <c r="U559">
        <f ca="1">IF(ISNA(U$1), 0, OFFSET(data!$A$1, ROW()-1, U$1-1))</f>
        <v>0</v>
      </c>
      <c r="V559">
        <f ca="1">IF(ISNA(V$1), 0, OFFSET(data!$A$1, ROW()-1, V$1-1))</f>
        <v>404.83335561331899</v>
      </c>
      <c r="W559">
        <f ca="1">IF(ISNA(W$1), 0, OFFSET(data!$A$1, ROW()-1, W$1-1))</f>
        <v>20.024535605876999</v>
      </c>
      <c r="X559">
        <f ca="1">IF(ISNA(X$1), 0, OFFSET(data!$A$1, ROW()-1, X$1-1))</f>
        <v>0</v>
      </c>
      <c r="Y559">
        <f ca="1">IF(ISNA(Y$1), 0, OFFSET(data!$A$1, ROW()-1, Y$1-1))</f>
        <v>350</v>
      </c>
      <c r="Z559">
        <f ca="1">IF(ISNA(Z$1), 0, OFFSET(data!$A$1, ROW()-1, Z$1-1))</f>
        <v>6.1425000000000001</v>
      </c>
      <c r="AA559" t="str">
        <f ca="1">IF(ISNA(AA$1), #N/A, OFFSET(data!$A$1, ROW()-1, AA$1-1))</f>
        <v>peak</v>
      </c>
      <c r="AB559">
        <f t="shared" ca="1" si="112"/>
        <v>2035</v>
      </c>
      <c r="AC559">
        <f t="shared" ca="1" si="113"/>
        <v>12</v>
      </c>
      <c r="AD559" t="str">
        <f t="shared" ca="1" si="114"/>
        <v>12/04/2035</v>
      </c>
      <c r="AE559" t="str">
        <f t="shared" ca="1" si="115"/>
        <v/>
      </c>
      <c r="AF559" s="6">
        <f t="shared" ca="1" si="116"/>
        <v>6.1425000000000004E-3</v>
      </c>
      <c r="AG559">
        <f t="shared" ca="1" si="117"/>
        <v>1069.836994755877</v>
      </c>
      <c r="AH559">
        <f t="shared" ca="1" si="118"/>
        <v>350</v>
      </c>
      <c r="AI559">
        <f t="shared" ca="1" si="119"/>
        <v>404.83335561331899</v>
      </c>
      <c r="AJ559">
        <f t="shared" ca="1" si="120"/>
        <v>1674.7535998388901</v>
      </c>
      <c r="AK559">
        <f t="shared" ca="1" si="121"/>
        <v>57.599999999999902</v>
      </c>
      <c r="AL559">
        <f t="shared" ca="1" si="122"/>
        <v>114.381584778011</v>
      </c>
    </row>
    <row r="560" spans="1:38">
      <c r="A560" t="str">
        <f ca="1">IF(ISNA(A$1), 0, OFFSET(data!$A$1, ROW()-1, A$1-1))</f>
        <v>Oahu</v>
      </c>
      <c r="B560">
        <f ca="1">IF(ISNA(B$1), 0, OFFSET(data!$A$1, ROW()-1, B$1-1))</f>
        <v>2035</v>
      </c>
      <c r="C560" t="str">
        <f ca="1">IF(ISNA(C$1), 0, OFFSET(data!$A$1, ROW()-1, C$1-1))</f>
        <v>2035-12-04-10:00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2053.6205192103698</v>
      </c>
      <c r="L560">
        <f ca="1">IF(ISNA(L$1), 0, OFFSET(data!$A$1, ROW()-1, L$1-1))</f>
        <v>0</v>
      </c>
      <c r="M560">
        <f ca="1">IF(ISNA(M$1), 0, OFFSET(data!$A$1, ROW()-1, M$1-1))</f>
        <v>135.52143887093601</v>
      </c>
      <c r="N560">
        <f ca="1">IF(ISNA(N$1), 0, OFFSET(data!$A$1, ROW()-1, N$1-1))</f>
        <v>0</v>
      </c>
      <c r="O560">
        <f ca="1">IF(ISNA(O$1), 0, OFFSET(data!$A$1, ROW()-1, O$1-1))</f>
        <v>57.599999999999902</v>
      </c>
      <c r="P560">
        <f ca="1">IF(ISNA(P$1), 0, OFFSET(data!$A$1, ROW()-1, P$1-1))</f>
        <v>0</v>
      </c>
      <c r="Q560">
        <f ca="1">IF(ISNA(Q$1), 0, OFFSET(data!$A$1, ROW()-1, Q$1-1))</f>
        <v>2189.1419580812999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1121.9316456399999</v>
      </c>
      <c r="U560">
        <f ca="1">IF(ISNA(U$1), 0, OFFSET(data!$A$1, ROW()-1, U$1-1))</f>
        <v>0</v>
      </c>
      <c r="V560">
        <f ca="1">IF(ISNA(V$1), 0, OFFSET(data!$A$1, ROW()-1, V$1-1))</f>
        <v>404.83335561331899</v>
      </c>
      <c r="W560">
        <f ca="1">IF(ISNA(W$1), 0, OFFSET(data!$A$1, ROW()-1, W$1-1))</f>
        <v>312.37695682799</v>
      </c>
      <c r="X560">
        <f ca="1">IF(ISNA(X$1), 0, OFFSET(data!$A$1, ROW()-1, X$1-1))</f>
        <v>0</v>
      </c>
      <c r="Y560">
        <f ca="1">IF(ISNA(Y$1), 0, OFFSET(data!$A$1, ROW()-1, Y$1-1))</f>
        <v>350</v>
      </c>
      <c r="Z560">
        <f ca="1">IF(ISNA(Z$1), 0, OFFSET(data!$A$1, ROW()-1, Z$1-1))</f>
        <v>6.1425000000000001</v>
      </c>
      <c r="AA560" t="str">
        <f ca="1">IF(ISNA(AA$1), #N/A, OFFSET(data!$A$1, ROW()-1, AA$1-1))</f>
        <v>peak</v>
      </c>
      <c r="AB560">
        <f t="shared" ca="1" si="112"/>
        <v>2035</v>
      </c>
      <c r="AC560">
        <f t="shared" ca="1" si="113"/>
        <v>12</v>
      </c>
      <c r="AD560" t="str">
        <f t="shared" ca="1" si="114"/>
        <v>12/04/2035</v>
      </c>
      <c r="AE560" t="str">
        <f t="shared" ca="1" si="115"/>
        <v/>
      </c>
      <c r="AF560" s="6">
        <f t="shared" ca="1" si="116"/>
        <v>6.1425000000000004E-3</v>
      </c>
      <c r="AG560">
        <f t="shared" ca="1" si="117"/>
        <v>1434.3086024679899</v>
      </c>
      <c r="AH560">
        <f t="shared" ca="1" si="118"/>
        <v>350</v>
      </c>
      <c r="AI560">
        <f t="shared" ca="1" si="119"/>
        <v>404.83335561331899</v>
      </c>
      <c r="AJ560">
        <f t="shared" ca="1" si="120"/>
        <v>2053.6205192103698</v>
      </c>
      <c r="AK560">
        <f t="shared" ca="1" si="121"/>
        <v>57.599999999999902</v>
      </c>
      <c r="AL560">
        <f t="shared" ca="1" si="122"/>
        <v>135.52143887093601</v>
      </c>
    </row>
    <row r="561" spans="1:38">
      <c r="A561" t="str">
        <f ca="1">IF(ISNA(A$1), 0, OFFSET(data!$A$1, ROW()-1, A$1-1))</f>
        <v>Oahu</v>
      </c>
      <c r="B561">
        <f ca="1">IF(ISNA(B$1), 0, OFFSET(data!$A$1, ROW()-1, B$1-1))</f>
        <v>2035</v>
      </c>
      <c r="C561" t="str">
        <f ca="1">IF(ISNA(C$1), 0, OFFSET(data!$A$1, ROW()-1, C$1-1))</f>
        <v>2035-12-04-12:00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2037.72676772197</v>
      </c>
      <c r="L561">
        <f ca="1">IF(ISNA(L$1), 0, OFFSET(data!$A$1, ROW()-1, L$1-1))</f>
        <v>0</v>
      </c>
      <c r="M561">
        <f ca="1">IF(ISNA(M$1), 0, OFFSET(data!$A$1, ROW()-1, M$1-1))</f>
        <v>159.112301256801</v>
      </c>
      <c r="N561">
        <f ca="1">IF(ISNA(N$1), 0, OFFSET(data!$A$1, ROW()-1, N$1-1))</f>
        <v>0</v>
      </c>
      <c r="O561">
        <f ca="1">IF(ISNA(O$1), 0, OFFSET(data!$A$1, ROW()-1, O$1-1))</f>
        <v>57.599999999999902</v>
      </c>
      <c r="P561">
        <f ca="1">IF(ISNA(P$1), 0, OFFSET(data!$A$1, ROW()-1, P$1-1))</f>
        <v>0</v>
      </c>
      <c r="Q561">
        <f ca="1">IF(ISNA(Q$1), 0, OFFSET(data!$A$1, ROW()-1, Q$1-1))</f>
        <v>2196.8390689787698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1131.0359055199999</v>
      </c>
      <c r="U561">
        <f ca="1">IF(ISNA(U$1), 0, OFFSET(data!$A$1, ROW()-1, U$1-1))</f>
        <v>0</v>
      </c>
      <c r="V561">
        <f ca="1">IF(ISNA(V$1), 0, OFFSET(data!$A$1, ROW()-1, V$1-1))</f>
        <v>397.46960407598499</v>
      </c>
      <c r="W561">
        <f ca="1">IF(ISNA(W$1), 0, OFFSET(data!$A$1, ROW()-1, W$1-1))</f>
        <v>318.333559382793</v>
      </c>
      <c r="X561">
        <f ca="1">IF(ISNA(X$1), 0, OFFSET(data!$A$1, ROW()-1, X$1-1))</f>
        <v>0</v>
      </c>
      <c r="Y561">
        <f ca="1">IF(ISNA(Y$1), 0, OFFSET(data!$A$1, ROW()-1, Y$1-1))</f>
        <v>350</v>
      </c>
      <c r="Z561">
        <f ca="1">IF(ISNA(Z$1), 0, OFFSET(data!$A$1, ROW()-1, Z$1-1))</f>
        <v>6.1425000000000001</v>
      </c>
      <c r="AA561" t="str">
        <f ca="1">IF(ISNA(AA$1), #N/A, OFFSET(data!$A$1, ROW()-1, AA$1-1))</f>
        <v>peak</v>
      </c>
      <c r="AB561">
        <f t="shared" ca="1" si="112"/>
        <v>2035</v>
      </c>
      <c r="AC561">
        <f t="shared" ca="1" si="113"/>
        <v>12</v>
      </c>
      <c r="AD561" t="str">
        <f t="shared" ca="1" si="114"/>
        <v>12/04/2035</v>
      </c>
      <c r="AE561" t="str">
        <f t="shared" ca="1" si="115"/>
        <v>12/04/2035</v>
      </c>
      <c r="AF561" s="6">
        <f t="shared" ca="1" si="116"/>
        <v>6.1425000000000004E-3</v>
      </c>
      <c r="AG561">
        <f t="shared" ca="1" si="117"/>
        <v>1449.369464902793</v>
      </c>
      <c r="AH561">
        <f t="shared" ca="1" si="118"/>
        <v>350</v>
      </c>
      <c r="AI561">
        <f t="shared" ca="1" si="119"/>
        <v>397.46960407598499</v>
      </c>
      <c r="AJ561">
        <f t="shared" ca="1" si="120"/>
        <v>2037.72676772197</v>
      </c>
      <c r="AK561">
        <f t="shared" ca="1" si="121"/>
        <v>57.599999999999902</v>
      </c>
      <c r="AL561">
        <f t="shared" ca="1" si="122"/>
        <v>159.112301256801</v>
      </c>
    </row>
    <row r="562" spans="1:38">
      <c r="A562" t="str">
        <f ca="1">IF(ISNA(A$1), 0, OFFSET(data!$A$1, ROW()-1, A$1-1))</f>
        <v>Oahu</v>
      </c>
      <c r="B562">
        <f ca="1">IF(ISNA(B$1), 0, OFFSET(data!$A$1, ROW()-1, B$1-1))</f>
        <v>2035</v>
      </c>
      <c r="C562" t="str">
        <f ca="1">IF(ISNA(C$1), 0, OFFSET(data!$A$1, ROW()-1, C$1-1))</f>
        <v>2035-12-04-14:00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2399.12351713116</v>
      </c>
      <c r="L562">
        <f ca="1">IF(ISNA(L$1), 0, OFFSET(data!$A$1, ROW()-1, L$1-1))</f>
        <v>0</v>
      </c>
      <c r="M562">
        <f ca="1">IF(ISNA(M$1), 0, OFFSET(data!$A$1, ROW()-1, M$1-1))</f>
        <v>167.27724225742</v>
      </c>
      <c r="N562">
        <f ca="1">IF(ISNA(N$1), 0, OFFSET(data!$A$1, ROW()-1, N$1-1))</f>
        <v>-7.1054273576010003E-15</v>
      </c>
      <c r="O562">
        <f ca="1">IF(ISNA(O$1), 0, OFFSET(data!$A$1, ROW()-1, O$1-1))</f>
        <v>57.599999999999902</v>
      </c>
      <c r="P562">
        <f ca="1">IF(ISNA(P$1), 0, OFFSET(data!$A$1, ROW()-1, P$1-1))</f>
        <v>0</v>
      </c>
      <c r="Q562">
        <f ca="1">IF(ISNA(Q$1), 0, OFFSET(data!$A$1, ROW()-1, Q$1-1))</f>
        <v>2566.4007593885799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1114.39201579</v>
      </c>
      <c r="U562">
        <f ca="1">IF(ISNA(U$1), 0, OFFSET(data!$A$1, ROW()-1, U$1-1))</f>
        <v>0</v>
      </c>
      <c r="V562">
        <f ca="1">IF(ISNA(V$1), 0, OFFSET(data!$A$1, ROW()-1, V$1-1))</f>
        <v>404.83335561331899</v>
      </c>
      <c r="W562">
        <f ca="1">IF(ISNA(W$1), 0, OFFSET(data!$A$1, ROW()-1, W$1-1))</f>
        <v>697.17538798526596</v>
      </c>
      <c r="X562">
        <f ca="1">IF(ISNA(X$1), 0, OFFSET(data!$A$1, ROW()-1, X$1-1))</f>
        <v>0</v>
      </c>
      <c r="Y562">
        <f ca="1">IF(ISNA(Y$1), 0, OFFSET(data!$A$1, ROW()-1, Y$1-1))</f>
        <v>350</v>
      </c>
      <c r="Z562">
        <f ca="1">IF(ISNA(Z$1), 0, OFFSET(data!$A$1, ROW()-1, Z$1-1))</f>
        <v>6.1425000000000001</v>
      </c>
      <c r="AA562" t="str">
        <f ca="1">IF(ISNA(AA$1), #N/A, OFFSET(data!$A$1, ROW()-1, AA$1-1))</f>
        <v>peak</v>
      </c>
      <c r="AB562">
        <f t="shared" ca="1" si="112"/>
        <v>2035</v>
      </c>
      <c r="AC562">
        <f t="shared" ca="1" si="113"/>
        <v>12</v>
      </c>
      <c r="AD562" t="str">
        <f t="shared" ca="1" si="114"/>
        <v>12/04/2035</v>
      </c>
      <c r="AE562" t="str">
        <f t="shared" ca="1" si="115"/>
        <v/>
      </c>
      <c r="AF562" s="6">
        <f t="shared" ca="1" si="116"/>
        <v>6.1425000000000004E-3</v>
      </c>
      <c r="AG562">
        <f t="shared" ca="1" si="117"/>
        <v>1811.567403775266</v>
      </c>
      <c r="AH562">
        <f t="shared" ca="1" si="118"/>
        <v>350</v>
      </c>
      <c r="AI562">
        <f t="shared" ca="1" si="119"/>
        <v>404.83335561331899</v>
      </c>
      <c r="AJ562">
        <f t="shared" ca="1" si="120"/>
        <v>2399.12351713116</v>
      </c>
      <c r="AK562">
        <f t="shared" ca="1" si="121"/>
        <v>57.599999999999902</v>
      </c>
      <c r="AL562">
        <f t="shared" ca="1" si="122"/>
        <v>167.27724225742</v>
      </c>
    </row>
    <row r="563" spans="1:38">
      <c r="A563" t="str">
        <f ca="1">IF(ISNA(A$1), 0, OFFSET(data!$A$1, ROW()-1, A$1-1))</f>
        <v>Oahu</v>
      </c>
      <c r="B563">
        <f ca="1">IF(ISNA(B$1), 0, OFFSET(data!$A$1, ROW()-1, B$1-1))</f>
        <v>2035</v>
      </c>
      <c r="C563" t="str">
        <f ca="1">IF(ISNA(C$1), 0, OFFSET(data!$A$1, ROW()-1, C$1-1))</f>
        <v>2035-12-04-16:00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2061.99726398349</v>
      </c>
      <c r="L563">
        <f ca="1">IF(ISNA(L$1), 0, OFFSET(data!$A$1, ROW()-1, L$1-1))</f>
        <v>0</v>
      </c>
      <c r="M563">
        <f ca="1">IF(ISNA(M$1), 0, OFFSET(data!$A$1, ROW()-1, M$1-1))</f>
        <v>149.68819593129601</v>
      </c>
      <c r="N563">
        <f ca="1">IF(ISNA(N$1), 0, OFFSET(data!$A$1, ROW()-1, N$1-1))</f>
        <v>7.1054273576010003E-15</v>
      </c>
      <c r="O563">
        <f ca="1">IF(ISNA(O$1), 0, OFFSET(data!$A$1, ROW()-1, O$1-1))</f>
        <v>57.599999999999902</v>
      </c>
      <c r="P563">
        <f ca="1">IF(ISNA(P$1), 0, OFFSET(data!$A$1, ROW()-1, P$1-1))</f>
        <v>0</v>
      </c>
      <c r="Q563">
        <f ca="1">IF(ISNA(Q$1), 0, OFFSET(data!$A$1, ROW()-1, Q$1-1))</f>
        <v>2211.68545991479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1122.17449835</v>
      </c>
      <c r="U563">
        <f ca="1">IF(ISNA(U$1), 0, OFFSET(data!$A$1, ROW()-1, U$1-1))</f>
        <v>0</v>
      </c>
      <c r="V563">
        <f ca="1">IF(ISNA(V$1), 0, OFFSET(data!$A$1, ROW()-1, V$1-1))</f>
        <v>404.83335561331899</v>
      </c>
      <c r="W563">
        <f ca="1">IF(ISNA(W$1), 0, OFFSET(data!$A$1, ROW()-1, W$1-1))</f>
        <v>334.67760595147303</v>
      </c>
      <c r="X563">
        <f ca="1">IF(ISNA(X$1), 0, OFFSET(data!$A$1, ROW()-1, X$1-1))</f>
        <v>0</v>
      </c>
      <c r="Y563">
        <f ca="1">IF(ISNA(Y$1), 0, OFFSET(data!$A$1, ROW()-1, Y$1-1))</f>
        <v>350</v>
      </c>
      <c r="Z563">
        <f ca="1">IF(ISNA(Z$1), 0, OFFSET(data!$A$1, ROW()-1, Z$1-1))</f>
        <v>6.1425000000000001</v>
      </c>
      <c r="AA563" t="str">
        <f ca="1">IF(ISNA(AA$1), #N/A, OFFSET(data!$A$1, ROW()-1, AA$1-1))</f>
        <v>peak</v>
      </c>
      <c r="AB563">
        <f t="shared" ref="AB563:AB578" ca="1" si="123">VALUE(LEFT(C563, 4))</f>
        <v>2035</v>
      </c>
      <c r="AC563">
        <f t="shared" ref="AC563:AC578" ca="1" si="124">VALUE(MID(C563, 6, 2))</f>
        <v>12</v>
      </c>
      <c r="AD563" t="str">
        <f t="shared" ref="AD563:AD578" ca="1" si="125">SUBSTITUTE(MID(C563,6,6)&amp;LEFT(C563,4), "-", "/")</f>
        <v>12/04/2035</v>
      </c>
      <c r="AE563" t="str">
        <f t="shared" ref="AE563:AE594" ca="1" si="126">IF(RIGHT(C563, 5)="12:00", AD563, "")</f>
        <v/>
      </c>
      <c r="AF563" s="6">
        <f t="shared" ref="AF563:AF578" ca="1" si="127">Z563/1000</f>
        <v>6.1425000000000004E-3</v>
      </c>
      <c r="AG563">
        <f t="shared" ref="AG563:AG578" ca="1" si="128">T563+W563</f>
        <v>1456.852104301473</v>
      </c>
      <c r="AH563">
        <f t="shared" ref="AH563:AH578" ca="1" si="129">MAX(S563,Y563)</f>
        <v>350</v>
      </c>
      <c r="AI563">
        <f t="shared" ref="AI563:AI578" ca="1" si="130">MAX(R563,V563)</f>
        <v>404.83335561331899</v>
      </c>
      <c r="AJ563">
        <f t="shared" ref="AJ563:AJ578" ca="1" si="131">K563+N563</f>
        <v>2061.99726398349</v>
      </c>
      <c r="AK563">
        <f t="shared" ref="AK563:AK578" ca="1" si="132">L563+O563</f>
        <v>57.599999999999902</v>
      </c>
      <c r="AL563">
        <f t="shared" ref="AL563:AL578" ca="1" si="133">M563+P563</f>
        <v>149.68819593129601</v>
      </c>
    </row>
    <row r="564" spans="1:38">
      <c r="A564" t="str">
        <f ca="1">IF(ISNA(A$1), 0, OFFSET(data!$A$1, ROW()-1, A$1-1))</f>
        <v>Oahu</v>
      </c>
      <c r="B564">
        <f ca="1">IF(ISNA(B$1), 0, OFFSET(data!$A$1, ROW()-1, B$1-1))</f>
        <v>2035</v>
      </c>
      <c r="C564" t="str">
        <f ca="1">IF(ISNA(C$1), 0, OFFSET(data!$A$1, ROW()-1, C$1-1))</f>
        <v>2035-12-04-18:00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140.059296535454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197.65929653545399</v>
      </c>
      <c r="R564">
        <f ca="1">IF(ISNA(R$1), 0, OFFSET(data!$A$1, ROW()-1, R$1-1))</f>
        <v>329.55577028254498</v>
      </c>
      <c r="S564">
        <f ca="1">IF(ISNA(S$1), 0, OFFSET(data!$A$1, ROW()-1, S$1-1))</f>
        <v>335</v>
      </c>
      <c r="T564">
        <f ca="1">IF(ISNA(T$1), 0, OFFSET(data!$A$1, ROW()-1, T$1-1))</f>
        <v>1231.7358097399999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-369.52074292199899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97.976756444444405</v>
      </c>
      <c r="AA564" t="str">
        <f ca="1">IF(ISNA(AA$1), #N/A, OFFSET(data!$A$1, ROW()-1, AA$1-1))</f>
        <v>peak</v>
      </c>
      <c r="AB564">
        <f t="shared" ca="1" si="123"/>
        <v>2035</v>
      </c>
      <c r="AC564">
        <f t="shared" ca="1" si="124"/>
        <v>12</v>
      </c>
      <c r="AD564" t="str">
        <f t="shared" ca="1" si="125"/>
        <v>12/04/2035</v>
      </c>
      <c r="AE564" t="str">
        <f t="shared" ca="1" si="126"/>
        <v/>
      </c>
      <c r="AF564" s="6">
        <f t="shared" ca="1" si="127"/>
        <v>9.797675644444441E-2</v>
      </c>
      <c r="AG564">
        <f t="shared" ca="1" si="128"/>
        <v>862.21506681800088</v>
      </c>
      <c r="AH564">
        <f t="shared" ca="1" si="129"/>
        <v>335</v>
      </c>
      <c r="AI564">
        <f t="shared" ca="1" si="130"/>
        <v>329.55577028254498</v>
      </c>
      <c r="AJ564">
        <f t="shared" ca="1" si="131"/>
        <v>0</v>
      </c>
      <c r="AK564">
        <f t="shared" ca="1" si="132"/>
        <v>57.599999999999902</v>
      </c>
      <c r="AL564">
        <f t="shared" ca="1" si="133"/>
        <v>140.059296535454</v>
      </c>
    </row>
    <row r="565" spans="1:38">
      <c r="A565" t="str">
        <f ca="1">IF(ISNA(A$1), 0, OFFSET(data!$A$1, ROW()-1, A$1-1))</f>
        <v>Oahu</v>
      </c>
      <c r="B565">
        <f ca="1">IF(ISNA(B$1), 0, OFFSET(data!$A$1, ROW()-1, B$1-1))</f>
        <v>2035</v>
      </c>
      <c r="C565" t="str">
        <f ca="1">IF(ISNA(C$1), 0, OFFSET(data!$A$1, ROW()-1, C$1-1))</f>
        <v>2035-12-04-20:00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104.24843676446601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161.84843676446599</v>
      </c>
      <c r="R565">
        <f ca="1">IF(ISNA(R$1), 0, OFFSET(data!$A$1, ROW()-1, R$1-1))</f>
        <v>334.51991190553298</v>
      </c>
      <c r="S565">
        <f ca="1">IF(ISNA(S$1), 0, OFFSET(data!$A$1, ROW()-1, S$1-1))</f>
        <v>250</v>
      </c>
      <c r="T565">
        <f ca="1">IF(ISNA(T$1), 0, OFFSET(data!$A$1, ROW()-1, T$1-1))</f>
        <v>1066.2404981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-319.87214942999998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97.976756444444405</v>
      </c>
      <c r="AA565" t="str">
        <f ca="1">IF(ISNA(AA$1), #N/A, OFFSET(data!$A$1, ROW()-1, AA$1-1))</f>
        <v>peak</v>
      </c>
      <c r="AB565">
        <f t="shared" ca="1" si="123"/>
        <v>2035</v>
      </c>
      <c r="AC565">
        <f t="shared" ca="1" si="124"/>
        <v>12</v>
      </c>
      <c r="AD565" t="str">
        <f t="shared" ca="1" si="125"/>
        <v>12/04/2035</v>
      </c>
      <c r="AE565" t="str">
        <f t="shared" ca="1" si="126"/>
        <v/>
      </c>
      <c r="AF565" s="6">
        <f t="shared" ca="1" si="127"/>
        <v>9.797675644444441E-2</v>
      </c>
      <c r="AG565">
        <f t="shared" ca="1" si="128"/>
        <v>746.36834866999993</v>
      </c>
      <c r="AH565">
        <f t="shared" ca="1" si="129"/>
        <v>250</v>
      </c>
      <c r="AI565">
        <f t="shared" ca="1" si="130"/>
        <v>334.51991190553298</v>
      </c>
      <c r="AJ565">
        <f t="shared" ca="1" si="131"/>
        <v>0</v>
      </c>
      <c r="AK565">
        <f t="shared" ca="1" si="132"/>
        <v>57.599999999999902</v>
      </c>
      <c r="AL565">
        <f t="shared" ca="1" si="133"/>
        <v>104.24843676446601</v>
      </c>
    </row>
    <row r="566" spans="1:38">
      <c r="A566" t="str">
        <f ca="1">IF(ISNA(A$1), 0, OFFSET(data!$A$1, ROW()-1, A$1-1))</f>
        <v>Oahu</v>
      </c>
      <c r="B566">
        <f ca="1">IF(ISNA(B$1), 0, OFFSET(data!$A$1, ROW()-1, B$1-1))</f>
        <v>2035</v>
      </c>
      <c r="C566" t="str">
        <f ca="1">IF(ISNA(C$1), 0, OFFSET(data!$A$1, ROW()-1, C$1-1))</f>
        <v>2035-12-04-22:00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105.519867291534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163.11986729153401</v>
      </c>
      <c r="R566">
        <f ca="1">IF(ISNA(R$1), 0, OFFSET(data!$A$1, ROW()-1, R$1-1))</f>
        <v>303.707319112665</v>
      </c>
      <c r="S566">
        <f ca="1">IF(ISNA(S$1), 0, OFFSET(data!$A$1, ROW()-1, S$1-1))</f>
        <v>85</v>
      </c>
      <c r="T566">
        <f ca="1">IF(ISNA(T$1), 0, OFFSET(data!$A$1, ROW()-1, T$1-1))</f>
        <v>788.32455200599998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-236.497365601799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97.976756444444405</v>
      </c>
      <c r="AA566" t="str">
        <f ca="1">IF(ISNA(AA$1), #N/A, OFFSET(data!$A$1, ROW()-1, AA$1-1))</f>
        <v>peak</v>
      </c>
      <c r="AB566">
        <f t="shared" ca="1" si="123"/>
        <v>2035</v>
      </c>
      <c r="AC566">
        <f t="shared" ca="1" si="124"/>
        <v>12</v>
      </c>
      <c r="AD566" t="str">
        <f t="shared" ca="1" si="125"/>
        <v>12/04/2035</v>
      </c>
      <c r="AE566" t="str">
        <f t="shared" ca="1" si="126"/>
        <v/>
      </c>
      <c r="AF566" s="6">
        <f t="shared" ca="1" si="127"/>
        <v>9.797675644444441E-2</v>
      </c>
      <c r="AG566">
        <f t="shared" ca="1" si="128"/>
        <v>551.82718640420103</v>
      </c>
      <c r="AH566">
        <f t="shared" ca="1" si="129"/>
        <v>85</v>
      </c>
      <c r="AI566">
        <f t="shared" ca="1" si="130"/>
        <v>303.707319112665</v>
      </c>
      <c r="AJ566">
        <f t="shared" ca="1" si="131"/>
        <v>0</v>
      </c>
      <c r="AK566">
        <f t="shared" ca="1" si="132"/>
        <v>57.599999999999902</v>
      </c>
      <c r="AL566">
        <f t="shared" ca="1" si="133"/>
        <v>105.519867291534</v>
      </c>
    </row>
    <row r="567" spans="1:38">
      <c r="A567" t="str">
        <f ca="1">IF(ISNA(A$1), 0, OFFSET(data!$A$1, ROW()-1, A$1-1))</f>
        <v>Oahu</v>
      </c>
      <c r="B567">
        <f ca="1">IF(ISNA(B$1), 0, OFFSET(data!$A$1, ROW()-1, B$1-1))</f>
        <v>2035</v>
      </c>
      <c r="C567" t="str">
        <f ca="1">IF(ISNA(C$1), 0, OFFSET(data!$A$1, ROW()-1, C$1-1))</f>
        <v>2035-12-12-00:00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129.95167885570399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25.377486059590399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212.92916491529499</v>
      </c>
      <c r="R567">
        <f ca="1">IF(ISNA(R$1), 0, OFFSET(data!$A$1, ROW()-1, R$1-1))</f>
        <v>0</v>
      </c>
      <c r="S567">
        <f ca="1">IF(ISNA(S$1), 0, OFFSET(data!$A$1, ROW()-1, S$1-1))</f>
        <v>117.980371345504</v>
      </c>
      <c r="T567">
        <f ca="1">IF(ISNA(T$1), 0, OFFSET(data!$A$1, ROW()-1, T$1-1))</f>
        <v>472.72790894399998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-141.81837268319899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142.51136703590399</v>
      </c>
      <c r="AA567" t="str">
        <f ca="1">IF(ISNA(AA$1), #N/A, OFFSET(data!$A$1, ROW()-1, AA$1-1))</f>
        <v>typical</v>
      </c>
      <c r="AB567">
        <f t="shared" ca="1" si="123"/>
        <v>2035</v>
      </c>
      <c r="AC567">
        <f t="shared" ca="1" si="124"/>
        <v>12</v>
      </c>
      <c r="AD567" t="str">
        <f t="shared" ca="1" si="125"/>
        <v>12/12/2035</v>
      </c>
      <c r="AE567" t="str">
        <f t="shared" ca="1" si="126"/>
        <v/>
      </c>
      <c r="AF567" s="6">
        <f t="shared" ca="1" si="127"/>
        <v>0.14251136703590397</v>
      </c>
      <c r="AG567">
        <f t="shared" ca="1" si="128"/>
        <v>330.90953626080102</v>
      </c>
      <c r="AH567">
        <f t="shared" ca="1" si="129"/>
        <v>117.980371345504</v>
      </c>
      <c r="AI567">
        <f t="shared" ca="1" si="130"/>
        <v>0</v>
      </c>
      <c r="AJ567">
        <f t="shared" ca="1" si="131"/>
        <v>0</v>
      </c>
      <c r="AK567">
        <f t="shared" ca="1" si="132"/>
        <v>57.599999999999902</v>
      </c>
      <c r="AL567">
        <f t="shared" ca="1" si="133"/>
        <v>25.377486059590399</v>
      </c>
    </row>
    <row r="568" spans="1:38">
      <c r="A568" t="str">
        <f ca="1">IF(ISNA(A$1), 0, OFFSET(data!$A$1, ROW()-1, A$1-1))</f>
        <v>Oahu</v>
      </c>
      <c r="B568">
        <f ca="1">IF(ISNA(B$1), 0, OFFSET(data!$A$1, ROW()-1, B$1-1))</f>
        <v>2035</v>
      </c>
      <c r="C568" t="str">
        <f ca="1">IF(ISNA(C$1), 0, OFFSET(data!$A$1, ROW()-1, C$1-1))</f>
        <v>2035-12-12-02:00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178.2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8.9978796662238096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244.797879666223</v>
      </c>
      <c r="R568">
        <f ca="1">IF(ISNA(R$1), 0, OFFSET(data!$A$1, ROW()-1, R$1-1))</f>
        <v>0</v>
      </c>
      <c r="S568">
        <f ca="1">IF(ISNA(S$1), 0, OFFSET(data!$A$1, ROW()-1, S$1-1))</f>
        <v>44.629538115376199</v>
      </c>
      <c r="T568">
        <f ca="1">IF(ISNA(T$1), 0, OFFSET(data!$A$1, ROW()-1, T$1-1))</f>
        <v>413.46773968799999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-124.0403219064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142.51136703590399</v>
      </c>
      <c r="AA568" t="str">
        <f ca="1">IF(ISNA(AA$1), #N/A, OFFSET(data!$A$1, ROW()-1, AA$1-1))</f>
        <v>typical</v>
      </c>
      <c r="AB568">
        <f t="shared" ca="1" si="123"/>
        <v>2035</v>
      </c>
      <c r="AC568">
        <f t="shared" ca="1" si="124"/>
        <v>12</v>
      </c>
      <c r="AD568" t="str">
        <f t="shared" ca="1" si="125"/>
        <v>12/12/2035</v>
      </c>
      <c r="AE568" t="str">
        <f t="shared" ca="1" si="126"/>
        <v/>
      </c>
      <c r="AF568" s="6">
        <f t="shared" ca="1" si="127"/>
        <v>0.14251136703590397</v>
      </c>
      <c r="AG568">
        <f t="shared" ca="1" si="128"/>
        <v>289.42741778160001</v>
      </c>
      <c r="AH568">
        <f t="shared" ca="1" si="129"/>
        <v>44.629538115376199</v>
      </c>
      <c r="AI568">
        <f t="shared" ca="1" si="130"/>
        <v>0</v>
      </c>
      <c r="AJ568">
        <f t="shared" ca="1" si="131"/>
        <v>0</v>
      </c>
      <c r="AK568">
        <f t="shared" ca="1" si="132"/>
        <v>57.599999999999902</v>
      </c>
      <c r="AL568">
        <f t="shared" ca="1" si="133"/>
        <v>8.9978796662238096</v>
      </c>
    </row>
    <row r="569" spans="1:38">
      <c r="A569" t="str">
        <f ca="1">IF(ISNA(A$1), 0, OFFSET(data!$A$1, ROW()-1, A$1-1))</f>
        <v>Oahu</v>
      </c>
      <c r="B569">
        <f ca="1">IF(ISNA(B$1), 0, OFFSET(data!$A$1, ROW()-1, B$1-1))</f>
        <v>2035</v>
      </c>
      <c r="C569" t="str">
        <f ca="1">IF(ISNA(C$1), 0, OFFSET(data!$A$1, ROW()-1, C$1-1))</f>
        <v>2035-12-12-04:00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156.33098685211201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213.930986852112</v>
      </c>
      <c r="R569">
        <f ca="1">IF(ISNA(R$1), 0, OFFSET(data!$A$1, ROW()-1, R$1-1))</f>
        <v>0</v>
      </c>
      <c r="S569">
        <f ca="1">IF(ISNA(S$1), 0, OFFSET(data!$A$1, ROW()-1, S$1-1))</f>
        <v>137.72927450798699</v>
      </c>
      <c r="T569">
        <f ca="1">IF(ISNA(T$1), 0, OFFSET(data!$A$1, ROW()-1, T$1-1))</f>
        <v>502.37180194299998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-150.7115405829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142.51136703590399</v>
      </c>
      <c r="AA569" t="str">
        <f ca="1">IF(ISNA(AA$1), #N/A, OFFSET(data!$A$1, ROW()-1, AA$1-1))</f>
        <v>typical</v>
      </c>
      <c r="AB569">
        <f t="shared" ca="1" si="123"/>
        <v>2035</v>
      </c>
      <c r="AC569">
        <f t="shared" ca="1" si="124"/>
        <v>12</v>
      </c>
      <c r="AD569" t="str">
        <f t="shared" ca="1" si="125"/>
        <v>12/12/2035</v>
      </c>
      <c r="AE569" t="str">
        <f t="shared" ca="1" si="126"/>
        <v/>
      </c>
      <c r="AF569" s="6">
        <f t="shared" ca="1" si="127"/>
        <v>0.14251136703590397</v>
      </c>
      <c r="AG569">
        <f t="shared" ca="1" si="128"/>
        <v>351.66026136009998</v>
      </c>
      <c r="AH569">
        <f t="shared" ca="1" si="129"/>
        <v>137.72927450798699</v>
      </c>
      <c r="AI569">
        <f t="shared" ca="1" si="130"/>
        <v>0</v>
      </c>
      <c r="AJ569">
        <f t="shared" ca="1" si="131"/>
        <v>0</v>
      </c>
      <c r="AK569">
        <f t="shared" ca="1" si="132"/>
        <v>57.599999999999902</v>
      </c>
      <c r="AL569">
        <f t="shared" ca="1" si="133"/>
        <v>156.33098685211201</v>
      </c>
    </row>
    <row r="570" spans="1:38">
      <c r="A570" t="str">
        <f ca="1">IF(ISNA(A$1), 0, OFFSET(data!$A$1, ROW()-1, A$1-1))</f>
        <v>Oahu</v>
      </c>
      <c r="B570">
        <f ca="1">IF(ISNA(B$1), 0, OFFSET(data!$A$1, ROW()-1, B$1-1))</f>
        <v>2035</v>
      </c>
      <c r="C570" t="str">
        <f ca="1">IF(ISNA(C$1), 0, OFFSET(data!$A$1, ROW()-1, C$1-1))</f>
        <v>2035-12-12-06:00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178.2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78.417536797391193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314.21753679739101</v>
      </c>
      <c r="R570">
        <f ca="1">IF(ISNA(R$1), 0, OFFSET(data!$A$1, ROW()-1, R$1-1))</f>
        <v>0</v>
      </c>
      <c r="S570">
        <f ca="1">IF(ISNA(S$1), 0, OFFSET(data!$A$1, ROW()-1, S$1-1))</f>
        <v>272.38021942260798</v>
      </c>
      <c r="T570">
        <f ca="1">IF(ISNA(T$1), 0, OFFSET(data!$A$1, ROW()-1, T$1-1))</f>
        <v>837.99679460000004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-251.39903838000001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142.51136703590399</v>
      </c>
      <c r="AA570" t="str">
        <f ca="1">IF(ISNA(AA$1), #N/A, OFFSET(data!$A$1, ROW()-1, AA$1-1))</f>
        <v>typical</v>
      </c>
      <c r="AB570">
        <f t="shared" ca="1" si="123"/>
        <v>2035</v>
      </c>
      <c r="AC570">
        <f t="shared" ca="1" si="124"/>
        <v>12</v>
      </c>
      <c r="AD570" t="str">
        <f t="shared" ca="1" si="125"/>
        <v>12/12/2035</v>
      </c>
      <c r="AE570" t="str">
        <f t="shared" ca="1" si="126"/>
        <v/>
      </c>
      <c r="AF570" s="6">
        <f t="shared" ca="1" si="127"/>
        <v>0.14251136703590397</v>
      </c>
      <c r="AG570">
        <f t="shared" ca="1" si="128"/>
        <v>586.59775622000006</v>
      </c>
      <c r="AH570">
        <f t="shared" ca="1" si="129"/>
        <v>272.38021942260798</v>
      </c>
      <c r="AI570">
        <f t="shared" ca="1" si="130"/>
        <v>0</v>
      </c>
      <c r="AJ570">
        <f t="shared" ca="1" si="131"/>
        <v>0</v>
      </c>
      <c r="AK570">
        <f t="shared" ca="1" si="132"/>
        <v>57.599999999999902</v>
      </c>
      <c r="AL570">
        <f t="shared" ca="1" si="133"/>
        <v>78.417536797391193</v>
      </c>
    </row>
    <row r="571" spans="1:38">
      <c r="A571" t="str">
        <f ca="1">IF(ISNA(A$1), 0, OFFSET(data!$A$1, ROW()-1, A$1-1))</f>
        <v>Oahu</v>
      </c>
      <c r="B571">
        <f ca="1">IF(ISNA(B$1), 0, OFFSET(data!$A$1, ROW()-1, B$1-1))</f>
        <v>2035</v>
      </c>
      <c r="C571" t="str">
        <f ca="1">IF(ISNA(C$1), 0, OFFSET(data!$A$1, ROW()-1, C$1-1))</f>
        <v>2035-12-12-08:00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1382.0992030171301</v>
      </c>
      <c r="L571">
        <f ca="1">IF(ISNA(L$1), 0, OFFSET(data!$A$1, ROW()-1, L$1-1))</f>
        <v>57.599999999999902</v>
      </c>
      <c r="M571">
        <f ca="1">IF(ISNA(M$1), 0, OFFSET(data!$A$1, ROW()-1, M$1-1))</f>
        <v>169.86184493387199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1609.5610479510001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966.32082494899998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293.24022300200699</v>
      </c>
      <c r="X571">
        <f ca="1">IF(ISNA(X$1), 0, OFFSET(data!$A$1, ROW()-1, X$1-1))</f>
        <v>0</v>
      </c>
      <c r="Y571">
        <f ca="1">IF(ISNA(Y$1), 0, OFFSET(data!$A$1, ROW()-1, Y$1-1))</f>
        <v>350</v>
      </c>
      <c r="Z571">
        <f ca="1">IF(ISNA(Z$1), 0, OFFSET(data!$A$1, ROW()-1, Z$1-1))</f>
        <v>39.543457943594902</v>
      </c>
      <c r="AA571" t="str">
        <f ca="1">IF(ISNA(AA$1), #N/A, OFFSET(data!$A$1, ROW()-1, AA$1-1))</f>
        <v>typical</v>
      </c>
      <c r="AB571">
        <f t="shared" ca="1" si="123"/>
        <v>2035</v>
      </c>
      <c r="AC571">
        <f t="shared" ca="1" si="124"/>
        <v>12</v>
      </c>
      <c r="AD571" t="str">
        <f t="shared" ca="1" si="125"/>
        <v>12/12/2035</v>
      </c>
      <c r="AE571" t="str">
        <f t="shared" ca="1" si="126"/>
        <v/>
      </c>
      <c r="AF571" s="6">
        <f t="shared" ca="1" si="127"/>
        <v>3.9543457943594901E-2</v>
      </c>
      <c r="AG571">
        <f t="shared" ca="1" si="128"/>
        <v>1259.5610479510069</v>
      </c>
      <c r="AH571">
        <f t="shared" ca="1" si="129"/>
        <v>350</v>
      </c>
      <c r="AI571">
        <f t="shared" ca="1" si="130"/>
        <v>0</v>
      </c>
      <c r="AJ571">
        <f t="shared" ca="1" si="131"/>
        <v>1382.0992030171301</v>
      </c>
      <c r="AK571">
        <f t="shared" ca="1" si="132"/>
        <v>57.599999999999902</v>
      </c>
      <c r="AL571">
        <f t="shared" ca="1" si="133"/>
        <v>169.86184493387199</v>
      </c>
    </row>
    <row r="572" spans="1:38">
      <c r="A572" t="str">
        <f ca="1">IF(ISNA(A$1), 0, OFFSET(data!$A$1, ROW()-1, A$1-1))</f>
        <v>Oahu</v>
      </c>
      <c r="B572">
        <f ca="1">IF(ISNA(B$1), 0, OFFSET(data!$A$1, ROW()-1, B$1-1))</f>
        <v>2035</v>
      </c>
      <c r="C572" t="str">
        <f ca="1">IF(ISNA(C$1), 0, OFFSET(data!$A$1, ROW()-1, C$1-1))</f>
        <v>2035-12-12-10:00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1928.9175816310701</v>
      </c>
      <c r="L572">
        <f ca="1">IF(ISNA(L$1), 0, OFFSET(data!$A$1, ROW()-1, L$1-1))</f>
        <v>57.599999999999902</v>
      </c>
      <c r="M572">
        <f ca="1">IF(ISNA(M$1), 0, OFFSET(data!$A$1, ROW()-1, M$1-1))</f>
        <v>163.633000356965</v>
      </c>
      <c r="N572">
        <f ca="1">IF(ISNA(N$1), 0, OFFSET(data!$A$1, ROW()-1, N$1-1))</f>
        <v>7.1054273576010003E-15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2150.1505819880299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1045.4349200500001</v>
      </c>
      <c r="U572">
        <f ca="1">IF(ISNA(U$1), 0, OFFSET(data!$A$1, ROW()-1, U$1-1))</f>
        <v>0</v>
      </c>
      <c r="V572">
        <f ca="1">IF(ISNA(V$1), 0, OFFSET(data!$A$1, ROW()-1, V$1-1))</f>
        <v>398.21868460300198</v>
      </c>
      <c r="W572">
        <f ca="1">IF(ISNA(W$1), 0, OFFSET(data!$A$1, ROW()-1, W$1-1))</f>
        <v>356.49697733503302</v>
      </c>
      <c r="X572">
        <f ca="1">IF(ISNA(X$1), 0, OFFSET(data!$A$1, ROW()-1, X$1-1))</f>
        <v>0</v>
      </c>
      <c r="Y572">
        <f ca="1">IF(ISNA(Y$1), 0, OFFSET(data!$A$1, ROW()-1, Y$1-1))</f>
        <v>350</v>
      </c>
      <c r="Z572">
        <f ca="1">IF(ISNA(Z$1), 0, OFFSET(data!$A$1, ROW()-1, Z$1-1))</f>
        <v>39.543457943594902</v>
      </c>
      <c r="AA572" t="str">
        <f ca="1">IF(ISNA(AA$1), #N/A, OFFSET(data!$A$1, ROW()-1, AA$1-1))</f>
        <v>typical</v>
      </c>
      <c r="AB572">
        <f t="shared" ca="1" si="123"/>
        <v>2035</v>
      </c>
      <c r="AC572">
        <f t="shared" ca="1" si="124"/>
        <v>12</v>
      </c>
      <c r="AD572" t="str">
        <f t="shared" ca="1" si="125"/>
        <v>12/12/2035</v>
      </c>
      <c r="AE572" t="str">
        <f t="shared" ca="1" si="126"/>
        <v/>
      </c>
      <c r="AF572" s="6">
        <f t="shared" ca="1" si="127"/>
        <v>3.9543457943594901E-2</v>
      </c>
      <c r="AG572">
        <f t="shared" ca="1" si="128"/>
        <v>1401.9318973850332</v>
      </c>
      <c r="AH572">
        <f t="shared" ca="1" si="129"/>
        <v>350</v>
      </c>
      <c r="AI572">
        <f t="shared" ca="1" si="130"/>
        <v>398.21868460300198</v>
      </c>
      <c r="AJ572">
        <f t="shared" ca="1" si="131"/>
        <v>1928.9175816310701</v>
      </c>
      <c r="AK572">
        <f t="shared" ca="1" si="132"/>
        <v>57.599999999999902</v>
      </c>
      <c r="AL572">
        <f t="shared" ca="1" si="133"/>
        <v>163.633000356965</v>
      </c>
    </row>
    <row r="573" spans="1:38">
      <c r="A573" t="str">
        <f ca="1">IF(ISNA(A$1), 0, OFFSET(data!$A$1, ROW()-1, A$1-1))</f>
        <v>Oahu</v>
      </c>
      <c r="B573">
        <f ca="1">IF(ISNA(B$1), 0, OFFSET(data!$A$1, ROW()-1, B$1-1))</f>
        <v>2035</v>
      </c>
      <c r="C573" t="str">
        <f ca="1">IF(ISNA(C$1), 0, OFFSET(data!$A$1, ROW()-1, C$1-1))</f>
        <v>2035-12-12-12:00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2000.11851529812</v>
      </c>
      <c r="L573">
        <f ca="1">IF(ISNA(L$1), 0, OFFSET(data!$A$1, ROW()-1, L$1-1))</f>
        <v>57.599999999999902</v>
      </c>
      <c r="M573">
        <f ca="1">IF(ISNA(M$1), 0, OFFSET(data!$A$1, ROW()-1, M$1-1))</f>
        <v>34.593058911452502</v>
      </c>
      <c r="N573">
        <f ca="1">IF(ISNA(N$1), 0, OFFSET(data!$A$1, ROW()-1, N$1-1))</f>
        <v>7.1054273576010003E-15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2092.3115742095702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1045.2703912300001</v>
      </c>
      <c r="U573">
        <f ca="1">IF(ISNA(U$1), 0, OFFSET(data!$A$1, ROW()-1, U$1-1))</f>
        <v>0</v>
      </c>
      <c r="V573">
        <f ca="1">IF(ISNA(V$1), 0, OFFSET(data!$A$1, ROW()-1, V$1-1))</f>
        <v>0</v>
      </c>
      <c r="W573">
        <f ca="1">IF(ISNA(W$1), 0, OFFSET(data!$A$1, ROW()-1, W$1-1))</f>
        <v>697.04118297957996</v>
      </c>
      <c r="X573">
        <f ca="1">IF(ISNA(X$1), 0, OFFSET(data!$A$1, ROW()-1, X$1-1))</f>
        <v>0</v>
      </c>
      <c r="Y573">
        <f ca="1">IF(ISNA(Y$1), 0, OFFSET(data!$A$1, ROW()-1, Y$1-1))</f>
        <v>350</v>
      </c>
      <c r="Z573">
        <f ca="1">IF(ISNA(Z$1), 0, OFFSET(data!$A$1, ROW()-1, Z$1-1))</f>
        <v>39.543457943594902</v>
      </c>
      <c r="AA573" t="str">
        <f ca="1">IF(ISNA(AA$1), #N/A, OFFSET(data!$A$1, ROW()-1, AA$1-1))</f>
        <v>typical</v>
      </c>
      <c r="AB573">
        <f t="shared" ca="1" si="123"/>
        <v>2035</v>
      </c>
      <c r="AC573">
        <f t="shared" ca="1" si="124"/>
        <v>12</v>
      </c>
      <c r="AD573" t="str">
        <f t="shared" ca="1" si="125"/>
        <v>12/12/2035</v>
      </c>
      <c r="AE573" t="str">
        <f t="shared" ca="1" si="126"/>
        <v>12/12/2035</v>
      </c>
      <c r="AF573" s="6">
        <f t="shared" ca="1" si="127"/>
        <v>3.9543457943594901E-2</v>
      </c>
      <c r="AG573">
        <f t="shared" ca="1" si="128"/>
        <v>1742.3115742095802</v>
      </c>
      <c r="AH573">
        <f t="shared" ca="1" si="129"/>
        <v>350</v>
      </c>
      <c r="AI573">
        <f t="shared" ca="1" si="130"/>
        <v>0</v>
      </c>
      <c r="AJ573">
        <f t="shared" ca="1" si="131"/>
        <v>2000.11851529812</v>
      </c>
      <c r="AK573">
        <f t="shared" ca="1" si="132"/>
        <v>57.599999999999902</v>
      </c>
      <c r="AL573">
        <f t="shared" ca="1" si="133"/>
        <v>34.593058911452502</v>
      </c>
    </row>
    <row r="574" spans="1:38">
      <c r="A574" t="str">
        <f ca="1">IF(ISNA(A$1), 0, OFFSET(data!$A$1, ROW()-1, A$1-1))</f>
        <v>Oahu</v>
      </c>
      <c r="B574">
        <f ca="1">IF(ISNA(B$1), 0, OFFSET(data!$A$1, ROW()-1, B$1-1))</f>
        <v>2035</v>
      </c>
      <c r="C574" t="str">
        <f ca="1">IF(ISNA(C$1), 0, OFFSET(data!$A$1, ROW()-1, C$1-1))</f>
        <v>2035-12-12-14:00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1678.6258776343</v>
      </c>
      <c r="L574">
        <f ca="1">IF(ISNA(L$1), 0, OFFSET(data!$A$1, ROW()-1, L$1-1))</f>
        <v>57.599999999999902</v>
      </c>
      <c r="M574">
        <f ca="1">IF(ISNA(M$1), 0, OFFSET(data!$A$1, ROW()-1, M$1-1))</f>
        <v>59.6339573636754</v>
      </c>
      <c r="N574">
        <f ca="1">IF(ISNA(N$1), 0, OFFSET(data!$A$1, ROW()-1, N$1-1))</f>
        <v>7.1054273576010003E-15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1795.85983499797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1013.88522089</v>
      </c>
      <c r="U574">
        <f ca="1">IF(ISNA(U$1), 0, OFFSET(data!$A$1, ROW()-1, U$1-1))</f>
        <v>0</v>
      </c>
      <c r="V574">
        <f ca="1">IF(ISNA(V$1), 0, OFFSET(data!$A$1, ROW()-1, V$1-1))</f>
        <v>0</v>
      </c>
      <c r="W574">
        <f ca="1">IF(ISNA(W$1), 0, OFFSET(data!$A$1, ROW()-1, W$1-1))</f>
        <v>431.97461410797803</v>
      </c>
      <c r="X574">
        <f ca="1">IF(ISNA(X$1), 0, OFFSET(data!$A$1, ROW()-1, X$1-1))</f>
        <v>0</v>
      </c>
      <c r="Y574">
        <f ca="1">IF(ISNA(Y$1), 0, OFFSET(data!$A$1, ROW()-1, Y$1-1))</f>
        <v>350</v>
      </c>
      <c r="Z574">
        <f ca="1">IF(ISNA(Z$1), 0, OFFSET(data!$A$1, ROW()-1, Z$1-1))</f>
        <v>39.543457943594902</v>
      </c>
      <c r="AA574" t="str">
        <f ca="1">IF(ISNA(AA$1), #N/A, OFFSET(data!$A$1, ROW()-1, AA$1-1))</f>
        <v>typical</v>
      </c>
      <c r="AB574">
        <f t="shared" ca="1" si="123"/>
        <v>2035</v>
      </c>
      <c r="AC574">
        <f t="shared" ca="1" si="124"/>
        <v>12</v>
      </c>
      <c r="AD574" t="str">
        <f t="shared" ca="1" si="125"/>
        <v>12/12/2035</v>
      </c>
      <c r="AE574" t="str">
        <f t="shared" ca="1" si="126"/>
        <v/>
      </c>
      <c r="AF574" s="6">
        <f t="shared" ca="1" si="127"/>
        <v>3.9543457943594901E-2</v>
      </c>
      <c r="AG574">
        <f t="shared" ca="1" si="128"/>
        <v>1445.8598349979779</v>
      </c>
      <c r="AH574">
        <f t="shared" ca="1" si="129"/>
        <v>350</v>
      </c>
      <c r="AI574">
        <f t="shared" ca="1" si="130"/>
        <v>0</v>
      </c>
      <c r="AJ574">
        <f t="shared" ca="1" si="131"/>
        <v>1678.6258776343</v>
      </c>
      <c r="AK574">
        <f t="shared" ca="1" si="132"/>
        <v>57.599999999999902</v>
      </c>
      <c r="AL574">
        <f t="shared" ca="1" si="133"/>
        <v>59.6339573636754</v>
      </c>
    </row>
    <row r="575" spans="1:38">
      <c r="A575" t="str">
        <f ca="1">IF(ISNA(A$1), 0, OFFSET(data!$A$1, ROW()-1, A$1-1))</f>
        <v>Oahu</v>
      </c>
      <c r="B575">
        <f ca="1">IF(ISNA(B$1), 0, OFFSET(data!$A$1, ROW()-1, B$1-1))</f>
        <v>2035</v>
      </c>
      <c r="C575" t="str">
        <f ca="1">IF(ISNA(C$1), 0, OFFSET(data!$A$1, ROW()-1, C$1-1))</f>
        <v>2035-12-12-16:00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1217.3277046713099</v>
      </c>
      <c r="L575">
        <f ca="1">IF(ISNA(L$1), 0, OFFSET(data!$A$1, ROW()-1, L$1-1))</f>
        <v>57.599999999999902</v>
      </c>
      <c r="M575">
        <f ca="1">IF(ISNA(M$1), 0, OFFSET(data!$A$1, ROW()-1, M$1-1))</f>
        <v>55.835688637455902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1330.76339330877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1040.96502506</v>
      </c>
      <c r="U575">
        <f ca="1">IF(ISNA(U$1), 0, OFFSET(data!$A$1, ROW()-1, U$1-1))</f>
        <v>0</v>
      </c>
      <c r="V575">
        <f ca="1">IF(ISNA(V$1), 0, OFFSET(data!$A$1, ROW()-1, V$1-1))</f>
        <v>252.08787576677599</v>
      </c>
      <c r="W575">
        <f ca="1">IF(ISNA(W$1), 0, OFFSET(data!$A$1, ROW()-1, W$1-1))</f>
        <v>-312.28950751799999</v>
      </c>
      <c r="X575">
        <f ca="1">IF(ISNA(X$1), 0, OFFSET(data!$A$1, ROW()-1, X$1-1))</f>
        <v>0</v>
      </c>
      <c r="Y575">
        <f ca="1">IF(ISNA(Y$1), 0, OFFSET(data!$A$1, ROW()-1, Y$1-1))</f>
        <v>350</v>
      </c>
      <c r="Z575">
        <f ca="1">IF(ISNA(Z$1), 0, OFFSET(data!$A$1, ROW()-1, Z$1-1))</f>
        <v>39.543457943594902</v>
      </c>
      <c r="AA575" t="str">
        <f ca="1">IF(ISNA(AA$1), #N/A, OFFSET(data!$A$1, ROW()-1, AA$1-1))</f>
        <v>typical</v>
      </c>
      <c r="AB575">
        <f t="shared" ca="1" si="123"/>
        <v>2035</v>
      </c>
      <c r="AC575">
        <f t="shared" ca="1" si="124"/>
        <v>12</v>
      </c>
      <c r="AD575" t="str">
        <f t="shared" ca="1" si="125"/>
        <v>12/12/2035</v>
      </c>
      <c r="AE575" t="str">
        <f t="shared" ca="1" si="126"/>
        <v/>
      </c>
      <c r="AF575" s="6">
        <f t="shared" ca="1" si="127"/>
        <v>3.9543457943594901E-2</v>
      </c>
      <c r="AG575">
        <f t="shared" ca="1" si="128"/>
        <v>728.67551754200008</v>
      </c>
      <c r="AH575">
        <f t="shared" ca="1" si="129"/>
        <v>350</v>
      </c>
      <c r="AI575">
        <f t="shared" ca="1" si="130"/>
        <v>252.08787576677599</v>
      </c>
      <c r="AJ575">
        <f t="shared" ca="1" si="131"/>
        <v>1217.3277046713099</v>
      </c>
      <c r="AK575">
        <f t="shared" ca="1" si="132"/>
        <v>57.599999999999902</v>
      </c>
      <c r="AL575">
        <f t="shared" ca="1" si="133"/>
        <v>55.835688637455902</v>
      </c>
    </row>
    <row r="576" spans="1:38">
      <c r="A576" t="str">
        <f ca="1">IF(ISNA(A$1), 0, OFFSET(data!$A$1, ROW()-1, A$1-1))</f>
        <v>Oahu</v>
      </c>
      <c r="B576">
        <f ca="1">IF(ISNA(B$1), 0, OFFSET(data!$A$1, ROW()-1, B$1-1))</f>
        <v>2035</v>
      </c>
      <c r="C576" t="str">
        <f ca="1">IF(ISNA(C$1), 0, OFFSET(data!$A$1, ROW()-1, C$1-1))</f>
        <v>2035-12-12-18:00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120.18064699499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177.78064699499001</v>
      </c>
      <c r="R576">
        <f ca="1">IF(ISNA(R$1), 0, OFFSET(data!$A$1, ROW()-1, R$1-1))</f>
        <v>201.77792001500899</v>
      </c>
      <c r="S576">
        <f ca="1">IF(ISNA(S$1), 0, OFFSET(data!$A$1, ROW()-1, S$1-1))</f>
        <v>350</v>
      </c>
      <c r="T576">
        <f ca="1">IF(ISNA(T$1), 0, OFFSET(data!$A$1, ROW()-1, T$1-1))</f>
        <v>1042.2265242999999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-312.66795728999898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142.51136703590399</v>
      </c>
      <c r="AA576" t="str">
        <f ca="1">IF(ISNA(AA$1), #N/A, OFFSET(data!$A$1, ROW()-1, AA$1-1))</f>
        <v>typical</v>
      </c>
      <c r="AB576">
        <f t="shared" ca="1" si="123"/>
        <v>2035</v>
      </c>
      <c r="AC576">
        <f t="shared" ca="1" si="124"/>
        <v>12</v>
      </c>
      <c r="AD576" t="str">
        <f t="shared" ca="1" si="125"/>
        <v>12/12/2035</v>
      </c>
      <c r="AE576" t="str">
        <f t="shared" ca="1" si="126"/>
        <v/>
      </c>
      <c r="AF576" s="6">
        <f t="shared" ca="1" si="127"/>
        <v>0.14251136703590397</v>
      </c>
      <c r="AG576">
        <f t="shared" ca="1" si="128"/>
        <v>729.55856701000096</v>
      </c>
      <c r="AH576">
        <f t="shared" ca="1" si="129"/>
        <v>350</v>
      </c>
      <c r="AI576">
        <f t="shared" ca="1" si="130"/>
        <v>201.77792001500899</v>
      </c>
      <c r="AJ576">
        <f t="shared" ca="1" si="131"/>
        <v>0</v>
      </c>
      <c r="AK576">
        <f t="shared" ca="1" si="132"/>
        <v>57.599999999999902</v>
      </c>
      <c r="AL576">
        <f t="shared" ca="1" si="133"/>
        <v>120.18064699499</v>
      </c>
    </row>
    <row r="577" spans="1:38">
      <c r="A577" t="str">
        <f ca="1">IF(ISNA(A$1), 0, OFFSET(data!$A$1, ROW()-1, A$1-1))</f>
        <v>Oahu</v>
      </c>
      <c r="B577">
        <f ca="1">IF(ISNA(B$1), 0, OFFSET(data!$A$1, ROW()-1, B$1-1))</f>
        <v>2035</v>
      </c>
      <c r="C577" t="str">
        <f ca="1">IF(ISNA(C$1), 0, OFFSET(data!$A$1, ROW()-1, C$1-1))</f>
        <v>2035-12-12-20:00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84.062181651224194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141.66218165122399</v>
      </c>
      <c r="R577">
        <f ca="1">IF(ISNA(R$1), 0, OFFSET(data!$A$1, ROW()-1, R$1-1))</f>
        <v>144.33602348127499</v>
      </c>
      <c r="S577">
        <f ca="1">IF(ISNA(S$1), 0, OFFSET(data!$A$1, ROW()-1, S$1-1))</f>
        <v>350</v>
      </c>
      <c r="T577">
        <f ca="1">IF(ISNA(T$1), 0, OFFSET(data!$A$1, ROW()-1, T$1-1))</f>
        <v>908.56886447500005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-272.57065934249999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142.51136703590399</v>
      </c>
      <c r="AA577" t="str">
        <f ca="1">IF(ISNA(AA$1), #N/A, OFFSET(data!$A$1, ROW()-1, AA$1-1))</f>
        <v>typical</v>
      </c>
      <c r="AB577">
        <f t="shared" ca="1" si="123"/>
        <v>2035</v>
      </c>
      <c r="AC577">
        <f t="shared" ca="1" si="124"/>
        <v>12</v>
      </c>
      <c r="AD577" t="str">
        <f t="shared" ca="1" si="125"/>
        <v>12/12/2035</v>
      </c>
      <c r="AE577" t="str">
        <f t="shared" ca="1" si="126"/>
        <v/>
      </c>
      <c r="AF577" s="6">
        <f t="shared" ca="1" si="127"/>
        <v>0.14251136703590397</v>
      </c>
      <c r="AG577">
        <f t="shared" ca="1" si="128"/>
        <v>635.99820513250006</v>
      </c>
      <c r="AH577">
        <f t="shared" ca="1" si="129"/>
        <v>350</v>
      </c>
      <c r="AI577">
        <f t="shared" ca="1" si="130"/>
        <v>144.33602348127499</v>
      </c>
      <c r="AJ577">
        <f t="shared" ca="1" si="131"/>
        <v>0</v>
      </c>
      <c r="AK577">
        <f t="shared" ca="1" si="132"/>
        <v>57.599999999999902</v>
      </c>
      <c r="AL577">
        <f t="shared" ca="1" si="133"/>
        <v>84.062181651224194</v>
      </c>
    </row>
    <row r="578" spans="1:38">
      <c r="A578" t="str">
        <f ca="1">IF(ISNA(A$1), 0, OFFSET(data!$A$1, ROW()-1, A$1-1))</f>
        <v>Oahu</v>
      </c>
      <c r="B578">
        <f ca="1">IF(ISNA(B$1), 0, OFFSET(data!$A$1, ROW()-1, B$1-1))</f>
        <v>2035</v>
      </c>
      <c r="C578" t="str">
        <f ca="1">IF(ISNA(C$1), 0, OFFSET(data!$A$1, ROW()-1, C$1-1))</f>
        <v>2035-12-12-22:00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103.59982596082899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161.199825960829</v>
      </c>
      <c r="R578">
        <f ca="1">IF(ISNA(R$1), 0, OFFSET(data!$A$1, ROW()-1, R$1-1))</f>
        <v>141.615976781048</v>
      </c>
      <c r="S578">
        <f ca="1">IF(ISNA(S$1), 0, OFFSET(data!$A$1, ROW()-1, S$1-1))</f>
        <v>194.78059660852199</v>
      </c>
      <c r="T578">
        <f ca="1">IF(ISNA(T$1), 0, OFFSET(data!$A$1, ROW()-1, T$1-1))</f>
        <v>710.85199907200001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-213.25559972159999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142.51136703590399</v>
      </c>
      <c r="AA578" t="str">
        <f ca="1">IF(ISNA(AA$1), #N/A, OFFSET(data!$A$1, ROW()-1, AA$1-1))</f>
        <v>typical</v>
      </c>
      <c r="AB578">
        <f t="shared" ca="1" si="123"/>
        <v>2035</v>
      </c>
      <c r="AC578">
        <f t="shared" ca="1" si="124"/>
        <v>12</v>
      </c>
      <c r="AD578" t="str">
        <f t="shared" ca="1" si="125"/>
        <v>12/12/2035</v>
      </c>
      <c r="AE578" t="str">
        <f t="shared" ca="1" si="126"/>
        <v/>
      </c>
      <c r="AF578" s="6">
        <f t="shared" ca="1" si="127"/>
        <v>0.14251136703590397</v>
      </c>
      <c r="AG578">
        <f t="shared" ca="1" si="128"/>
        <v>497.59639935040002</v>
      </c>
      <c r="AH578">
        <f t="shared" ca="1" si="129"/>
        <v>194.78059660852199</v>
      </c>
      <c r="AI578">
        <f t="shared" ca="1" si="130"/>
        <v>141.615976781048</v>
      </c>
      <c r="AJ578">
        <f t="shared" ca="1" si="131"/>
        <v>0</v>
      </c>
      <c r="AK578">
        <f t="shared" ca="1" si="132"/>
        <v>57.599999999999902</v>
      </c>
      <c r="AL578">
        <f t="shared" ca="1" si="133"/>
        <v>103.59982596082899</v>
      </c>
    </row>
    <row r="579" spans="1:38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#N/A, OFFSET(data!$A$1, ROW()-1, AA$1-1))</f>
        <v>0</v>
      </c>
      <c r="AB579">
        <f t="shared" ref="AB579:AB642" ca="1" si="134">VALUE(LEFT(C579, 4))</f>
        <v>0</v>
      </c>
      <c r="AC579" t="e">
        <f t="shared" ref="AC579:AC642" ca="1" si="135">VALUE(MID(C579, 6, 2))</f>
        <v>#VALUE!</v>
      </c>
      <c r="AD579" t="str">
        <f t="shared" ref="AD579:AD642" ca="1" si="136">SUBSTITUTE(MID(C579,6,6)&amp;LEFT(C579,4), "-", "/")</f>
        <v>0</v>
      </c>
      <c r="AE579" t="str">
        <f t="shared" ref="AE579:AE642" ca="1" si="137">IF(RIGHT(C579, 5)="12:00", AD579, "")</f>
        <v/>
      </c>
      <c r="AF579" s="6">
        <f t="shared" ref="AF579:AF642" ca="1" si="138">Z579/1000</f>
        <v>0</v>
      </c>
      <c r="AG579">
        <f t="shared" ref="AG579:AG627" ca="1" si="139">T579+W579</f>
        <v>0</v>
      </c>
      <c r="AH579">
        <f t="shared" ref="AH579" ca="1" si="140">MAX(S579,Y579)</f>
        <v>0</v>
      </c>
      <c r="AI579">
        <f t="shared" ref="AI579" ca="1" si="141">MAX(R579,V579)</f>
        <v>0</v>
      </c>
      <c r="AJ579">
        <f t="shared" ref="AJ579" ca="1" si="142">K579+N579</f>
        <v>0</v>
      </c>
      <c r="AK579">
        <f t="shared" ref="AK579" ca="1" si="143">L579+O579</f>
        <v>0</v>
      </c>
      <c r="AL579">
        <f t="shared" ref="AL579" ca="1" si="144">M579+P579</f>
        <v>0</v>
      </c>
    </row>
    <row r="580" spans="1:38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#N/A, OFFSET(data!$A$1, ROW()-1, AA$1-1))</f>
        <v>0</v>
      </c>
      <c r="AB580">
        <f t="shared" ca="1" si="134"/>
        <v>0</v>
      </c>
      <c r="AC580" t="e">
        <f t="shared" ca="1" si="135"/>
        <v>#VALUE!</v>
      </c>
      <c r="AD580" t="str">
        <f t="shared" ca="1" si="136"/>
        <v>0</v>
      </c>
      <c r="AE580" t="str">
        <f t="shared" ca="1" si="137"/>
        <v/>
      </c>
      <c r="AF580" s="6">
        <f t="shared" ca="1" si="138"/>
        <v>0</v>
      </c>
      <c r="AG580">
        <f t="shared" ca="1" si="139"/>
        <v>0</v>
      </c>
      <c r="AH580">
        <f t="shared" ref="AH580:AH643" ca="1" si="145">MAX(S580,Y580)</f>
        <v>0</v>
      </c>
      <c r="AI580">
        <f t="shared" ref="AI580:AI643" ca="1" si="146">MAX(R580,V580)</f>
        <v>0</v>
      </c>
      <c r="AJ580">
        <f t="shared" ref="AJ580:AJ643" ca="1" si="147">K580+N580</f>
        <v>0</v>
      </c>
      <c r="AK580">
        <f t="shared" ref="AK580:AK643" ca="1" si="148">L580+O580</f>
        <v>0</v>
      </c>
      <c r="AL580">
        <f t="shared" ref="AL580:AL643" ca="1" si="149">M580+P580</f>
        <v>0</v>
      </c>
    </row>
    <row r="581" spans="1:38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#N/A, OFFSET(data!$A$1, ROW()-1, AA$1-1))</f>
        <v>0</v>
      </c>
      <c r="AB581">
        <f t="shared" ca="1" si="134"/>
        <v>0</v>
      </c>
      <c r="AC581" t="e">
        <f t="shared" ca="1" si="135"/>
        <v>#VALUE!</v>
      </c>
      <c r="AD581" t="str">
        <f t="shared" ca="1" si="136"/>
        <v>0</v>
      </c>
      <c r="AE581" t="str">
        <f t="shared" ca="1" si="137"/>
        <v/>
      </c>
      <c r="AF581" s="6">
        <f t="shared" ca="1" si="138"/>
        <v>0</v>
      </c>
      <c r="AG581">
        <f t="shared" ca="1" si="139"/>
        <v>0</v>
      </c>
      <c r="AH581">
        <f t="shared" ca="1" si="145"/>
        <v>0</v>
      </c>
      <c r="AI581">
        <f t="shared" ca="1" si="146"/>
        <v>0</v>
      </c>
      <c r="AJ581">
        <f t="shared" ca="1" si="147"/>
        <v>0</v>
      </c>
      <c r="AK581">
        <f t="shared" ca="1" si="148"/>
        <v>0</v>
      </c>
      <c r="AL581">
        <f t="shared" ca="1" si="149"/>
        <v>0</v>
      </c>
    </row>
    <row r="582" spans="1:38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#N/A, OFFSET(data!$A$1, ROW()-1, AA$1-1))</f>
        <v>0</v>
      </c>
      <c r="AB582">
        <f t="shared" ca="1" si="134"/>
        <v>0</v>
      </c>
      <c r="AC582" t="e">
        <f t="shared" ca="1" si="135"/>
        <v>#VALUE!</v>
      </c>
      <c r="AD582" t="str">
        <f t="shared" ca="1" si="136"/>
        <v>0</v>
      </c>
      <c r="AE582" t="str">
        <f t="shared" ca="1" si="137"/>
        <v/>
      </c>
      <c r="AF582" s="6">
        <f t="shared" ca="1" si="138"/>
        <v>0</v>
      </c>
      <c r="AG582">
        <f t="shared" ca="1" si="139"/>
        <v>0</v>
      </c>
      <c r="AH582">
        <f t="shared" ca="1" si="145"/>
        <v>0</v>
      </c>
      <c r="AI582">
        <f t="shared" ca="1" si="146"/>
        <v>0</v>
      </c>
      <c r="AJ582">
        <f t="shared" ca="1" si="147"/>
        <v>0</v>
      </c>
      <c r="AK582">
        <f t="shared" ca="1" si="148"/>
        <v>0</v>
      </c>
      <c r="AL582">
        <f t="shared" ca="1" si="149"/>
        <v>0</v>
      </c>
    </row>
    <row r="583" spans="1:38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#N/A, OFFSET(data!$A$1, ROW()-1, AA$1-1))</f>
        <v>0</v>
      </c>
      <c r="AB583">
        <f t="shared" ca="1" si="134"/>
        <v>0</v>
      </c>
      <c r="AC583" t="e">
        <f t="shared" ca="1" si="135"/>
        <v>#VALUE!</v>
      </c>
      <c r="AD583" t="str">
        <f t="shared" ca="1" si="136"/>
        <v>0</v>
      </c>
      <c r="AE583" t="str">
        <f t="shared" ca="1" si="137"/>
        <v/>
      </c>
      <c r="AF583" s="6">
        <f t="shared" ca="1" si="138"/>
        <v>0</v>
      </c>
      <c r="AG583">
        <f t="shared" ca="1" si="139"/>
        <v>0</v>
      </c>
      <c r="AH583">
        <f t="shared" ca="1" si="145"/>
        <v>0</v>
      </c>
      <c r="AI583">
        <f t="shared" ca="1" si="146"/>
        <v>0</v>
      </c>
      <c r="AJ583">
        <f t="shared" ca="1" si="147"/>
        <v>0</v>
      </c>
      <c r="AK583">
        <f t="shared" ca="1" si="148"/>
        <v>0</v>
      </c>
      <c r="AL583">
        <f t="shared" ca="1" si="149"/>
        <v>0</v>
      </c>
    </row>
    <row r="584" spans="1:38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#N/A, OFFSET(data!$A$1, ROW()-1, AA$1-1))</f>
        <v>0</v>
      </c>
      <c r="AB584">
        <f t="shared" ca="1" si="134"/>
        <v>0</v>
      </c>
      <c r="AC584" t="e">
        <f t="shared" ca="1" si="135"/>
        <v>#VALUE!</v>
      </c>
      <c r="AD584" t="str">
        <f t="shared" ca="1" si="136"/>
        <v>0</v>
      </c>
      <c r="AE584" t="str">
        <f t="shared" ca="1" si="137"/>
        <v/>
      </c>
      <c r="AF584" s="6">
        <f t="shared" ca="1" si="138"/>
        <v>0</v>
      </c>
      <c r="AG584">
        <f t="shared" ca="1" si="139"/>
        <v>0</v>
      </c>
      <c r="AH584">
        <f t="shared" ca="1" si="145"/>
        <v>0</v>
      </c>
      <c r="AI584">
        <f t="shared" ca="1" si="146"/>
        <v>0</v>
      </c>
      <c r="AJ584">
        <f t="shared" ca="1" si="147"/>
        <v>0</v>
      </c>
      <c r="AK584">
        <f t="shared" ca="1" si="148"/>
        <v>0</v>
      </c>
      <c r="AL584">
        <f t="shared" ca="1" si="149"/>
        <v>0</v>
      </c>
    </row>
    <row r="585" spans="1:38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#N/A, OFFSET(data!$A$1, ROW()-1, AA$1-1))</f>
        <v>0</v>
      </c>
      <c r="AB585">
        <f t="shared" ca="1" si="134"/>
        <v>0</v>
      </c>
      <c r="AC585" t="e">
        <f t="shared" ca="1" si="135"/>
        <v>#VALUE!</v>
      </c>
      <c r="AD585" t="str">
        <f t="shared" ca="1" si="136"/>
        <v>0</v>
      </c>
      <c r="AE585" t="str">
        <f t="shared" ca="1" si="137"/>
        <v/>
      </c>
      <c r="AF585" s="6">
        <f t="shared" ca="1" si="138"/>
        <v>0</v>
      </c>
      <c r="AG585">
        <f t="shared" ca="1" si="139"/>
        <v>0</v>
      </c>
      <c r="AH585">
        <f t="shared" ca="1" si="145"/>
        <v>0</v>
      </c>
      <c r="AI585">
        <f t="shared" ca="1" si="146"/>
        <v>0</v>
      </c>
      <c r="AJ585">
        <f t="shared" ca="1" si="147"/>
        <v>0</v>
      </c>
      <c r="AK585">
        <f t="shared" ca="1" si="148"/>
        <v>0</v>
      </c>
      <c r="AL585">
        <f t="shared" ca="1" si="149"/>
        <v>0</v>
      </c>
    </row>
    <row r="586" spans="1:38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#N/A, OFFSET(data!$A$1, ROW()-1, AA$1-1))</f>
        <v>0</v>
      </c>
      <c r="AB586">
        <f t="shared" ca="1" si="134"/>
        <v>0</v>
      </c>
      <c r="AC586" t="e">
        <f t="shared" ca="1" si="135"/>
        <v>#VALUE!</v>
      </c>
      <c r="AD586" t="str">
        <f t="shared" ca="1" si="136"/>
        <v>0</v>
      </c>
      <c r="AE586" t="str">
        <f t="shared" ca="1" si="137"/>
        <v/>
      </c>
      <c r="AF586" s="6">
        <f t="shared" ca="1" si="138"/>
        <v>0</v>
      </c>
      <c r="AG586">
        <f t="shared" ca="1" si="139"/>
        <v>0</v>
      </c>
      <c r="AH586">
        <f t="shared" ca="1" si="145"/>
        <v>0</v>
      </c>
      <c r="AI586">
        <f t="shared" ca="1" si="146"/>
        <v>0</v>
      </c>
      <c r="AJ586">
        <f t="shared" ca="1" si="147"/>
        <v>0</v>
      </c>
      <c r="AK586">
        <f t="shared" ca="1" si="148"/>
        <v>0</v>
      </c>
      <c r="AL586">
        <f t="shared" ca="1" si="149"/>
        <v>0</v>
      </c>
    </row>
    <row r="587" spans="1:38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#N/A, OFFSET(data!$A$1, ROW()-1, AA$1-1))</f>
        <v>0</v>
      </c>
      <c r="AB587">
        <f t="shared" ca="1" si="134"/>
        <v>0</v>
      </c>
      <c r="AC587" t="e">
        <f t="shared" ca="1" si="135"/>
        <v>#VALUE!</v>
      </c>
      <c r="AD587" t="str">
        <f t="shared" ca="1" si="136"/>
        <v>0</v>
      </c>
      <c r="AE587" t="str">
        <f t="shared" ca="1" si="137"/>
        <v/>
      </c>
      <c r="AF587" s="6">
        <f t="shared" ca="1" si="138"/>
        <v>0</v>
      </c>
      <c r="AG587">
        <f t="shared" ca="1" si="139"/>
        <v>0</v>
      </c>
      <c r="AH587">
        <f t="shared" ca="1" si="145"/>
        <v>0</v>
      </c>
      <c r="AI587">
        <f t="shared" ca="1" si="146"/>
        <v>0</v>
      </c>
      <c r="AJ587">
        <f t="shared" ca="1" si="147"/>
        <v>0</v>
      </c>
      <c r="AK587">
        <f t="shared" ca="1" si="148"/>
        <v>0</v>
      </c>
      <c r="AL587">
        <f t="shared" ca="1" si="149"/>
        <v>0</v>
      </c>
    </row>
    <row r="588" spans="1:38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#N/A, OFFSET(data!$A$1, ROW()-1, AA$1-1))</f>
        <v>0</v>
      </c>
      <c r="AB588">
        <f t="shared" ca="1" si="134"/>
        <v>0</v>
      </c>
      <c r="AC588" t="e">
        <f t="shared" ca="1" si="135"/>
        <v>#VALUE!</v>
      </c>
      <c r="AD588" t="str">
        <f t="shared" ca="1" si="136"/>
        <v>0</v>
      </c>
      <c r="AE588" t="str">
        <f t="shared" ca="1" si="137"/>
        <v/>
      </c>
      <c r="AF588" s="6">
        <f t="shared" ca="1" si="138"/>
        <v>0</v>
      </c>
      <c r="AG588">
        <f t="shared" ca="1" si="139"/>
        <v>0</v>
      </c>
      <c r="AH588">
        <f t="shared" ca="1" si="145"/>
        <v>0</v>
      </c>
      <c r="AI588">
        <f t="shared" ca="1" si="146"/>
        <v>0</v>
      </c>
      <c r="AJ588">
        <f t="shared" ca="1" si="147"/>
        <v>0</v>
      </c>
      <c r="AK588">
        <f t="shared" ca="1" si="148"/>
        <v>0</v>
      </c>
      <c r="AL588">
        <f t="shared" ca="1" si="149"/>
        <v>0</v>
      </c>
    </row>
    <row r="589" spans="1:38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#N/A, OFFSET(data!$A$1, ROW()-1, AA$1-1))</f>
        <v>0</v>
      </c>
      <c r="AB589">
        <f t="shared" ca="1" si="134"/>
        <v>0</v>
      </c>
      <c r="AC589" t="e">
        <f t="shared" ca="1" si="135"/>
        <v>#VALUE!</v>
      </c>
      <c r="AD589" t="str">
        <f t="shared" ca="1" si="136"/>
        <v>0</v>
      </c>
      <c r="AE589" t="str">
        <f t="shared" ca="1" si="137"/>
        <v/>
      </c>
      <c r="AF589" s="6">
        <f t="shared" ca="1" si="138"/>
        <v>0</v>
      </c>
      <c r="AG589">
        <f t="shared" ca="1" si="139"/>
        <v>0</v>
      </c>
      <c r="AH589">
        <f t="shared" ca="1" si="145"/>
        <v>0</v>
      </c>
      <c r="AI589">
        <f t="shared" ca="1" si="146"/>
        <v>0</v>
      </c>
      <c r="AJ589">
        <f t="shared" ca="1" si="147"/>
        <v>0</v>
      </c>
      <c r="AK589">
        <f t="shared" ca="1" si="148"/>
        <v>0</v>
      </c>
      <c r="AL589">
        <f t="shared" ca="1" si="149"/>
        <v>0</v>
      </c>
    </row>
    <row r="590" spans="1:38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#N/A, OFFSET(data!$A$1, ROW()-1, AA$1-1))</f>
        <v>0</v>
      </c>
      <c r="AB590">
        <f t="shared" ca="1" si="134"/>
        <v>0</v>
      </c>
      <c r="AC590" t="e">
        <f t="shared" ca="1" si="135"/>
        <v>#VALUE!</v>
      </c>
      <c r="AD590" t="str">
        <f t="shared" ca="1" si="136"/>
        <v>0</v>
      </c>
      <c r="AE590" t="str">
        <f t="shared" ca="1" si="137"/>
        <v/>
      </c>
      <c r="AF590" s="6">
        <f t="shared" ca="1" si="138"/>
        <v>0</v>
      </c>
      <c r="AG590">
        <f t="shared" ca="1" si="139"/>
        <v>0</v>
      </c>
      <c r="AH590">
        <f t="shared" ca="1" si="145"/>
        <v>0</v>
      </c>
      <c r="AI590">
        <f t="shared" ca="1" si="146"/>
        <v>0</v>
      </c>
      <c r="AJ590">
        <f t="shared" ca="1" si="147"/>
        <v>0</v>
      </c>
      <c r="AK590">
        <f t="shared" ca="1" si="148"/>
        <v>0</v>
      </c>
      <c r="AL590">
        <f t="shared" ca="1" si="149"/>
        <v>0</v>
      </c>
    </row>
    <row r="591" spans="1:38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#N/A, OFFSET(data!$A$1, ROW()-1, AA$1-1))</f>
        <v>0</v>
      </c>
      <c r="AB591">
        <f t="shared" ca="1" si="134"/>
        <v>0</v>
      </c>
      <c r="AC591" t="e">
        <f t="shared" ca="1" si="135"/>
        <v>#VALUE!</v>
      </c>
      <c r="AD591" t="str">
        <f t="shared" ca="1" si="136"/>
        <v>0</v>
      </c>
      <c r="AE591" t="str">
        <f t="shared" ca="1" si="137"/>
        <v/>
      </c>
      <c r="AF591" s="6">
        <f t="shared" ca="1" si="138"/>
        <v>0</v>
      </c>
      <c r="AG591">
        <f t="shared" ca="1" si="139"/>
        <v>0</v>
      </c>
      <c r="AH591">
        <f t="shared" ca="1" si="145"/>
        <v>0</v>
      </c>
      <c r="AI591">
        <f t="shared" ca="1" si="146"/>
        <v>0</v>
      </c>
      <c r="AJ591">
        <f t="shared" ca="1" si="147"/>
        <v>0</v>
      </c>
      <c r="AK591">
        <f t="shared" ca="1" si="148"/>
        <v>0</v>
      </c>
      <c r="AL591">
        <f t="shared" ca="1" si="149"/>
        <v>0</v>
      </c>
    </row>
    <row r="592" spans="1:38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#N/A, OFFSET(data!$A$1, ROW()-1, AA$1-1))</f>
        <v>0</v>
      </c>
      <c r="AB592">
        <f t="shared" ca="1" si="134"/>
        <v>0</v>
      </c>
      <c r="AC592" t="e">
        <f t="shared" ca="1" si="135"/>
        <v>#VALUE!</v>
      </c>
      <c r="AD592" t="str">
        <f t="shared" ca="1" si="136"/>
        <v>0</v>
      </c>
      <c r="AE592" t="str">
        <f t="shared" ca="1" si="137"/>
        <v/>
      </c>
      <c r="AF592" s="6">
        <f t="shared" ca="1" si="138"/>
        <v>0</v>
      </c>
      <c r="AG592">
        <f t="shared" ca="1" si="139"/>
        <v>0</v>
      </c>
      <c r="AH592">
        <f t="shared" ca="1" si="145"/>
        <v>0</v>
      </c>
      <c r="AI592">
        <f t="shared" ca="1" si="146"/>
        <v>0</v>
      </c>
      <c r="AJ592">
        <f t="shared" ca="1" si="147"/>
        <v>0</v>
      </c>
      <c r="AK592">
        <f t="shared" ca="1" si="148"/>
        <v>0</v>
      </c>
      <c r="AL592">
        <f t="shared" ca="1" si="149"/>
        <v>0</v>
      </c>
    </row>
    <row r="593" spans="1:38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#N/A, OFFSET(data!$A$1, ROW()-1, AA$1-1))</f>
        <v>0</v>
      </c>
      <c r="AB593">
        <f t="shared" ca="1" si="134"/>
        <v>0</v>
      </c>
      <c r="AC593" t="e">
        <f t="shared" ca="1" si="135"/>
        <v>#VALUE!</v>
      </c>
      <c r="AD593" t="str">
        <f t="shared" ca="1" si="136"/>
        <v>0</v>
      </c>
      <c r="AE593" t="str">
        <f t="shared" ca="1" si="137"/>
        <v/>
      </c>
      <c r="AF593" s="6">
        <f t="shared" ca="1" si="138"/>
        <v>0</v>
      </c>
      <c r="AG593">
        <f t="shared" ca="1" si="139"/>
        <v>0</v>
      </c>
      <c r="AH593">
        <f t="shared" ca="1" si="145"/>
        <v>0</v>
      </c>
      <c r="AI593">
        <f t="shared" ca="1" si="146"/>
        <v>0</v>
      </c>
      <c r="AJ593">
        <f t="shared" ca="1" si="147"/>
        <v>0</v>
      </c>
      <c r="AK593">
        <f t="shared" ca="1" si="148"/>
        <v>0</v>
      </c>
      <c r="AL593">
        <f t="shared" ca="1" si="149"/>
        <v>0</v>
      </c>
    </row>
    <row r="594" spans="1:38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#N/A, OFFSET(data!$A$1, ROW()-1, AA$1-1))</f>
        <v>0</v>
      </c>
      <c r="AB594">
        <f t="shared" ca="1" si="134"/>
        <v>0</v>
      </c>
      <c r="AC594" t="e">
        <f t="shared" ca="1" si="135"/>
        <v>#VALUE!</v>
      </c>
      <c r="AD594" t="str">
        <f t="shared" ca="1" si="136"/>
        <v>0</v>
      </c>
      <c r="AE594" t="str">
        <f t="shared" ca="1" si="137"/>
        <v/>
      </c>
      <c r="AF594" s="6">
        <f t="shared" ca="1" si="138"/>
        <v>0</v>
      </c>
      <c r="AG594">
        <f t="shared" ca="1" si="139"/>
        <v>0</v>
      </c>
      <c r="AH594">
        <f t="shared" ca="1" si="145"/>
        <v>0</v>
      </c>
      <c r="AI594">
        <f t="shared" ca="1" si="146"/>
        <v>0</v>
      </c>
      <c r="AJ594">
        <f t="shared" ca="1" si="147"/>
        <v>0</v>
      </c>
      <c r="AK594">
        <f t="shared" ca="1" si="148"/>
        <v>0</v>
      </c>
      <c r="AL594">
        <f t="shared" ca="1" si="149"/>
        <v>0</v>
      </c>
    </row>
    <row r="595" spans="1:38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#N/A, OFFSET(data!$A$1, ROW()-1, AA$1-1))</f>
        <v>0</v>
      </c>
      <c r="AB595">
        <f t="shared" ca="1" si="134"/>
        <v>0</v>
      </c>
      <c r="AC595" t="e">
        <f t="shared" ca="1" si="135"/>
        <v>#VALUE!</v>
      </c>
      <c r="AD595" t="str">
        <f t="shared" ca="1" si="136"/>
        <v>0</v>
      </c>
      <c r="AE595" t="str">
        <f t="shared" ca="1" si="137"/>
        <v/>
      </c>
      <c r="AF595" s="6">
        <f t="shared" ca="1" si="138"/>
        <v>0</v>
      </c>
      <c r="AG595">
        <f t="shared" ca="1" si="139"/>
        <v>0</v>
      </c>
      <c r="AH595">
        <f t="shared" ca="1" si="145"/>
        <v>0</v>
      </c>
      <c r="AI595">
        <f t="shared" ca="1" si="146"/>
        <v>0</v>
      </c>
      <c r="AJ595">
        <f t="shared" ca="1" si="147"/>
        <v>0</v>
      </c>
      <c r="AK595">
        <f t="shared" ca="1" si="148"/>
        <v>0</v>
      </c>
      <c r="AL595">
        <f t="shared" ca="1" si="149"/>
        <v>0</v>
      </c>
    </row>
    <row r="596" spans="1:38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#N/A, OFFSET(data!$A$1, ROW()-1, AA$1-1))</f>
        <v>0</v>
      </c>
      <c r="AB596">
        <f t="shared" ca="1" si="134"/>
        <v>0</v>
      </c>
      <c r="AC596" t="e">
        <f t="shared" ca="1" si="135"/>
        <v>#VALUE!</v>
      </c>
      <c r="AD596" t="str">
        <f t="shared" ca="1" si="136"/>
        <v>0</v>
      </c>
      <c r="AE596" t="str">
        <f t="shared" ca="1" si="137"/>
        <v/>
      </c>
      <c r="AF596" s="6">
        <f t="shared" ca="1" si="138"/>
        <v>0</v>
      </c>
      <c r="AG596">
        <f t="shared" ca="1" si="139"/>
        <v>0</v>
      </c>
      <c r="AH596">
        <f t="shared" ca="1" si="145"/>
        <v>0</v>
      </c>
      <c r="AI596">
        <f t="shared" ca="1" si="146"/>
        <v>0</v>
      </c>
      <c r="AJ596">
        <f t="shared" ca="1" si="147"/>
        <v>0</v>
      </c>
      <c r="AK596">
        <f t="shared" ca="1" si="148"/>
        <v>0</v>
      </c>
      <c r="AL596">
        <f t="shared" ca="1" si="149"/>
        <v>0</v>
      </c>
    </row>
    <row r="597" spans="1:38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#N/A, OFFSET(data!$A$1, ROW()-1, AA$1-1))</f>
        <v>0</v>
      </c>
      <c r="AB597">
        <f t="shared" ca="1" si="134"/>
        <v>0</v>
      </c>
      <c r="AC597" t="e">
        <f t="shared" ca="1" si="135"/>
        <v>#VALUE!</v>
      </c>
      <c r="AD597" t="str">
        <f t="shared" ca="1" si="136"/>
        <v>0</v>
      </c>
      <c r="AE597" t="str">
        <f t="shared" ca="1" si="137"/>
        <v/>
      </c>
      <c r="AF597" s="6">
        <f t="shared" ca="1" si="138"/>
        <v>0</v>
      </c>
      <c r="AG597">
        <f t="shared" ca="1" si="139"/>
        <v>0</v>
      </c>
      <c r="AH597">
        <f t="shared" ca="1" si="145"/>
        <v>0</v>
      </c>
      <c r="AI597">
        <f t="shared" ca="1" si="146"/>
        <v>0</v>
      </c>
      <c r="AJ597">
        <f t="shared" ca="1" si="147"/>
        <v>0</v>
      </c>
      <c r="AK597">
        <f t="shared" ca="1" si="148"/>
        <v>0</v>
      </c>
      <c r="AL597">
        <f t="shared" ca="1" si="149"/>
        <v>0</v>
      </c>
    </row>
    <row r="598" spans="1:38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#N/A, OFFSET(data!$A$1, ROW()-1, AA$1-1))</f>
        <v>0</v>
      </c>
      <c r="AB598">
        <f t="shared" ca="1" si="134"/>
        <v>0</v>
      </c>
      <c r="AC598" t="e">
        <f t="shared" ca="1" si="135"/>
        <v>#VALUE!</v>
      </c>
      <c r="AD598" t="str">
        <f t="shared" ca="1" si="136"/>
        <v>0</v>
      </c>
      <c r="AE598" t="str">
        <f t="shared" ca="1" si="137"/>
        <v/>
      </c>
      <c r="AF598" s="6">
        <f t="shared" ca="1" si="138"/>
        <v>0</v>
      </c>
      <c r="AG598">
        <f t="shared" ca="1" si="139"/>
        <v>0</v>
      </c>
      <c r="AH598">
        <f t="shared" ca="1" si="145"/>
        <v>0</v>
      </c>
      <c r="AI598">
        <f t="shared" ca="1" si="146"/>
        <v>0</v>
      </c>
      <c r="AJ598">
        <f t="shared" ca="1" si="147"/>
        <v>0</v>
      </c>
      <c r="AK598">
        <f t="shared" ca="1" si="148"/>
        <v>0</v>
      </c>
      <c r="AL598">
        <f t="shared" ca="1" si="149"/>
        <v>0</v>
      </c>
    </row>
    <row r="599" spans="1:38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#N/A, OFFSET(data!$A$1, ROW()-1, AA$1-1))</f>
        <v>0</v>
      </c>
      <c r="AB599">
        <f t="shared" ca="1" si="134"/>
        <v>0</v>
      </c>
      <c r="AC599" t="e">
        <f t="shared" ca="1" si="135"/>
        <v>#VALUE!</v>
      </c>
      <c r="AD599" t="str">
        <f t="shared" ca="1" si="136"/>
        <v>0</v>
      </c>
      <c r="AE599" t="str">
        <f t="shared" ca="1" si="137"/>
        <v/>
      </c>
      <c r="AF599" s="6">
        <f t="shared" ca="1" si="138"/>
        <v>0</v>
      </c>
      <c r="AG599">
        <f t="shared" ca="1" si="139"/>
        <v>0</v>
      </c>
      <c r="AH599">
        <f t="shared" ca="1" si="145"/>
        <v>0</v>
      </c>
      <c r="AI599">
        <f t="shared" ca="1" si="146"/>
        <v>0</v>
      </c>
      <c r="AJ599">
        <f t="shared" ca="1" si="147"/>
        <v>0</v>
      </c>
      <c r="AK599">
        <f t="shared" ca="1" si="148"/>
        <v>0</v>
      </c>
      <c r="AL599">
        <f t="shared" ca="1" si="149"/>
        <v>0</v>
      </c>
    </row>
    <row r="600" spans="1:38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#N/A, OFFSET(data!$A$1, ROW()-1, AA$1-1))</f>
        <v>0</v>
      </c>
      <c r="AB600">
        <f t="shared" ca="1" si="134"/>
        <v>0</v>
      </c>
      <c r="AC600" t="e">
        <f t="shared" ca="1" si="135"/>
        <v>#VALUE!</v>
      </c>
      <c r="AD600" t="str">
        <f t="shared" ca="1" si="136"/>
        <v>0</v>
      </c>
      <c r="AE600" t="str">
        <f t="shared" ca="1" si="137"/>
        <v/>
      </c>
      <c r="AF600" s="6">
        <f t="shared" ca="1" si="138"/>
        <v>0</v>
      </c>
      <c r="AG600">
        <f t="shared" ca="1" si="139"/>
        <v>0</v>
      </c>
      <c r="AH600">
        <f t="shared" ca="1" si="145"/>
        <v>0</v>
      </c>
      <c r="AI600">
        <f t="shared" ca="1" si="146"/>
        <v>0</v>
      </c>
      <c r="AJ600">
        <f t="shared" ca="1" si="147"/>
        <v>0</v>
      </c>
      <c r="AK600">
        <f t="shared" ca="1" si="148"/>
        <v>0</v>
      </c>
      <c r="AL600">
        <f t="shared" ca="1" si="149"/>
        <v>0</v>
      </c>
    </row>
    <row r="601" spans="1:38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#N/A, OFFSET(data!$A$1, ROW()-1, AA$1-1))</f>
        <v>0</v>
      </c>
      <c r="AB601">
        <f t="shared" ca="1" si="134"/>
        <v>0</v>
      </c>
      <c r="AC601" t="e">
        <f t="shared" ca="1" si="135"/>
        <v>#VALUE!</v>
      </c>
      <c r="AD601" t="str">
        <f t="shared" ca="1" si="136"/>
        <v>0</v>
      </c>
      <c r="AE601" t="str">
        <f t="shared" ca="1" si="137"/>
        <v/>
      </c>
      <c r="AF601" s="6">
        <f t="shared" ca="1" si="138"/>
        <v>0</v>
      </c>
      <c r="AG601">
        <f t="shared" ca="1" si="139"/>
        <v>0</v>
      </c>
      <c r="AH601">
        <f t="shared" ca="1" si="145"/>
        <v>0</v>
      </c>
      <c r="AI601">
        <f t="shared" ca="1" si="146"/>
        <v>0</v>
      </c>
      <c r="AJ601">
        <f t="shared" ca="1" si="147"/>
        <v>0</v>
      </c>
      <c r="AK601">
        <f t="shared" ca="1" si="148"/>
        <v>0</v>
      </c>
      <c r="AL601">
        <f t="shared" ca="1" si="149"/>
        <v>0</v>
      </c>
    </row>
    <row r="602" spans="1:38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#N/A, OFFSET(data!$A$1, ROW()-1, AA$1-1))</f>
        <v>0</v>
      </c>
      <c r="AB602">
        <f t="shared" ca="1" si="134"/>
        <v>0</v>
      </c>
      <c r="AC602" t="e">
        <f t="shared" ca="1" si="135"/>
        <v>#VALUE!</v>
      </c>
      <c r="AD602" t="str">
        <f t="shared" ca="1" si="136"/>
        <v>0</v>
      </c>
      <c r="AE602" t="str">
        <f t="shared" ca="1" si="137"/>
        <v/>
      </c>
      <c r="AF602" s="6">
        <f t="shared" ca="1" si="138"/>
        <v>0</v>
      </c>
      <c r="AG602">
        <f t="shared" ca="1" si="139"/>
        <v>0</v>
      </c>
      <c r="AH602">
        <f t="shared" ca="1" si="145"/>
        <v>0</v>
      </c>
      <c r="AI602">
        <f t="shared" ca="1" si="146"/>
        <v>0</v>
      </c>
      <c r="AJ602">
        <f t="shared" ca="1" si="147"/>
        <v>0</v>
      </c>
      <c r="AK602">
        <f t="shared" ca="1" si="148"/>
        <v>0</v>
      </c>
      <c r="AL602">
        <f t="shared" ca="1" si="149"/>
        <v>0</v>
      </c>
    </row>
    <row r="603" spans="1:38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#N/A, OFFSET(data!$A$1, ROW()-1, AA$1-1))</f>
        <v>0</v>
      </c>
      <c r="AB603">
        <f t="shared" ca="1" si="134"/>
        <v>0</v>
      </c>
      <c r="AC603" t="e">
        <f t="shared" ca="1" si="135"/>
        <v>#VALUE!</v>
      </c>
      <c r="AD603" t="str">
        <f t="shared" ca="1" si="136"/>
        <v>0</v>
      </c>
      <c r="AE603" t="str">
        <f t="shared" ca="1" si="137"/>
        <v/>
      </c>
      <c r="AF603" s="6">
        <f t="shared" ca="1" si="138"/>
        <v>0</v>
      </c>
      <c r="AG603">
        <f t="shared" ca="1" si="139"/>
        <v>0</v>
      </c>
      <c r="AH603">
        <f t="shared" ca="1" si="145"/>
        <v>0</v>
      </c>
      <c r="AI603">
        <f t="shared" ca="1" si="146"/>
        <v>0</v>
      </c>
      <c r="AJ603">
        <f t="shared" ca="1" si="147"/>
        <v>0</v>
      </c>
      <c r="AK603">
        <f t="shared" ca="1" si="148"/>
        <v>0</v>
      </c>
      <c r="AL603">
        <f t="shared" ca="1" si="149"/>
        <v>0</v>
      </c>
    </row>
    <row r="604" spans="1:38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#N/A, OFFSET(data!$A$1, ROW()-1, AA$1-1))</f>
        <v>0</v>
      </c>
      <c r="AB604">
        <f t="shared" ca="1" si="134"/>
        <v>0</v>
      </c>
      <c r="AC604" t="e">
        <f t="shared" ca="1" si="135"/>
        <v>#VALUE!</v>
      </c>
      <c r="AD604" t="str">
        <f t="shared" ca="1" si="136"/>
        <v>0</v>
      </c>
      <c r="AE604" t="str">
        <f t="shared" ca="1" si="137"/>
        <v/>
      </c>
      <c r="AF604" s="6">
        <f t="shared" ca="1" si="138"/>
        <v>0</v>
      </c>
      <c r="AG604">
        <f t="shared" ca="1" si="139"/>
        <v>0</v>
      </c>
      <c r="AH604">
        <f t="shared" ca="1" si="145"/>
        <v>0</v>
      </c>
      <c r="AI604">
        <f t="shared" ca="1" si="146"/>
        <v>0</v>
      </c>
      <c r="AJ604">
        <f t="shared" ca="1" si="147"/>
        <v>0</v>
      </c>
      <c r="AK604">
        <f t="shared" ca="1" si="148"/>
        <v>0</v>
      </c>
      <c r="AL604">
        <f t="shared" ca="1" si="149"/>
        <v>0</v>
      </c>
    </row>
    <row r="605" spans="1:38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#N/A, OFFSET(data!$A$1, ROW()-1, AA$1-1))</f>
        <v>0</v>
      </c>
      <c r="AB605">
        <f t="shared" ca="1" si="134"/>
        <v>0</v>
      </c>
      <c r="AC605" t="e">
        <f t="shared" ca="1" si="135"/>
        <v>#VALUE!</v>
      </c>
      <c r="AD605" t="str">
        <f t="shared" ca="1" si="136"/>
        <v>0</v>
      </c>
      <c r="AE605" t="str">
        <f t="shared" ca="1" si="137"/>
        <v/>
      </c>
      <c r="AF605" s="6">
        <f t="shared" ca="1" si="138"/>
        <v>0</v>
      </c>
      <c r="AG605">
        <f t="shared" ca="1" si="139"/>
        <v>0</v>
      </c>
      <c r="AH605">
        <f t="shared" ca="1" si="145"/>
        <v>0</v>
      </c>
      <c r="AI605">
        <f t="shared" ca="1" si="146"/>
        <v>0</v>
      </c>
      <c r="AJ605">
        <f t="shared" ca="1" si="147"/>
        <v>0</v>
      </c>
      <c r="AK605">
        <f t="shared" ca="1" si="148"/>
        <v>0</v>
      </c>
      <c r="AL605">
        <f t="shared" ca="1" si="149"/>
        <v>0</v>
      </c>
    </row>
    <row r="606" spans="1:38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#N/A, OFFSET(data!$A$1, ROW()-1, AA$1-1))</f>
        <v>0</v>
      </c>
      <c r="AB606">
        <f t="shared" ca="1" si="134"/>
        <v>0</v>
      </c>
      <c r="AC606" t="e">
        <f t="shared" ca="1" si="135"/>
        <v>#VALUE!</v>
      </c>
      <c r="AD606" t="str">
        <f t="shared" ca="1" si="136"/>
        <v>0</v>
      </c>
      <c r="AE606" t="str">
        <f t="shared" ca="1" si="137"/>
        <v/>
      </c>
      <c r="AF606" s="6">
        <f t="shared" ca="1" si="138"/>
        <v>0</v>
      </c>
      <c r="AG606">
        <f t="shared" ca="1" si="139"/>
        <v>0</v>
      </c>
      <c r="AH606">
        <f t="shared" ca="1" si="145"/>
        <v>0</v>
      </c>
      <c r="AI606">
        <f t="shared" ca="1" si="146"/>
        <v>0</v>
      </c>
      <c r="AJ606">
        <f t="shared" ca="1" si="147"/>
        <v>0</v>
      </c>
      <c r="AK606">
        <f t="shared" ca="1" si="148"/>
        <v>0</v>
      </c>
      <c r="AL606">
        <f t="shared" ca="1" si="149"/>
        <v>0</v>
      </c>
    </row>
    <row r="607" spans="1:38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#N/A, OFFSET(data!$A$1, ROW()-1, AA$1-1))</f>
        <v>0</v>
      </c>
      <c r="AB607">
        <f t="shared" ca="1" si="134"/>
        <v>0</v>
      </c>
      <c r="AC607" t="e">
        <f t="shared" ca="1" si="135"/>
        <v>#VALUE!</v>
      </c>
      <c r="AD607" t="str">
        <f t="shared" ca="1" si="136"/>
        <v>0</v>
      </c>
      <c r="AE607" t="str">
        <f t="shared" ca="1" si="137"/>
        <v/>
      </c>
      <c r="AF607" s="6">
        <f t="shared" ca="1" si="138"/>
        <v>0</v>
      </c>
      <c r="AG607">
        <f t="shared" ca="1" si="139"/>
        <v>0</v>
      </c>
      <c r="AH607">
        <f t="shared" ca="1" si="145"/>
        <v>0</v>
      </c>
      <c r="AI607">
        <f t="shared" ca="1" si="146"/>
        <v>0</v>
      </c>
      <c r="AJ607">
        <f t="shared" ca="1" si="147"/>
        <v>0</v>
      </c>
      <c r="AK607">
        <f t="shared" ca="1" si="148"/>
        <v>0</v>
      </c>
      <c r="AL607">
        <f t="shared" ca="1" si="149"/>
        <v>0</v>
      </c>
    </row>
    <row r="608" spans="1:38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#N/A, OFFSET(data!$A$1, ROW()-1, AA$1-1))</f>
        <v>0</v>
      </c>
      <c r="AB608">
        <f t="shared" ca="1" si="134"/>
        <v>0</v>
      </c>
      <c r="AC608" t="e">
        <f t="shared" ca="1" si="135"/>
        <v>#VALUE!</v>
      </c>
      <c r="AD608" t="str">
        <f t="shared" ca="1" si="136"/>
        <v>0</v>
      </c>
      <c r="AE608" t="str">
        <f t="shared" ca="1" si="137"/>
        <v/>
      </c>
      <c r="AF608" s="6">
        <f t="shared" ca="1" si="138"/>
        <v>0</v>
      </c>
      <c r="AG608">
        <f t="shared" ca="1" si="139"/>
        <v>0</v>
      </c>
      <c r="AH608">
        <f t="shared" ca="1" si="145"/>
        <v>0</v>
      </c>
      <c r="AI608">
        <f t="shared" ca="1" si="146"/>
        <v>0</v>
      </c>
      <c r="AJ608">
        <f t="shared" ca="1" si="147"/>
        <v>0</v>
      </c>
      <c r="AK608">
        <f t="shared" ca="1" si="148"/>
        <v>0</v>
      </c>
      <c r="AL608">
        <f t="shared" ca="1" si="149"/>
        <v>0</v>
      </c>
    </row>
    <row r="609" spans="1:38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#N/A, OFFSET(data!$A$1, ROW()-1, AA$1-1))</f>
        <v>0</v>
      </c>
      <c r="AB609">
        <f t="shared" ca="1" si="134"/>
        <v>0</v>
      </c>
      <c r="AC609" t="e">
        <f t="shared" ca="1" si="135"/>
        <v>#VALUE!</v>
      </c>
      <c r="AD609" t="str">
        <f t="shared" ca="1" si="136"/>
        <v>0</v>
      </c>
      <c r="AE609" t="str">
        <f t="shared" ca="1" si="137"/>
        <v/>
      </c>
      <c r="AF609" s="6">
        <f t="shared" ca="1" si="138"/>
        <v>0</v>
      </c>
      <c r="AG609">
        <f t="shared" ca="1" si="139"/>
        <v>0</v>
      </c>
      <c r="AH609">
        <f t="shared" ca="1" si="145"/>
        <v>0</v>
      </c>
      <c r="AI609">
        <f t="shared" ca="1" si="146"/>
        <v>0</v>
      </c>
      <c r="AJ609">
        <f t="shared" ca="1" si="147"/>
        <v>0</v>
      </c>
      <c r="AK609">
        <f t="shared" ca="1" si="148"/>
        <v>0</v>
      </c>
      <c r="AL609">
        <f t="shared" ca="1" si="149"/>
        <v>0</v>
      </c>
    </row>
    <row r="610" spans="1:38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#N/A, OFFSET(data!$A$1, ROW()-1, AA$1-1))</f>
        <v>0</v>
      </c>
      <c r="AB610">
        <f t="shared" ca="1" si="134"/>
        <v>0</v>
      </c>
      <c r="AC610" t="e">
        <f t="shared" ca="1" si="135"/>
        <v>#VALUE!</v>
      </c>
      <c r="AD610" t="str">
        <f t="shared" ca="1" si="136"/>
        <v>0</v>
      </c>
      <c r="AE610" t="str">
        <f t="shared" ca="1" si="137"/>
        <v/>
      </c>
      <c r="AF610" s="6">
        <f t="shared" ca="1" si="138"/>
        <v>0</v>
      </c>
      <c r="AG610">
        <f t="shared" ca="1" si="139"/>
        <v>0</v>
      </c>
      <c r="AH610">
        <f t="shared" ca="1" si="145"/>
        <v>0</v>
      </c>
      <c r="AI610">
        <f t="shared" ca="1" si="146"/>
        <v>0</v>
      </c>
      <c r="AJ610">
        <f t="shared" ca="1" si="147"/>
        <v>0</v>
      </c>
      <c r="AK610">
        <f t="shared" ca="1" si="148"/>
        <v>0</v>
      </c>
      <c r="AL610">
        <f t="shared" ca="1" si="149"/>
        <v>0</v>
      </c>
    </row>
    <row r="611" spans="1:38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#N/A, OFFSET(data!$A$1, ROW()-1, AA$1-1))</f>
        <v>0</v>
      </c>
      <c r="AB611">
        <f t="shared" ca="1" si="134"/>
        <v>0</v>
      </c>
      <c r="AC611" t="e">
        <f t="shared" ca="1" si="135"/>
        <v>#VALUE!</v>
      </c>
      <c r="AD611" t="str">
        <f t="shared" ca="1" si="136"/>
        <v>0</v>
      </c>
      <c r="AE611" t="str">
        <f t="shared" ca="1" si="137"/>
        <v/>
      </c>
      <c r="AF611" s="6">
        <f t="shared" ca="1" si="138"/>
        <v>0</v>
      </c>
      <c r="AG611">
        <f t="shared" ca="1" si="139"/>
        <v>0</v>
      </c>
      <c r="AH611">
        <f t="shared" ca="1" si="145"/>
        <v>0</v>
      </c>
      <c r="AI611">
        <f t="shared" ca="1" si="146"/>
        <v>0</v>
      </c>
      <c r="AJ611">
        <f t="shared" ca="1" si="147"/>
        <v>0</v>
      </c>
      <c r="AK611">
        <f t="shared" ca="1" si="148"/>
        <v>0</v>
      </c>
      <c r="AL611">
        <f t="shared" ca="1" si="149"/>
        <v>0</v>
      </c>
    </row>
    <row r="612" spans="1:38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#N/A, OFFSET(data!$A$1, ROW()-1, AA$1-1))</f>
        <v>0</v>
      </c>
      <c r="AB612">
        <f t="shared" ca="1" si="134"/>
        <v>0</v>
      </c>
      <c r="AC612" t="e">
        <f t="shared" ca="1" si="135"/>
        <v>#VALUE!</v>
      </c>
      <c r="AD612" t="str">
        <f t="shared" ca="1" si="136"/>
        <v>0</v>
      </c>
      <c r="AE612" t="str">
        <f t="shared" ca="1" si="137"/>
        <v/>
      </c>
      <c r="AF612" s="6">
        <f t="shared" ca="1" si="138"/>
        <v>0</v>
      </c>
      <c r="AG612">
        <f t="shared" ca="1" si="139"/>
        <v>0</v>
      </c>
      <c r="AH612">
        <f t="shared" ca="1" si="145"/>
        <v>0</v>
      </c>
      <c r="AI612">
        <f t="shared" ca="1" si="146"/>
        <v>0</v>
      </c>
      <c r="AJ612">
        <f t="shared" ca="1" si="147"/>
        <v>0</v>
      </c>
      <c r="AK612">
        <f t="shared" ca="1" si="148"/>
        <v>0</v>
      </c>
      <c r="AL612">
        <f t="shared" ca="1" si="149"/>
        <v>0</v>
      </c>
    </row>
    <row r="613" spans="1:38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#N/A, OFFSET(data!$A$1, ROW()-1, AA$1-1))</f>
        <v>0</v>
      </c>
      <c r="AB613">
        <f t="shared" ca="1" si="134"/>
        <v>0</v>
      </c>
      <c r="AC613" t="e">
        <f t="shared" ca="1" si="135"/>
        <v>#VALUE!</v>
      </c>
      <c r="AD613" t="str">
        <f t="shared" ca="1" si="136"/>
        <v>0</v>
      </c>
      <c r="AE613" t="str">
        <f t="shared" ca="1" si="137"/>
        <v/>
      </c>
      <c r="AF613" s="6">
        <f t="shared" ca="1" si="138"/>
        <v>0</v>
      </c>
      <c r="AG613">
        <f t="shared" ca="1" si="139"/>
        <v>0</v>
      </c>
      <c r="AH613">
        <f t="shared" ca="1" si="145"/>
        <v>0</v>
      </c>
      <c r="AI613">
        <f t="shared" ca="1" si="146"/>
        <v>0</v>
      </c>
      <c r="AJ613">
        <f t="shared" ca="1" si="147"/>
        <v>0</v>
      </c>
      <c r="AK613">
        <f t="shared" ca="1" si="148"/>
        <v>0</v>
      </c>
      <c r="AL613">
        <f t="shared" ca="1" si="149"/>
        <v>0</v>
      </c>
    </row>
    <row r="614" spans="1:38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#N/A, OFFSET(data!$A$1, ROW()-1, AA$1-1))</f>
        <v>0</v>
      </c>
      <c r="AB614">
        <f t="shared" ca="1" si="134"/>
        <v>0</v>
      </c>
      <c r="AC614" t="e">
        <f t="shared" ca="1" si="135"/>
        <v>#VALUE!</v>
      </c>
      <c r="AD614" t="str">
        <f t="shared" ca="1" si="136"/>
        <v>0</v>
      </c>
      <c r="AE614" t="str">
        <f t="shared" ca="1" si="137"/>
        <v/>
      </c>
      <c r="AF614" s="6">
        <f t="shared" ca="1" si="138"/>
        <v>0</v>
      </c>
      <c r="AG614">
        <f t="shared" ca="1" si="139"/>
        <v>0</v>
      </c>
      <c r="AH614">
        <f t="shared" ca="1" si="145"/>
        <v>0</v>
      </c>
      <c r="AI614">
        <f t="shared" ca="1" si="146"/>
        <v>0</v>
      </c>
      <c r="AJ614">
        <f t="shared" ca="1" si="147"/>
        <v>0</v>
      </c>
      <c r="AK614">
        <f t="shared" ca="1" si="148"/>
        <v>0</v>
      </c>
      <c r="AL614">
        <f t="shared" ca="1" si="149"/>
        <v>0</v>
      </c>
    </row>
    <row r="615" spans="1:38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#N/A, OFFSET(data!$A$1, ROW()-1, AA$1-1))</f>
        <v>0</v>
      </c>
      <c r="AB615">
        <f t="shared" ca="1" si="134"/>
        <v>0</v>
      </c>
      <c r="AC615" t="e">
        <f t="shared" ca="1" si="135"/>
        <v>#VALUE!</v>
      </c>
      <c r="AD615" t="str">
        <f t="shared" ca="1" si="136"/>
        <v>0</v>
      </c>
      <c r="AE615" t="str">
        <f t="shared" ca="1" si="137"/>
        <v/>
      </c>
      <c r="AF615" s="6">
        <f t="shared" ca="1" si="138"/>
        <v>0</v>
      </c>
      <c r="AG615">
        <f t="shared" ca="1" si="139"/>
        <v>0</v>
      </c>
      <c r="AH615">
        <f t="shared" ca="1" si="145"/>
        <v>0</v>
      </c>
      <c r="AI615">
        <f t="shared" ca="1" si="146"/>
        <v>0</v>
      </c>
      <c r="AJ615">
        <f t="shared" ca="1" si="147"/>
        <v>0</v>
      </c>
      <c r="AK615">
        <f t="shared" ca="1" si="148"/>
        <v>0</v>
      </c>
      <c r="AL615">
        <f t="shared" ca="1" si="149"/>
        <v>0</v>
      </c>
    </row>
    <row r="616" spans="1:38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#N/A, OFFSET(data!$A$1, ROW()-1, AA$1-1))</f>
        <v>0</v>
      </c>
      <c r="AB616">
        <f t="shared" ca="1" si="134"/>
        <v>0</v>
      </c>
      <c r="AC616" t="e">
        <f t="shared" ca="1" si="135"/>
        <v>#VALUE!</v>
      </c>
      <c r="AD616" t="str">
        <f t="shared" ca="1" si="136"/>
        <v>0</v>
      </c>
      <c r="AE616" t="str">
        <f t="shared" ca="1" si="137"/>
        <v/>
      </c>
      <c r="AF616" s="6">
        <f t="shared" ca="1" si="138"/>
        <v>0</v>
      </c>
      <c r="AG616">
        <f t="shared" ca="1" si="139"/>
        <v>0</v>
      </c>
      <c r="AH616">
        <f t="shared" ca="1" si="145"/>
        <v>0</v>
      </c>
      <c r="AI616">
        <f t="shared" ca="1" si="146"/>
        <v>0</v>
      </c>
      <c r="AJ616">
        <f t="shared" ca="1" si="147"/>
        <v>0</v>
      </c>
      <c r="AK616">
        <f t="shared" ca="1" si="148"/>
        <v>0</v>
      </c>
      <c r="AL616">
        <f t="shared" ca="1" si="149"/>
        <v>0</v>
      </c>
    </row>
    <row r="617" spans="1:38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#N/A, OFFSET(data!$A$1, ROW()-1, AA$1-1))</f>
        <v>0</v>
      </c>
      <c r="AB617">
        <f t="shared" ca="1" si="134"/>
        <v>0</v>
      </c>
      <c r="AC617" t="e">
        <f t="shared" ca="1" si="135"/>
        <v>#VALUE!</v>
      </c>
      <c r="AD617" t="str">
        <f t="shared" ca="1" si="136"/>
        <v>0</v>
      </c>
      <c r="AE617" t="str">
        <f t="shared" ca="1" si="137"/>
        <v/>
      </c>
      <c r="AF617" s="6">
        <f t="shared" ca="1" si="138"/>
        <v>0</v>
      </c>
      <c r="AG617">
        <f t="shared" ca="1" si="139"/>
        <v>0</v>
      </c>
      <c r="AH617">
        <f t="shared" ca="1" si="145"/>
        <v>0</v>
      </c>
      <c r="AI617">
        <f t="shared" ca="1" si="146"/>
        <v>0</v>
      </c>
      <c r="AJ617">
        <f t="shared" ca="1" si="147"/>
        <v>0</v>
      </c>
      <c r="AK617">
        <f t="shared" ca="1" si="148"/>
        <v>0</v>
      </c>
      <c r="AL617">
        <f t="shared" ca="1" si="149"/>
        <v>0</v>
      </c>
    </row>
    <row r="618" spans="1:38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#N/A, OFFSET(data!$A$1, ROW()-1, AA$1-1))</f>
        <v>0</v>
      </c>
      <c r="AB618">
        <f t="shared" ca="1" si="134"/>
        <v>0</v>
      </c>
      <c r="AC618" t="e">
        <f t="shared" ca="1" si="135"/>
        <v>#VALUE!</v>
      </c>
      <c r="AD618" t="str">
        <f t="shared" ca="1" si="136"/>
        <v>0</v>
      </c>
      <c r="AE618" t="str">
        <f t="shared" ca="1" si="137"/>
        <v/>
      </c>
      <c r="AF618" s="6">
        <f t="shared" ca="1" si="138"/>
        <v>0</v>
      </c>
      <c r="AG618">
        <f t="shared" ca="1" si="139"/>
        <v>0</v>
      </c>
      <c r="AH618">
        <f t="shared" ca="1" si="145"/>
        <v>0</v>
      </c>
      <c r="AI618">
        <f t="shared" ca="1" si="146"/>
        <v>0</v>
      </c>
      <c r="AJ618">
        <f t="shared" ca="1" si="147"/>
        <v>0</v>
      </c>
      <c r="AK618">
        <f t="shared" ca="1" si="148"/>
        <v>0</v>
      </c>
      <c r="AL618">
        <f t="shared" ca="1" si="149"/>
        <v>0</v>
      </c>
    </row>
    <row r="619" spans="1:38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#N/A, OFFSET(data!$A$1, ROW()-1, AA$1-1))</f>
        <v>0</v>
      </c>
      <c r="AB619">
        <f t="shared" ca="1" si="134"/>
        <v>0</v>
      </c>
      <c r="AC619" t="e">
        <f t="shared" ca="1" si="135"/>
        <v>#VALUE!</v>
      </c>
      <c r="AD619" t="str">
        <f t="shared" ca="1" si="136"/>
        <v>0</v>
      </c>
      <c r="AE619" t="str">
        <f t="shared" ca="1" si="137"/>
        <v/>
      </c>
      <c r="AF619" s="6">
        <f t="shared" ca="1" si="138"/>
        <v>0</v>
      </c>
      <c r="AG619">
        <f t="shared" ca="1" si="139"/>
        <v>0</v>
      </c>
      <c r="AH619">
        <f t="shared" ca="1" si="145"/>
        <v>0</v>
      </c>
      <c r="AI619">
        <f t="shared" ca="1" si="146"/>
        <v>0</v>
      </c>
      <c r="AJ619">
        <f t="shared" ca="1" si="147"/>
        <v>0</v>
      </c>
      <c r="AK619">
        <f t="shared" ca="1" si="148"/>
        <v>0</v>
      </c>
      <c r="AL619">
        <f t="shared" ca="1" si="149"/>
        <v>0</v>
      </c>
    </row>
    <row r="620" spans="1:38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#N/A, OFFSET(data!$A$1, ROW()-1, AA$1-1))</f>
        <v>0</v>
      </c>
      <c r="AB620">
        <f t="shared" ca="1" si="134"/>
        <v>0</v>
      </c>
      <c r="AC620" t="e">
        <f t="shared" ca="1" si="135"/>
        <v>#VALUE!</v>
      </c>
      <c r="AD620" t="str">
        <f t="shared" ca="1" si="136"/>
        <v>0</v>
      </c>
      <c r="AE620" t="str">
        <f t="shared" ca="1" si="137"/>
        <v/>
      </c>
      <c r="AF620" s="6">
        <f t="shared" ca="1" si="138"/>
        <v>0</v>
      </c>
      <c r="AG620">
        <f t="shared" ca="1" si="139"/>
        <v>0</v>
      </c>
      <c r="AH620">
        <f t="shared" ca="1" si="145"/>
        <v>0</v>
      </c>
      <c r="AI620">
        <f t="shared" ca="1" si="146"/>
        <v>0</v>
      </c>
      <c r="AJ620">
        <f t="shared" ca="1" si="147"/>
        <v>0</v>
      </c>
      <c r="AK620">
        <f t="shared" ca="1" si="148"/>
        <v>0</v>
      </c>
      <c r="AL620">
        <f t="shared" ca="1" si="149"/>
        <v>0</v>
      </c>
    </row>
    <row r="621" spans="1:38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#N/A, OFFSET(data!$A$1, ROW()-1, AA$1-1))</f>
        <v>0</v>
      </c>
      <c r="AB621">
        <f t="shared" ca="1" si="134"/>
        <v>0</v>
      </c>
      <c r="AC621" t="e">
        <f t="shared" ca="1" si="135"/>
        <v>#VALUE!</v>
      </c>
      <c r="AD621" t="str">
        <f t="shared" ca="1" si="136"/>
        <v>0</v>
      </c>
      <c r="AE621" t="str">
        <f t="shared" ca="1" si="137"/>
        <v/>
      </c>
      <c r="AF621" s="6">
        <f t="shared" ca="1" si="138"/>
        <v>0</v>
      </c>
      <c r="AG621">
        <f t="shared" ca="1" si="139"/>
        <v>0</v>
      </c>
      <c r="AH621">
        <f t="shared" ca="1" si="145"/>
        <v>0</v>
      </c>
      <c r="AI621">
        <f t="shared" ca="1" si="146"/>
        <v>0</v>
      </c>
      <c r="AJ621">
        <f t="shared" ca="1" si="147"/>
        <v>0</v>
      </c>
      <c r="AK621">
        <f t="shared" ca="1" si="148"/>
        <v>0</v>
      </c>
      <c r="AL621">
        <f t="shared" ca="1" si="149"/>
        <v>0</v>
      </c>
    </row>
    <row r="622" spans="1:38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#N/A, OFFSET(data!$A$1, ROW()-1, AA$1-1))</f>
        <v>0</v>
      </c>
      <c r="AB622">
        <f t="shared" ca="1" si="134"/>
        <v>0</v>
      </c>
      <c r="AC622" t="e">
        <f t="shared" ca="1" si="135"/>
        <v>#VALUE!</v>
      </c>
      <c r="AD622" t="str">
        <f t="shared" ca="1" si="136"/>
        <v>0</v>
      </c>
      <c r="AE622" t="str">
        <f t="shared" ca="1" si="137"/>
        <v/>
      </c>
      <c r="AF622" s="6">
        <f t="shared" ca="1" si="138"/>
        <v>0</v>
      </c>
      <c r="AG622">
        <f t="shared" ca="1" si="139"/>
        <v>0</v>
      </c>
      <c r="AH622">
        <f t="shared" ca="1" si="145"/>
        <v>0</v>
      </c>
      <c r="AI622">
        <f t="shared" ca="1" si="146"/>
        <v>0</v>
      </c>
      <c r="AJ622">
        <f t="shared" ca="1" si="147"/>
        <v>0</v>
      </c>
      <c r="AK622">
        <f t="shared" ca="1" si="148"/>
        <v>0</v>
      </c>
      <c r="AL622">
        <f t="shared" ca="1" si="149"/>
        <v>0</v>
      </c>
    </row>
    <row r="623" spans="1:38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#N/A, OFFSET(data!$A$1, ROW()-1, AA$1-1))</f>
        <v>0</v>
      </c>
      <c r="AB623">
        <f t="shared" ca="1" si="134"/>
        <v>0</v>
      </c>
      <c r="AC623" t="e">
        <f t="shared" ca="1" si="135"/>
        <v>#VALUE!</v>
      </c>
      <c r="AD623" t="str">
        <f t="shared" ca="1" si="136"/>
        <v>0</v>
      </c>
      <c r="AE623" t="str">
        <f t="shared" ca="1" si="137"/>
        <v/>
      </c>
      <c r="AF623" s="6">
        <f t="shared" ca="1" si="138"/>
        <v>0</v>
      </c>
      <c r="AG623">
        <f t="shared" ca="1" si="139"/>
        <v>0</v>
      </c>
      <c r="AH623">
        <f t="shared" ca="1" si="145"/>
        <v>0</v>
      </c>
      <c r="AI623">
        <f t="shared" ca="1" si="146"/>
        <v>0</v>
      </c>
      <c r="AJ623">
        <f t="shared" ca="1" si="147"/>
        <v>0</v>
      </c>
      <c r="AK623">
        <f t="shared" ca="1" si="148"/>
        <v>0</v>
      </c>
      <c r="AL623">
        <f t="shared" ca="1" si="149"/>
        <v>0</v>
      </c>
    </row>
    <row r="624" spans="1:38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#N/A, OFFSET(data!$A$1, ROW()-1, AA$1-1))</f>
        <v>0</v>
      </c>
      <c r="AB624">
        <f t="shared" ca="1" si="134"/>
        <v>0</v>
      </c>
      <c r="AC624" t="e">
        <f t="shared" ca="1" si="135"/>
        <v>#VALUE!</v>
      </c>
      <c r="AD624" t="str">
        <f t="shared" ca="1" si="136"/>
        <v>0</v>
      </c>
      <c r="AE624" t="str">
        <f t="shared" ca="1" si="137"/>
        <v/>
      </c>
      <c r="AF624" s="6">
        <f t="shared" ca="1" si="138"/>
        <v>0</v>
      </c>
      <c r="AG624">
        <f t="shared" ca="1" si="139"/>
        <v>0</v>
      </c>
      <c r="AH624">
        <f t="shared" ca="1" si="145"/>
        <v>0</v>
      </c>
      <c r="AI624">
        <f t="shared" ca="1" si="146"/>
        <v>0</v>
      </c>
      <c r="AJ624">
        <f t="shared" ca="1" si="147"/>
        <v>0</v>
      </c>
      <c r="AK624">
        <f t="shared" ca="1" si="148"/>
        <v>0</v>
      </c>
      <c r="AL624">
        <f t="shared" ca="1" si="149"/>
        <v>0</v>
      </c>
    </row>
    <row r="625" spans="1:38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#N/A, OFFSET(data!$A$1, ROW()-1, AA$1-1))</f>
        <v>0</v>
      </c>
      <c r="AB625">
        <f t="shared" ca="1" si="134"/>
        <v>0</v>
      </c>
      <c r="AC625" t="e">
        <f t="shared" ca="1" si="135"/>
        <v>#VALUE!</v>
      </c>
      <c r="AD625" t="str">
        <f t="shared" ca="1" si="136"/>
        <v>0</v>
      </c>
      <c r="AE625" t="str">
        <f t="shared" ca="1" si="137"/>
        <v/>
      </c>
      <c r="AF625" s="6">
        <f t="shared" ca="1" si="138"/>
        <v>0</v>
      </c>
      <c r="AG625">
        <f t="shared" ca="1" si="139"/>
        <v>0</v>
      </c>
      <c r="AH625">
        <f t="shared" ca="1" si="145"/>
        <v>0</v>
      </c>
      <c r="AI625">
        <f t="shared" ca="1" si="146"/>
        <v>0</v>
      </c>
      <c r="AJ625">
        <f t="shared" ca="1" si="147"/>
        <v>0</v>
      </c>
      <c r="AK625">
        <f t="shared" ca="1" si="148"/>
        <v>0</v>
      </c>
      <c r="AL625">
        <f t="shared" ca="1" si="149"/>
        <v>0</v>
      </c>
    </row>
    <row r="626" spans="1:38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#N/A, OFFSET(data!$A$1, ROW()-1, AA$1-1))</f>
        <v>0</v>
      </c>
      <c r="AB626">
        <f t="shared" ca="1" si="134"/>
        <v>0</v>
      </c>
      <c r="AC626" t="e">
        <f t="shared" ca="1" si="135"/>
        <v>#VALUE!</v>
      </c>
      <c r="AD626" t="str">
        <f t="shared" ca="1" si="136"/>
        <v>0</v>
      </c>
      <c r="AE626" t="str">
        <f t="shared" ca="1" si="137"/>
        <v/>
      </c>
      <c r="AF626" s="6">
        <f t="shared" ca="1" si="138"/>
        <v>0</v>
      </c>
      <c r="AG626">
        <f t="shared" ca="1" si="139"/>
        <v>0</v>
      </c>
      <c r="AH626">
        <f t="shared" ca="1" si="145"/>
        <v>0</v>
      </c>
      <c r="AI626">
        <f t="shared" ca="1" si="146"/>
        <v>0</v>
      </c>
      <c r="AJ626">
        <f t="shared" ca="1" si="147"/>
        <v>0</v>
      </c>
      <c r="AK626">
        <f t="shared" ca="1" si="148"/>
        <v>0</v>
      </c>
      <c r="AL626">
        <f t="shared" ca="1" si="149"/>
        <v>0</v>
      </c>
    </row>
    <row r="627" spans="1:38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#N/A, OFFSET(data!$A$1, ROW()-1, AA$1-1))</f>
        <v>0</v>
      </c>
      <c r="AB627">
        <f t="shared" ca="1" si="134"/>
        <v>0</v>
      </c>
      <c r="AC627" t="e">
        <f t="shared" ca="1" si="135"/>
        <v>#VALUE!</v>
      </c>
      <c r="AD627" t="str">
        <f t="shared" ca="1" si="136"/>
        <v>0</v>
      </c>
      <c r="AE627" t="str">
        <f t="shared" ca="1" si="137"/>
        <v/>
      </c>
      <c r="AF627" s="6">
        <f t="shared" ca="1" si="138"/>
        <v>0</v>
      </c>
      <c r="AG627">
        <f t="shared" ca="1" si="139"/>
        <v>0</v>
      </c>
      <c r="AH627">
        <f t="shared" ca="1" si="145"/>
        <v>0</v>
      </c>
      <c r="AI627">
        <f t="shared" ca="1" si="146"/>
        <v>0</v>
      </c>
      <c r="AJ627">
        <f t="shared" ca="1" si="147"/>
        <v>0</v>
      </c>
      <c r="AK627">
        <f t="shared" ca="1" si="148"/>
        <v>0</v>
      </c>
      <c r="AL627">
        <f t="shared" ca="1" si="149"/>
        <v>0</v>
      </c>
    </row>
    <row r="628" spans="1:38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#N/A, OFFSET(data!$A$1, ROW()-1, AA$1-1))</f>
        <v>0</v>
      </c>
      <c r="AB628">
        <f t="shared" ca="1" si="134"/>
        <v>0</v>
      </c>
      <c r="AC628" t="e">
        <f t="shared" ca="1" si="135"/>
        <v>#VALUE!</v>
      </c>
      <c r="AD628" t="str">
        <f t="shared" ca="1" si="136"/>
        <v>0</v>
      </c>
      <c r="AE628" t="str">
        <f t="shared" ca="1" si="137"/>
        <v/>
      </c>
      <c r="AF628" s="6">
        <f t="shared" ca="1" si="138"/>
        <v>0</v>
      </c>
      <c r="AG628">
        <f t="shared" ref="AG628:AG691" ca="1" si="150">T628+W628</f>
        <v>0</v>
      </c>
      <c r="AH628">
        <f t="shared" ca="1" si="145"/>
        <v>0</v>
      </c>
      <c r="AI628">
        <f t="shared" ca="1" si="146"/>
        <v>0</v>
      </c>
      <c r="AJ628">
        <f t="shared" ca="1" si="147"/>
        <v>0</v>
      </c>
      <c r="AK628">
        <f t="shared" ca="1" si="148"/>
        <v>0</v>
      </c>
      <c r="AL628">
        <f t="shared" ca="1" si="149"/>
        <v>0</v>
      </c>
    </row>
    <row r="629" spans="1:38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#N/A, OFFSET(data!$A$1, ROW()-1, AA$1-1))</f>
        <v>0</v>
      </c>
      <c r="AB629">
        <f t="shared" ca="1" si="134"/>
        <v>0</v>
      </c>
      <c r="AC629" t="e">
        <f t="shared" ca="1" si="135"/>
        <v>#VALUE!</v>
      </c>
      <c r="AD629" t="str">
        <f t="shared" ca="1" si="136"/>
        <v>0</v>
      </c>
      <c r="AE629" t="str">
        <f t="shared" ca="1" si="137"/>
        <v/>
      </c>
      <c r="AF629" s="6">
        <f t="shared" ca="1" si="138"/>
        <v>0</v>
      </c>
      <c r="AG629">
        <f t="shared" ca="1" si="150"/>
        <v>0</v>
      </c>
      <c r="AH629">
        <f t="shared" ca="1" si="145"/>
        <v>0</v>
      </c>
      <c r="AI629">
        <f t="shared" ca="1" si="146"/>
        <v>0</v>
      </c>
      <c r="AJ629">
        <f t="shared" ca="1" si="147"/>
        <v>0</v>
      </c>
      <c r="AK629">
        <f t="shared" ca="1" si="148"/>
        <v>0</v>
      </c>
      <c r="AL629">
        <f t="shared" ca="1" si="149"/>
        <v>0</v>
      </c>
    </row>
    <row r="630" spans="1:38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#N/A, OFFSET(data!$A$1, ROW()-1, AA$1-1))</f>
        <v>0</v>
      </c>
      <c r="AB630">
        <f t="shared" ca="1" si="134"/>
        <v>0</v>
      </c>
      <c r="AC630" t="e">
        <f t="shared" ca="1" si="135"/>
        <v>#VALUE!</v>
      </c>
      <c r="AD630" t="str">
        <f t="shared" ca="1" si="136"/>
        <v>0</v>
      </c>
      <c r="AE630" t="str">
        <f t="shared" ca="1" si="137"/>
        <v/>
      </c>
      <c r="AF630" s="6">
        <f t="shared" ca="1" si="138"/>
        <v>0</v>
      </c>
      <c r="AG630">
        <f t="shared" ca="1" si="150"/>
        <v>0</v>
      </c>
      <c r="AH630">
        <f t="shared" ca="1" si="145"/>
        <v>0</v>
      </c>
      <c r="AI630">
        <f t="shared" ca="1" si="146"/>
        <v>0</v>
      </c>
      <c r="AJ630">
        <f t="shared" ca="1" si="147"/>
        <v>0</v>
      </c>
      <c r="AK630">
        <f t="shared" ca="1" si="148"/>
        <v>0</v>
      </c>
      <c r="AL630">
        <f t="shared" ca="1" si="149"/>
        <v>0</v>
      </c>
    </row>
    <row r="631" spans="1:38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#N/A, OFFSET(data!$A$1, ROW()-1, AA$1-1))</f>
        <v>0</v>
      </c>
      <c r="AB631">
        <f t="shared" ca="1" si="134"/>
        <v>0</v>
      </c>
      <c r="AC631" t="e">
        <f t="shared" ca="1" si="135"/>
        <v>#VALUE!</v>
      </c>
      <c r="AD631" t="str">
        <f t="shared" ca="1" si="136"/>
        <v>0</v>
      </c>
      <c r="AE631" t="str">
        <f t="shared" ca="1" si="137"/>
        <v/>
      </c>
      <c r="AF631" s="6">
        <f t="shared" ca="1" si="138"/>
        <v>0</v>
      </c>
      <c r="AG631">
        <f t="shared" ca="1" si="150"/>
        <v>0</v>
      </c>
      <c r="AH631">
        <f t="shared" ca="1" si="145"/>
        <v>0</v>
      </c>
      <c r="AI631">
        <f t="shared" ca="1" si="146"/>
        <v>0</v>
      </c>
      <c r="AJ631">
        <f t="shared" ca="1" si="147"/>
        <v>0</v>
      </c>
      <c r="AK631">
        <f t="shared" ca="1" si="148"/>
        <v>0</v>
      </c>
      <c r="AL631">
        <f t="shared" ca="1" si="149"/>
        <v>0</v>
      </c>
    </row>
    <row r="632" spans="1:38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#N/A, OFFSET(data!$A$1, ROW()-1, AA$1-1))</f>
        <v>0</v>
      </c>
      <c r="AB632">
        <f t="shared" ca="1" si="134"/>
        <v>0</v>
      </c>
      <c r="AC632" t="e">
        <f t="shared" ca="1" si="135"/>
        <v>#VALUE!</v>
      </c>
      <c r="AD632" t="str">
        <f t="shared" ca="1" si="136"/>
        <v>0</v>
      </c>
      <c r="AE632" t="str">
        <f t="shared" ca="1" si="137"/>
        <v/>
      </c>
      <c r="AF632" s="6">
        <f t="shared" ca="1" si="138"/>
        <v>0</v>
      </c>
      <c r="AG632">
        <f t="shared" ca="1" si="150"/>
        <v>0</v>
      </c>
      <c r="AH632">
        <f t="shared" ca="1" si="145"/>
        <v>0</v>
      </c>
      <c r="AI632">
        <f t="shared" ca="1" si="146"/>
        <v>0</v>
      </c>
      <c r="AJ632">
        <f t="shared" ca="1" si="147"/>
        <v>0</v>
      </c>
      <c r="AK632">
        <f t="shared" ca="1" si="148"/>
        <v>0</v>
      </c>
      <c r="AL632">
        <f t="shared" ca="1" si="149"/>
        <v>0</v>
      </c>
    </row>
    <row r="633" spans="1:38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#N/A, OFFSET(data!$A$1, ROW()-1, AA$1-1))</f>
        <v>0</v>
      </c>
      <c r="AB633">
        <f t="shared" ca="1" si="134"/>
        <v>0</v>
      </c>
      <c r="AC633" t="e">
        <f t="shared" ca="1" si="135"/>
        <v>#VALUE!</v>
      </c>
      <c r="AD633" t="str">
        <f t="shared" ca="1" si="136"/>
        <v>0</v>
      </c>
      <c r="AE633" t="str">
        <f t="shared" ca="1" si="137"/>
        <v/>
      </c>
      <c r="AF633" s="6">
        <f t="shared" ca="1" si="138"/>
        <v>0</v>
      </c>
      <c r="AG633">
        <f t="shared" ca="1" si="150"/>
        <v>0</v>
      </c>
      <c r="AH633">
        <f t="shared" ca="1" si="145"/>
        <v>0</v>
      </c>
      <c r="AI633">
        <f t="shared" ca="1" si="146"/>
        <v>0</v>
      </c>
      <c r="AJ633">
        <f t="shared" ca="1" si="147"/>
        <v>0</v>
      </c>
      <c r="AK633">
        <f t="shared" ca="1" si="148"/>
        <v>0</v>
      </c>
      <c r="AL633">
        <f t="shared" ca="1" si="149"/>
        <v>0</v>
      </c>
    </row>
    <row r="634" spans="1:38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#N/A, OFFSET(data!$A$1, ROW()-1, AA$1-1))</f>
        <v>0</v>
      </c>
      <c r="AB634">
        <f t="shared" ca="1" si="134"/>
        <v>0</v>
      </c>
      <c r="AC634" t="e">
        <f t="shared" ca="1" si="135"/>
        <v>#VALUE!</v>
      </c>
      <c r="AD634" t="str">
        <f t="shared" ca="1" si="136"/>
        <v>0</v>
      </c>
      <c r="AE634" t="str">
        <f t="shared" ca="1" si="137"/>
        <v/>
      </c>
      <c r="AF634" s="6">
        <f t="shared" ca="1" si="138"/>
        <v>0</v>
      </c>
      <c r="AG634">
        <f t="shared" ca="1" si="150"/>
        <v>0</v>
      </c>
      <c r="AH634">
        <f t="shared" ca="1" si="145"/>
        <v>0</v>
      </c>
      <c r="AI634">
        <f t="shared" ca="1" si="146"/>
        <v>0</v>
      </c>
      <c r="AJ634">
        <f t="shared" ca="1" si="147"/>
        <v>0</v>
      </c>
      <c r="AK634">
        <f t="shared" ca="1" si="148"/>
        <v>0</v>
      </c>
      <c r="AL634">
        <f t="shared" ca="1" si="149"/>
        <v>0</v>
      </c>
    </row>
    <row r="635" spans="1:38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#N/A, OFFSET(data!$A$1, ROW()-1, AA$1-1))</f>
        <v>0</v>
      </c>
      <c r="AB635">
        <f t="shared" ca="1" si="134"/>
        <v>0</v>
      </c>
      <c r="AC635" t="e">
        <f t="shared" ca="1" si="135"/>
        <v>#VALUE!</v>
      </c>
      <c r="AD635" t="str">
        <f t="shared" ca="1" si="136"/>
        <v>0</v>
      </c>
      <c r="AE635" t="str">
        <f t="shared" ca="1" si="137"/>
        <v/>
      </c>
      <c r="AF635" s="6">
        <f t="shared" ca="1" si="138"/>
        <v>0</v>
      </c>
      <c r="AG635">
        <f t="shared" ca="1" si="150"/>
        <v>0</v>
      </c>
      <c r="AH635">
        <f t="shared" ca="1" si="145"/>
        <v>0</v>
      </c>
      <c r="AI635">
        <f t="shared" ca="1" si="146"/>
        <v>0</v>
      </c>
      <c r="AJ635">
        <f t="shared" ca="1" si="147"/>
        <v>0</v>
      </c>
      <c r="AK635">
        <f t="shared" ca="1" si="148"/>
        <v>0</v>
      </c>
      <c r="AL635">
        <f t="shared" ca="1" si="149"/>
        <v>0</v>
      </c>
    </row>
    <row r="636" spans="1:38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#N/A, OFFSET(data!$A$1, ROW()-1, AA$1-1))</f>
        <v>0</v>
      </c>
      <c r="AB636">
        <f t="shared" ca="1" si="134"/>
        <v>0</v>
      </c>
      <c r="AC636" t="e">
        <f t="shared" ca="1" si="135"/>
        <v>#VALUE!</v>
      </c>
      <c r="AD636" t="str">
        <f t="shared" ca="1" si="136"/>
        <v>0</v>
      </c>
      <c r="AE636" t="str">
        <f t="shared" ca="1" si="137"/>
        <v/>
      </c>
      <c r="AF636" s="6">
        <f t="shared" ca="1" si="138"/>
        <v>0</v>
      </c>
      <c r="AG636">
        <f t="shared" ca="1" si="150"/>
        <v>0</v>
      </c>
      <c r="AH636">
        <f t="shared" ca="1" si="145"/>
        <v>0</v>
      </c>
      <c r="AI636">
        <f t="shared" ca="1" si="146"/>
        <v>0</v>
      </c>
      <c r="AJ636">
        <f t="shared" ca="1" si="147"/>
        <v>0</v>
      </c>
      <c r="AK636">
        <f t="shared" ca="1" si="148"/>
        <v>0</v>
      </c>
      <c r="AL636">
        <f t="shared" ca="1" si="149"/>
        <v>0</v>
      </c>
    </row>
    <row r="637" spans="1:38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#N/A, OFFSET(data!$A$1, ROW()-1, AA$1-1))</f>
        <v>0</v>
      </c>
      <c r="AB637">
        <f t="shared" ca="1" si="134"/>
        <v>0</v>
      </c>
      <c r="AC637" t="e">
        <f t="shared" ca="1" si="135"/>
        <v>#VALUE!</v>
      </c>
      <c r="AD637" t="str">
        <f t="shared" ca="1" si="136"/>
        <v>0</v>
      </c>
      <c r="AE637" t="str">
        <f t="shared" ca="1" si="137"/>
        <v/>
      </c>
      <c r="AF637" s="6">
        <f t="shared" ca="1" si="138"/>
        <v>0</v>
      </c>
      <c r="AG637">
        <f t="shared" ca="1" si="150"/>
        <v>0</v>
      </c>
      <c r="AH637">
        <f t="shared" ca="1" si="145"/>
        <v>0</v>
      </c>
      <c r="AI637">
        <f t="shared" ca="1" si="146"/>
        <v>0</v>
      </c>
      <c r="AJ637">
        <f t="shared" ca="1" si="147"/>
        <v>0</v>
      </c>
      <c r="AK637">
        <f t="shared" ca="1" si="148"/>
        <v>0</v>
      </c>
      <c r="AL637">
        <f t="shared" ca="1" si="149"/>
        <v>0</v>
      </c>
    </row>
    <row r="638" spans="1:38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#N/A, OFFSET(data!$A$1, ROW()-1, AA$1-1))</f>
        <v>0</v>
      </c>
      <c r="AB638">
        <f t="shared" ca="1" si="134"/>
        <v>0</v>
      </c>
      <c r="AC638" t="e">
        <f t="shared" ca="1" si="135"/>
        <v>#VALUE!</v>
      </c>
      <c r="AD638" t="str">
        <f t="shared" ca="1" si="136"/>
        <v>0</v>
      </c>
      <c r="AE638" t="str">
        <f t="shared" ca="1" si="137"/>
        <v/>
      </c>
      <c r="AF638" s="6">
        <f t="shared" ca="1" si="138"/>
        <v>0</v>
      </c>
      <c r="AG638">
        <f t="shared" ca="1" si="150"/>
        <v>0</v>
      </c>
      <c r="AH638">
        <f t="shared" ca="1" si="145"/>
        <v>0</v>
      </c>
      <c r="AI638">
        <f t="shared" ca="1" si="146"/>
        <v>0</v>
      </c>
      <c r="AJ638">
        <f t="shared" ca="1" si="147"/>
        <v>0</v>
      </c>
      <c r="AK638">
        <f t="shared" ca="1" si="148"/>
        <v>0</v>
      </c>
      <c r="AL638">
        <f t="shared" ca="1" si="149"/>
        <v>0</v>
      </c>
    </row>
    <row r="639" spans="1:38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#N/A, OFFSET(data!$A$1, ROW()-1, AA$1-1))</f>
        <v>0</v>
      </c>
      <c r="AB639">
        <f t="shared" ca="1" si="134"/>
        <v>0</v>
      </c>
      <c r="AC639" t="e">
        <f t="shared" ca="1" si="135"/>
        <v>#VALUE!</v>
      </c>
      <c r="AD639" t="str">
        <f t="shared" ca="1" si="136"/>
        <v>0</v>
      </c>
      <c r="AE639" t="str">
        <f t="shared" ca="1" si="137"/>
        <v/>
      </c>
      <c r="AF639" s="6">
        <f t="shared" ca="1" si="138"/>
        <v>0</v>
      </c>
      <c r="AG639">
        <f t="shared" ca="1" si="150"/>
        <v>0</v>
      </c>
      <c r="AH639">
        <f t="shared" ca="1" si="145"/>
        <v>0</v>
      </c>
      <c r="AI639">
        <f t="shared" ca="1" si="146"/>
        <v>0</v>
      </c>
      <c r="AJ639">
        <f t="shared" ca="1" si="147"/>
        <v>0</v>
      </c>
      <c r="AK639">
        <f t="shared" ca="1" si="148"/>
        <v>0</v>
      </c>
      <c r="AL639">
        <f t="shared" ca="1" si="149"/>
        <v>0</v>
      </c>
    </row>
    <row r="640" spans="1:38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#N/A, OFFSET(data!$A$1, ROW()-1, AA$1-1))</f>
        <v>0</v>
      </c>
      <c r="AB640">
        <f t="shared" ca="1" si="134"/>
        <v>0</v>
      </c>
      <c r="AC640" t="e">
        <f t="shared" ca="1" si="135"/>
        <v>#VALUE!</v>
      </c>
      <c r="AD640" t="str">
        <f t="shared" ca="1" si="136"/>
        <v>0</v>
      </c>
      <c r="AE640" t="str">
        <f t="shared" ca="1" si="137"/>
        <v/>
      </c>
      <c r="AF640" s="6">
        <f t="shared" ca="1" si="138"/>
        <v>0</v>
      </c>
      <c r="AG640">
        <f t="shared" ca="1" si="150"/>
        <v>0</v>
      </c>
      <c r="AH640">
        <f t="shared" ca="1" si="145"/>
        <v>0</v>
      </c>
      <c r="AI640">
        <f t="shared" ca="1" si="146"/>
        <v>0</v>
      </c>
      <c r="AJ640">
        <f t="shared" ca="1" si="147"/>
        <v>0</v>
      </c>
      <c r="AK640">
        <f t="shared" ca="1" si="148"/>
        <v>0</v>
      </c>
      <c r="AL640">
        <f t="shared" ca="1" si="149"/>
        <v>0</v>
      </c>
    </row>
    <row r="641" spans="1:38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#N/A, OFFSET(data!$A$1, ROW()-1, AA$1-1))</f>
        <v>0</v>
      </c>
      <c r="AB641">
        <f t="shared" ca="1" si="134"/>
        <v>0</v>
      </c>
      <c r="AC641" t="e">
        <f t="shared" ca="1" si="135"/>
        <v>#VALUE!</v>
      </c>
      <c r="AD641" t="str">
        <f t="shared" ca="1" si="136"/>
        <v>0</v>
      </c>
      <c r="AE641" t="str">
        <f t="shared" ca="1" si="137"/>
        <v/>
      </c>
      <c r="AF641" s="6">
        <f t="shared" ca="1" si="138"/>
        <v>0</v>
      </c>
      <c r="AG641">
        <f t="shared" ca="1" si="150"/>
        <v>0</v>
      </c>
      <c r="AH641">
        <f t="shared" ca="1" si="145"/>
        <v>0</v>
      </c>
      <c r="AI641">
        <f t="shared" ca="1" si="146"/>
        <v>0</v>
      </c>
      <c r="AJ641">
        <f t="shared" ca="1" si="147"/>
        <v>0</v>
      </c>
      <c r="AK641">
        <f t="shared" ca="1" si="148"/>
        <v>0</v>
      </c>
      <c r="AL641">
        <f t="shared" ca="1" si="149"/>
        <v>0</v>
      </c>
    </row>
    <row r="642" spans="1:38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#N/A, OFFSET(data!$A$1, ROW()-1, AA$1-1))</f>
        <v>0</v>
      </c>
      <c r="AB642">
        <f t="shared" ca="1" si="134"/>
        <v>0</v>
      </c>
      <c r="AC642" t="e">
        <f t="shared" ca="1" si="135"/>
        <v>#VALUE!</v>
      </c>
      <c r="AD642" t="str">
        <f t="shared" ca="1" si="136"/>
        <v>0</v>
      </c>
      <c r="AE642" t="str">
        <f t="shared" ca="1" si="137"/>
        <v/>
      </c>
      <c r="AF642" s="6">
        <f t="shared" ca="1" si="138"/>
        <v>0</v>
      </c>
      <c r="AG642">
        <f t="shared" ca="1" si="150"/>
        <v>0</v>
      </c>
      <c r="AH642">
        <f t="shared" ca="1" si="145"/>
        <v>0</v>
      </c>
      <c r="AI642">
        <f t="shared" ca="1" si="146"/>
        <v>0</v>
      </c>
      <c r="AJ642">
        <f t="shared" ca="1" si="147"/>
        <v>0</v>
      </c>
      <c r="AK642">
        <f t="shared" ca="1" si="148"/>
        <v>0</v>
      </c>
      <c r="AL642">
        <f t="shared" ca="1" si="149"/>
        <v>0</v>
      </c>
    </row>
    <row r="643" spans="1:38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#N/A, OFFSET(data!$A$1, ROW()-1, AA$1-1))</f>
        <v>0</v>
      </c>
      <c r="AB643">
        <f t="shared" ref="AB643:AB706" ca="1" si="151">VALUE(LEFT(C643, 4))</f>
        <v>0</v>
      </c>
      <c r="AC643" t="e">
        <f t="shared" ref="AC643:AC706" ca="1" si="152">VALUE(MID(C643, 6, 2))</f>
        <v>#VALUE!</v>
      </c>
      <c r="AD643" t="str">
        <f t="shared" ref="AD643:AD706" ca="1" si="153">SUBSTITUTE(MID(C643,6,6)&amp;LEFT(C643,4), "-", "/")</f>
        <v>0</v>
      </c>
      <c r="AE643" t="str">
        <f t="shared" ref="AE643:AE706" ca="1" si="154">IF(RIGHT(C643, 5)="12:00", AD643, "")</f>
        <v/>
      </c>
      <c r="AF643" s="6">
        <f t="shared" ref="AF643:AF706" ca="1" si="155">Z643/1000</f>
        <v>0</v>
      </c>
      <c r="AG643">
        <f t="shared" ca="1" si="150"/>
        <v>0</v>
      </c>
      <c r="AH643">
        <f t="shared" ca="1" si="145"/>
        <v>0</v>
      </c>
      <c r="AI643">
        <f t="shared" ca="1" si="146"/>
        <v>0</v>
      </c>
      <c r="AJ643">
        <f t="shared" ca="1" si="147"/>
        <v>0</v>
      </c>
      <c r="AK643">
        <f t="shared" ca="1" si="148"/>
        <v>0</v>
      </c>
      <c r="AL643">
        <f t="shared" ca="1" si="149"/>
        <v>0</v>
      </c>
    </row>
    <row r="644" spans="1:38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#N/A, OFFSET(data!$A$1, ROW()-1, AA$1-1))</f>
        <v>0</v>
      </c>
      <c r="AB644">
        <f t="shared" ca="1" si="151"/>
        <v>0</v>
      </c>
      <c r="AC644" t="e">
        <f t="shared" ca="1" si="152"/>
        <v>#VALUE!</v>
      </c>
      <c r="AD644" t="str">
        <f t="shared" ca="1" si="153"/>
        <v>0</v>
      </c>
      <c r="AE644" t="str">
        <f t="shared" ca="1" si="154"/>
        <v/>
      </c>
      <c r="AF644" s="6">
        <f t="shared" ca="1" si="155"/>
        <v>0</v>
      </c>
      <c r="AG644">
        <f t="shared" ca="1" si="150"/>
        <v>0</v>
      </c>
      <c r="AH644">
        <f t="shared" ref="AH644:AH707" ca="1" si="156">MAX(S644,Y644)</f>
        <v>0</v>
      </c>
      <c r="AI644">
        <f t="shared" ref="AI644:AI707" ca="1" si="157">MAX(R644,V644)</f>
        <v>0</v>
      </c>
      <c r="AJ644">
        <f t="shared" ref="AJ644:AJ707" ca="1" si="158">K644+N644</f>
        <v>0</v>
      </c>
      <c r="AK644">
        <f t="shared" ref="AK644:AK707" ca="1" si="159">L644+O644</f>
        <v>0</v>
      </c>
      <c r="AL644">
        <f t="shared" ref="AL644:AL707" ca="1" si="160">M644+P644</f>
        <v>0</v>
      </c>
    </row>
    <row r="645" spans="1:38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#N/A, OFFSET(data!$A$1, ROW()-1, AA$1-1))</f>
        <v>0</v>
      </c>
      <c r="AB645">
        <f t="shared" ca="1" si="151"/>
        <v>0</v>
      </c>
      <c r="AC645" t="e">
        <f t="shared" ca="1" si="152"/>
        <v>#VALUE!</v>
      </c>
      <c r="AD645" t="str">
        <f t="shared" ca="1" si="153"/>
        <v>0</v>
      </c>
      <c r="AE645" t="str">
        <f t="shared" ca="1" si="154"/>
        <v/>
      </c>
      <c r="AF645" s="6">
        <f t="shared" ca="1" si="155"/>
        <v>0</v>
      </c>
      <c r="AG645">
        <f t="shared" ca="1" si="150"/>
        <v>0</v>
      </c>
      <c r="AH645">
        <f t="shared" ca="1" si="156"/>
        <v>0</v>
      </c>
      <c r="AI645">
        <f t="shared" ca="1" si="157"/>
        <v>0</v>
      </c>
      <c r="AJ645">
        <f t="shared" ca="1" si="158"/>
        <v>0</v>
      </c>
      <c r="AK645">
        <f t="shared" ca="1" si="159"/>
        <v>0</v>
      </c>
      <c r="AL645">
        <f t="shared" ca="1" si="160"/>
        <v>0</v>
      </c>
    </row>
    <row r="646" spans="1:38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#N/A, OFFSET(data!$A$1, ROW()-1, AA$1-1))</f>
        <v>0</v>
      </c>
      <c r="AB646">
        <f t="shared" ca="1" si="151"/>
        <v>0</v>
      </c>
      <c r="AC646" t="e">
        <f t="shared" ca="1" si="152"/>
        <v>#VALUE!</v>
      </c>
      <c r="AD646" t="str">
        <f t="shared" ca="1" si="153"/>
        <v>0</v>
      </c>
      <c r="AE646" t="str">
        <f t="shared" ca="1" si="154"/>
        <v/>
      </c>
      <c r="AF646" s="6">
        <f t="shared" ca="1" si="155"/>
        <v>0</v>
      </c>
      <c r="AG646">
        <f t="shared" ca="1" si="150"/>
        <v>0</v>
      </c>
      <c r="AH646">
        <f t="shared" ca="1" si="156"/>
        <v>0</v>
      </c>
      <c r="AI646">
        <f t="shared" ca="1" si="157"/>
        <v>0</v>
      </c>
      <c r="AJ646">
        <f t="shared" ca="1" si="158"/>
        <v>0</v>
      </c>
      <c r="AK646">
        <f t="shared" ca="1" si="159"/>
        <v>0</v>
      </c>
      <c r="AL646">
        <f t="shared" ca="1" si="160"/>
        <v>0</v>
      </c>
    </row>
    <row r="647" spans="1:38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#N/A, OFFSET(data!$A$1, ROW()-1, AA$1-1))</f>
        <v>0</v>
      </c>
      <c r="AB647">
        <f t="shared" ca="1" si="151"/>
        <v>0</v>
      </c>
      <c r="AC647" t="e">
        <f t="shared" ca="1" si="152"/>
        <v>#VALUE!</v>
      </c>
      <c r="AD647" t="str">
        <f t="shared" ca="1" si="153"/>
        <v>0</v>
      </c>
      <c r="AE647" t="str">
        <f t="shared" ca="1" si="154"/>
        <v/>
      </c>
      <c r="AF647" s="6">
        <f t="shared" ca="1" si="155"/>
        <v>0</v>
      </c>
      <c r="AG647">
        <f t="shared" ca="1" si="150"/>
        <v>0</v>
      </c>
      <c r="AH647">
        <f t="shared" ca="1" si="156"/>
        <v>0</v>
      </c>
      <c r="AI647">
        <f t="shared" ca="1" si="157"/>
        <v>0</v>
      </c>
      <c r="AJ647">
        <f t="shared" ca="1" si="158"/>
        <v>0</v>
      </c>
      <c r="AK647">
        <f t="shared" ca="1" si="159"/>
        <v>0</v>
      </c>
      <c r="AL647">
        <f t="shared" ca="1" si="160"/>
        <v>0</v>
      </c>
    </row>
    <row r="648" spans="1:38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#N/A, OFFSET(data!$A$1, ROW()-1, AA$1-1))</f>
        <v>0</v>
      </c>
      <c r="AB648">
        <f t="shared" ca="1" si="151"/>
        <v>0</v>
      </c>
      <c r="AC648" t="e">
        <f t="shared" ca="1" si="152"/>
        <v>#VALUE!</v>
      </c>
      <c r="AD648" t="str">
        <f t="shared" ca="1" si="153"/>
        <v>0</v>
      </c>
      <c r="AE648" t="str">
        <f t="shared" ca="1" si="154"/>
        <v/>
      </c>
      <c r="AF648" s="6">
        <f t="shared" ca="1" si="155"/>
        <v>0</v>
      </c>
      <c r="AG648">
        <f t="shared" ca="1" si="150"/>
        <v>0</v>
      </c>
      <c r="AH648">
        <f t="shared" ca="1" si="156"/>
        <v>0</v>
      </c>
      <c r="AI648">
        <f t="shared" ca="1" si="157"/>
        <v>0</v>
      </c>
      <c r="AJ648">
        <f t="shared" ca="1" si="158"/>
        <v>0</v>
      </c>
      <c r="AK648">
        <f t="shared" ca="1" si="159"/>
        <v>0</v>
      </c>
      <c r="AL648">
        <f t="shared" ca="1" si="160"/>
        <v>0</v>
      </c>
    </row>
    <row r="649" spans="1:38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#N/A, OFFSET(data!$A$1, ROW()-1, AA$1-1))</f>
        <v>0</v>
      </c>
      <c r="AB649">
        <f t="shared" ca="1" si="151"/>
        <v>0</v>
      </c>
      <c r="AC649" t="e">
        <f t="shared" ca="1" si="152"/>
        <v>#VALUE!</v>
      </c>
      <c r="AD649" t="str">
        <f t="shared" ca="1" si="153"/>
        <v>0</v>
      </c>
      <c r="AE649" t="str">
        <f t="shared" ca="1" si="154"/>
        <v/>
      </c>
      <c r="AF649" s="6">
        <f t="shared" ca="1" si="155"/>
        <v>0</v>
      </c>
      <c r="AG649">
        <f t="shared" ca="1" si="150"/>
        <v>0</v>
      </c>
      <c r="AH649">
        <f t="shared" ca="1" si="156"/>
        <v>0</v>
      </c>
      <c r="AI649">
        <f t="shared" ca="1" si="157"/>
        <v>0</v>
      </c>
      <c r="AJ649">
        <f t="shared" ca="1" si="158"/>
        <v>0</v>
      </c>
      <c r="AK649">
        <f t="shared" ca="1" si="159"/>
        <v>0</v>
      </c>
      <c r="AL649">
        <f t="shared" ca="1" si="160"/>
        <v>0</v>
      </c>
    </row>
    <row r="650" spans="1:38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#N/A, OFFSET(data!$A$1, ROW()-1, AA$1-1))</f>
        <v>0</v>
      </c>
      <c r="AB650">
        <f t="shared" ca="1" si="151"/>
        <v>0</v>
      </c>
      <c r="AC650" t="e">
        <f t="shared" ca="1" si="152"/>
        <v>#VALUE!</v>
      </c>
      <c r="AD650" t="str">
        <f t="shared" ca="1" si="153"/>
        <v>0</v>
      </c>
      <c r="AE650" t="str">
        <f t="shared" ca="1" si="154"/>
        <v/>
      </c>
      <c r="AF650" s="6">
        <f t="shared" ca="1" si="155"/>
        <v>0</v>
      </c>
      <c r="AG650">
        <f t="shared" ca="1" si="150"/>
        <v>0</v>
      </c>
      <c r="AH650">
        <f t="shared" ca="1" si="156"/>
        <v>0</v>
      </c>
      <c r="AI650">
        <f t="shared" ca="1" si="157"/>
        <v>0</v>
      </c>
      <c r="AJ650">
        <f t="shared" ca="1" si="158"/>
        <v>0</v>
      </c>
      <c r="AK650">
        <f t="shared" ca="1" si="159"/>
        <v>0</v>
      </c>
      <c r="AL650">
        <f t="shared" ca="1" si="160"/>
        <v>0</v>
      </c>
    </row>
    <row r="651" spans="1:38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#N/A, OFFSET(data!$A$1, ROW()-1, AA$1-1))</f>
        <v>0</v>
      </c>
      <c r="AB651">
        <f t="shared" ca="1" si="151"/>
        <v>0</v>
      </c>
      <c r="AC651" t="e">
        <f t="shared" ca="1" si="152"/>
        <v>#VALUE!</v>
      </c>
      <c r="AD651" t="str">
        <f t="shared" ca="1" si="153"/>
        <v>0</v>
      </c>
      <c r="AE651" t="str">
        <f t="shared" ca="1" si="154"/>
        <v/>
      </c>
      <c r="AF651" s="6">
        <f t="shared" ca="1" si="155"/>
        <v>0</v>
      </c>
      <c r="AG651">
        <f t="shared" ca="1" si="150"/>
        <v>0</v>
      </c>
      <c r="AH651">
        <f t="shared" ca="1" si="156"/>
        <v>0</v>
      </c>
      <c r="AI651">
        <f t="shared" ca="1" si="157"/>
        <v>0</v>
      </c>
      <c r="AJ651">
        <f t="shared" ca="1" si="158"/>
        <v>0</v>
      </c>
      <c r="AK651">
        <f t="shared" ca="1" si="159"/>
        <v>0</v>
      </c>
      <c r="AL651">
        <f t="shared" ca="1" si="160"/>
        <v>0</v>
      </c>
    </row>
    <row r="652" spans="1:38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#N/A, OFFSET(data!$A$1, ROW()-1, AA$1-1))</f>
        <v>0</v>
      </c>
      <c r="AB652">
        <f t="shared" ca="1" si="151"/>
        <v>0</v>
      </c>
      <c r="AC652" t="e">
        <f t="shared" ca="1" si="152"/>
        <v>#VALUE!</v>
      </c>
      <c r="AD652" t="str">
        <f t="shared" ca="1" si="153"/>
        <v>0</v>
      </c>
      <c r="AE652" t="str">
        <f t="shared" ca="1" si="154"/>
        <v/>
      </c>
      <c r="AF652" s="6">
        <f t="shared" ca="1" si="155"/>
        <v>0</v>
      </c>
      <c r="AG652">
        <f t="shared" ca="1" si="150"/>
        <v>0</v>
      </c>
      <c r="AH652">
        <f t="shared" ca="1" si="156"/>
        <v>0</v>
      </c>
      <c r="AI652">
        <f t="shared" ca="1" si="157"/>
        <v>0</v>
      </c>
      <c r="AJ652">
        <f t="shared" ca="1" si="158"/>
        <v>0</v>
      </c>
      <c r="AK652">
        <f t="shared" ca="1" si="159"/>
        <v>0</v>
      </c>
      <c r="AL652">
        <f t="shared" ca="1" si="160"/>
        <v>0</v>
      </c>
    </row>
    <row r="653" spans="1:38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#N/A, OFFSET(data!$A$1, ROW()-1, AA$1-1))</f>
        <v>0</v>
      </c>
      <c r="AB653">
        <f t="shared" ca="1" si="151"/>
        <v>0</v>
      </c>
      <c r="AC653" t="e">
        <f t="shared" ca="1" si="152"/>
        <v>#VALUE!</v>
      </c>
      <c r="AD653" t="str">
        <f t="shared" ca="1" si="153"/>
        <v>0</v>
      </c>
      <c r="AE653" t="str">
        <f t="shared" ca="1" si="154"/>
        <v/>
      </c>
      <c r="AF653" s="6">
        <f t="shared" ca="1" si="155"/>
        <v>0</v>
      </c>
      <c r="AG653">
        <f t="shared" ca="1" si="150"/>
        <v>0</v>
      </c>
      <c r="AH653">
        <f t="shared" ca="1" si="156"/>
        <v>0</v>
      </c>
      <c r="AI653">
        <f t="shared" ca="1" si="157"/>
        <v>0</v>
      </c>
      <c r="AJ653">
        <f t="shared" ca="1" si="158"/>
        <v>0</v>
      </c>
      <c r="AK653">
        <f t="shared" ca="1" si="159"/>
        <v>0</v>
      </c>
      <c r="AL653">
        <f t="shared" ca="1" si="160"/>
        <v>0</v>
      </c>
    </row>
    <row r="654" spans="1:38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#N/A, OFFSET(data!$A$1, ROW()-1, AA$1-1))</f>
        <v>0</v>
      </c>
      <c r="AB654">
        <f t="shared" ca="1" si="151"/>
        <v>0</v>
      </c>
      <c r="AC654" t="e">
        <f t="shared" ca="1" si="152"/>
        <v>#VALUE!</v>
      </c>
      <c r="AD654" t="str">
        <f t="shared" ca="1" si="153"/>
        <v>0</v>
      </c>
      <c r="AE654" t="str">
        <f t="shared" ca="1" si="154"/>
        <v/>
      </c>
      <c r="AF654" s="6">
        <f t="shared" ca="1" si="155"/>
        <v>0</v>
      </c>
      <c r="AG654">
        <f t="shared" ca="1" si="150"/>
        <v>0</v>
      </c>
      <c r="AH654">
        <f t="shared" ca="1" si="156"/>
        <v>0</v>
      </c>
      <c r="AI654">
        <f t="shared" ca="1" si="157"/>
        <v>0</v>
      </c>
      <c r="AJ654">
        <f t="shared" ca="1" si="158"/>
        <v>0</v>
      </c>
      <c r="AK654">
        <f t="shared" ca="1" si="159"/>
        <v>0</v>
      </c>
      <c r="AL654">
        <f t="shared" ca="1" si="160"/>
        <v>0</v>
      </c>
    </row>
    <row r="655" spans="1:38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#N/A, OFFSET(data!$A$1, ROW()-1, AA$1-1))</f>
        <v>0</v>
      </c>
      <c r="AB655">
        <f t="shared" ca="1" si="151"/>
        <v>0</v>
      </c>
      <c r="AC655" t="e">
        <f t="shared" ca="1" si="152"/>
        <v>#VALUE!</v>
      </c>
      <c r="AD655" t="str">
        <f t="shared" ca="1" si="153"/>
        <v>0</v>
      </c>
      <c r="AE655" t="str">
        <f t="shared" ca="1" si="154"/>
        <v/>
      </c>
      <c r="AF655" s="6">
        <f t="shared" ca="1" si="155"/>
        <v>0</v>
      </c>
      <c r="AG655">
        <f t="shared" ca="1" si="150"/>
        <v>0</v>
      </c>
      <c r="AH655">
        <f t="shared" ca="1" si="156"/>
        <v>0</v>
      </c>
      <c r="AI655">
        <f t="shared" ca="1" si="157"/>
        <v>0</v>
      </c>
      <c r="AJ655">
        <f t="shared" ca="1" si="158"/>
        <v>0</v>
      </c>
      <c r="AK655">
        <f t="shared" ca="1" si="159"/>
        <v>0</v>
      </c>
      <c r="AL655">
        <f t="shared" ca="1" si="160"/>
        <v>0</v>
      </c>
    </row>
    <row r="656" spans="1:38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#N/A, OFFSET(data!$A$1, ROW()-1, AA$1-1))</f>
        <v>0</v>
      </c>
      <c r="AB656">
        <f t="shared" ca="1" si="151"/>
        <v>0</v>
      </c>
      <c r="AC656" t="e">
        <f t="shared" ca="1" si="152"/>
        <v>#VALUE!</v>
      </c>
      <c r="AD656" t="str">
        <f t="shared" ca="1" si="153"/>
        <v>0</v>
      </c>
      <c r="AE656" t="str">
        <f t="shared" ca="1" si="154"/>
        <v/>
      </c>
      <c r="AF656" s="6">
        <f t="shared" ca="1" si="155"/>
        <v>0</v>
      </c>
      <c r="AG656">
        <f t="shared" ca="1" si="150"/>
        <v>0</v>
      </c>
      <c r="AH656">
        <f t="shared" ca="1" si="156"/>
        <v>0</v>
      </c>
      <c r="AI656">
        <f t="shared" ca="1" si="157"/>
        <v>0</v>
      </c>
      <c r="AJ656">
        <f t="shared" ca="1" si="158"/>
        <v>0</v>
      </c>
      <c r="AK656">
        <f t="shared" ca="1" si="159"/>
        <v>0</v>
      </c>
      <c r="AL656">
        <f t="shared" ca="1" si="160"/>
        <v>0</v>
      </c>
    </row>
    <row r="657" spans="1:38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#N/A, OFFSET(data!$A$1, ROW()-1, AA$1-1))</f>
        <v>0</v>
      </c>
      <c r="AB657">
        <f t="shared" ca="1" si="151"/>
        <v>0</v>
      </c>
      <c r="AC657" t="e">
        <f t="shared" ca="1" si="152"/>
        <v>#VALUE!</v>
      </c>
      <c r="AD657" t="str">
        <f t="shared" ca="1" si="153"/>
        <v>0</v>
      </c>
      <c r="AE657" t="str">
        <f t="shared" ca="1" si="154"/>
        <v/>
      </c>
      <c r="AF657" s="6">
        <f t="shared" ca="1" si="155"/>
        <v>0</v>
      </c>
      <c r="AG657">
        <f t="shared" ca="1" si="150"/>
        <v>0</v>
      </c>
      <c r="AH657">
        <f t="shared" ca="1" si="156"/>
        <v>0</v>
      </c>
      <c r="AI657">
        <f t="shared" ca="1" si="157"/>
        <v>0</v>
      </c>
      <c r="AJ657">
        <f t="shared" ca="1" si="158"/>
        <v>0</v>
      </c>
      <c r="AK657">
        <f t="shared" ca="1" si="159"/>
        <v>0</v>
      </c>
      <c r="AL657">
        <f t="shared" ca="1" si="160"/>
        <v>0</v>
      </c>
    </row>
    <row r="658" spans="1:38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#N/A, OFFSET(data!$A$1, ROW()-1, AA$1-1))</f>
        <v>0</v>
      </c>
      <c r="AB658">
        <f t="shared" ca="1" si="151"/>
        <v>0</v>
      </c>
      <c r="AC658" t="e">
        <f t="shared" ca="1" si="152"/>
        <v>#VALUE!</v>
      </c>
      <c r="AD658" t="str">
        <f t="shared" ca="1" si="153"/>
        <v>0</v>
      </c>
      <c r="AE658" t="str">
        <f t="shared" ca="1" si="154"/>
        <v/>
      </c>
      <c r="AF658" s="6">
        <f t="shared" ca="1" si="155"/>
        <v>0</v>
      </c>
      <c r="AG658">
        <f t="shared" ca="1" si="150"/>
        <v>0</v>
      </c>
      <c r="AH658">
        <f t="shared" ca="1" si="156"/>
        <v>0</v>
      </c>
      <c r="AI658">
        <f t="shared" ca="1" si="157"/>
        <v>0</v>
      </c>
      <c r="AJ658">
        <f t="shared" ca="1" si="158"/>
        <v>0</v>
      </c>
      <c r="AK658">
        <f t="shared" ca="1" si="159"/>
        <v>0</v>
      </c>
      <c r="AL658">
        <f t="shared" ca="1" si="160"/>
        <v>0</v>
      </c>
    </row>
    <row r="659" spans="1:38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#N/A, OFFSET(data!$A$1, ROW()-1, AA$1-1))</f>
        <v>0</v>
      </c>
      <c r="AB659">
        <f t="shared" ca="1" si="151"/>
        <v>0</v>
      </c>
      <c r="AC659" t="e">
        <f t="shared" ca="1" si="152"/>
        <v>#VALUE!</v>
      </c>
      <c r="AD659" t="str">
        <f t="shared" ca="1" si="153"/>
        <v>0</v>
      </c>
      <c r="AE659" t="str">
        <f t="shared" ca="1" si="154"/>
        <v/>
      </c>
      <c r="AF659" s="6">
        <f t="shared" ca="1" si="155"/>
        <v>0</v>
      </c>
      <c r="AG659">
        <f t="shared" ca="1" si="150"/>
        <v>0</v>
      </c>
      <c r="AH659">
        <f t="shared" ca="1" si="156"/>
        <v>0</v>
      </c>
      <c r="AI659">
        <f t="shared" ca="1" si="157"/>
        <v>0</v>
      </c>
      <c r="AJ659">
        <f t="shared" ca="1" si="158"/>
        <v>0</v>
      </c>
      <c r="AK659">
        <f t="shared" ca="1" si="159"/>
        <v>0</v>
      </c>
      <c r="AL659">
        <f t="shared" ca="1" si="160"/>
        <v>0</v>
      </c>
    </row>
    <row r="660" spans="1:38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#N/A, OFFSET(data!$A$1, ROW()-1, AA$1-1))</f>
        <v>0</v>
      </c>
      <c r="AB660">
        <f t="shared" ca="1" si="151"/>
        <v>0</v>
      </c>
      <c r="AC660" t="e">
        <f t="shared" ca="1" si="152"/>
        <v>#VALUE!</v>
      </c>
      <c r="AD660" t="str">
        <f t="shared" ca="1" si="153"/>
        <v>0</v>
      </c>
      <c r="AE660" t="str">
        <f t="shared" ca="1" si="154"/>
        <v/>
      </c>
      <c r="AF660" s="6">
        <f t="shared" ca="1" si="155"/>
        <v>0</v>
      </c>
      <c r="AG660">
        <f t="shared" ca="1" si="150"/>
        <v>0</v>
      </c>
      <c r="AH660">
        <f t="shared" ca="1" si="156"/>
        <v>0</v>
      </c>
      <c r="AI660">
        <f t="shared" ca="1" si="157"/>
        <v>0</v>
      </c>
      <c r="AJ660">
        <f t="shared" ca="1" si="158"/>
        <v>0</v>
      </c>
      <c r="AK660">
        <f t="shared" ca="1" si="159"/>
        <v>0</v>
      </c>
      <c r="AL660">
        <f t="shared" ca="1" si="160"/>
        <v>0</v>
      </c>
    </row>
    <row r="661" spans="1:38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#N/A, OFFSET(data!$A$1, ROW()-1, AA$1-1))</f>
        <v>0</v>
      </c>
      <c r="AB661">
        <f t="shared" ca="1" si="151"/>
        <v>0</v>
      </c>
      <c r="AC661" t="e">
        <f t="shared" ca="1" si="152"/>
        <v>#VALUE!</v>
      </c>
      <c r="AD661" t="str">
        <f t="shared" ca="1" si="153"/>
        <v>0</v>
      </c>
      <c r="AE661" t="str">
        <f t="shared" ca="1" si="154"/>
        <v/>
      </c>
      <c r="AF661" s="6">
        <f t="shared" ca="1" si="155"/>
        <v>0</v>
      </c>
      <c r="AG661">
        <f t="shared" ca="1" si="150"/>
        <v>0</v>
      </c>
      <c r="AH661">
        <f t="shared" ca="1" si="156"/>
        <v>0</v>
      </c>
      <c r="AI661">
        <f t="shared" ca="1" si="157"/>
        <v>0</v>
      </c>
      <c r="AJ661">
        <f t="shared" ca="1" si="158"/>
        <v>0</v>
      </c>
      <c r="AK661">
        <f t="shared" ca="1" si="159"/>
        <v>0</v>
      </c>
      <c r="AL661">
        <f t="shared" ca="1" si="160"/>
        <v>0</v>
      </c>
    </row>
    <row r="662" spans="1:38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#N/A, OFFSET(data!$A$1, ROW()-1, AA$1-1))</f>
        <v>0</v>
      </c>
      <c r="AB662">
        <f t="shared" ca="1" si="151"/>
        <v>0</v>
      </c>
      <c r="AC662" t="e">
        <f t="shared" ca="1" si="152"/>
        <v>#VALUE!</v>
      </c>
      <c r="AD662" t="str">
        <f t="shared" ca="1" si="153"/>
        <v>0</v>
      </c>
      <c r="AE662" t="str">
        <f t="shared" ca="1" si="154"/>
        <v/>
      </c>
      <c r="AF662" s="6">
        <f t="shared" ca="1" si="155"/>
        <v>0</v>
      </c>
      <c r="AG662">
        <f t="shared" ca="1" si="150"/>
        <v>0</v>
      </c>
      <c r="AH662">
        <f t="shared" ca="1" si="156"/>
        <v>0</v>
      </c>
      <c r="AI662">
        <f t="shared" ca="1" si="157"/>
        <v>0</v>
      </c>
      <c r="AJ662">
        <f t="shared" ca="1" si="158"/>
        <v>0</v>
      </c>
      <c r="AK662">
        <f t="shared" ca="1" si="159"/>
        <v>0</v>
      </c>
      <c r="AL662">
        <f t="shared" ca="1" si="160"/>
        <v>0</v>
      </c>
    </row>
    <row r="663" spans="1:38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#N/A, OFFSET(data!$A$1, ROW()-1, AA$1-1))</f>
        <v>0</v>
      </c>
      <c r="AB663">
        <f t="shared" ca="1" si="151"/>
        <v>0</v>
      </c>
      <c r="AC663" t="e">
        <f t="shared" ca="1" si="152"/>
        <v>#VALUE!</v>
      </c>
      <c r="AD663" t="str">
        <f t="shared" ca="1" si="153"/>
        <v>0</v>
      </c>
      <c r="AE663" t="str">
        <f t="shared" ca="1" si="154"/>
        <v/>
      </c>
      <c r="AF663" s="6">
        <f t="shared" ca="1" si="155"/>
        <v>0</v>
      </c>
      <c r="AG663">
        <f t="shared" ca="1" si="150"/>
        <v>0</v>
      </c>
      <c r="AH663">
        <f t="shared" ca="1" si="156"/>
        <v>0</v>
      </c>
      <c r="AI663">
        <f t="shared" ca="1" si="157"/>
        <v>0</v>
      </c>
      <c r="AJ663">
        <f t="shared" ca="1" si="158"/>
        <v>0</v>
      </c>
      <c r="AK663">
        <f t="shared" ca="1" si="159"/>
        <v>0</v>
      </c>
      <c r="AL663">
        <f t="shared" ca="1" si="160"/>
        <v>0</v>
      </c>
    </row>
    <row r="664" spans="1:38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#N/A, OFFSET(data!$A$1, ROW()-1, AA$1-1))</f>
        <v>0</v>
      </c>
      <c r="AB664">
        <f t="shared" ca="1" si="151"/>
        <v>0</v>
      </c>
      <c r="AC664" t="e">
        <f t="shared" ca="1" si="152"/>
        <v>#VALUE!</v>
      </c>
      <c r="AD664" t="str">
        <f t="shared" ca="1" si="153"/>
        <v>0</v>
      </c>
      <c r="AE664" t="str">
        <f t="shared" ca="1" si="154"/>
        <v/>
      </c>
      <c r="AF664" s="6">
        <f t="shared" ca="1" si="155"/>
        <v>0</v>
      </c>
      <c r="AG664">
        <f t="shared" ca="1" si="150"/>
        <v>0</v>
      </c>
      <c r="AH664">
        <f t="shared" ca="1" si="156"/>
        <v>0</v>
      </c>
      <c r="AI664">
        <f t="shared" ca="1" si="157"/>
        <v>0</v>
      </c>
      <c r="AJ664">
        <f t="shared" ca="1" si="158"/>
        <v>0</v>
      </c>
      <c r="AK664">
        <f t="shared" ca="1" si="159"/>
        <v>0</v>
      </c>
      <c r="AL664">
        <f t="shared" ca="1" si="160"/>
        <v>0</v>
      </c>
    </row>
    <row r="665" spans="1:38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#N/A, OFFSET(data!$A$1, ROW()-1, AA$1-1))</f>
        <v>0</v>
      </c>
      <c r="AB665">
        <f t="shared" ca="1" si="151"/>
        <v>0</v>
      </c>
      <c r="AC665" t="e">
        <f t="shared" ca="1" si="152"/>
        <v>#VALUE!</v>
      </c>
      <c r="AD665" t="str">
        <f t="shared" ca="1" si="153"/>
        <v>0</v>
      </c>
      <c r="AE665" t="str">
        <f t="shared" ca="1" si="154"/>
        <v/>
      </c>
      <c r="AF665" s="6">
        <f t="shared" ca="1" si="155"/>
        <v>0</v>
      </c>
      <c r="AG665">
        <f t="shared" ca="1" si="150"/>
        <v>0</v>
      </c>
      <c r="AH665">
        <f t="shared" ca="1" si="156"/>
        <v>0</v>
      </c>
      <c r="AI665">
        <f t="shared" ca="1" si="157"/>
        <v>0</v>
      </c>
      <c r="AJ665">
        <f t="shared" ca="1" si="158"/>
        <v>0</v>
      </c>
      <c r="AK665">
        <f t="shared" ca="1" si="159"/>
        <v>0</v>
      </c>
      <c r="AL665">
        <f t="shared" ca="1" si="160"/>
        <v>0</v>
      </c>
    </row>
    <row r="666" spans="1:38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#N/A, OFFSET(data!$A$1, ROW()-1, AA$1-1))</f>
        <v>0</v>
      </c>
      <c r="AB666">
        <f t="shared" ca="1" si="151"/>
        <v>0</v>
      </c>
      <c r="AC666" t="e">
        <f t="shared" ca="1" si="152"/>
        <v>#VALUE!</v>
      </c>
      <c r="AD666" t="str">
        <f t="shared" ca="1" si="153"/>
        <v>0</v>
      </c>
      <c r="AE666" t="str">
        <f t="shared" ca="1" si="154"/>
        <v/>
      </c>
      <c r="AF666" s="6">
        <f t="shared" ca="1" si="155"/>
        <v>0</v>
      </c>
      <c r="AG666">
        <f t="shared" ca="1" si="150"/>
        <v>0</v>
      </c>
      <c r="AH666">
        <f t="shared" ca="1" si="156"/>
        <v>0</v>
      </c>
      <c r="AI666">
        <f t="shared" ca="1" si="157"/>
        <v>0</v>
      </c>
      <c r="AJ666">
        <f t="shared" ca="1" si="158"/>
        <v>0</v>
      </c>
      <c r="AK666">
        <f t="shared" ca="1" si="159"/>
        <v>0</v>
      </c>
      <c r="AL666">
        <f t="shared" ca="1" si="160"/>
        <v>0</v>
      </c>
    </row>
    <row r="667" spans="1:38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#N/A, OFFSET(data!$A$1, ROW()-1, AA$1-1))</f>
        <v>0</v>
      </c>
      <c r="AB667">
        <f t="shared" ca="1" si="151"/>
        <v>0</v>
      </c>
      <c r="AC667" t="e">
        <f t="shared" ca="1" si="152"/>
        <v>#VALUE!</v>
      </c>
      <c r="AD667" t="str">
        <f t="shared" ca="1" si="153"/>
        <v>0</v>
      </c>
      <c r="AE667" t="str">
        <f t="shared" ca="1" si="154"/>
        <v/>
      </c>
      <c r="AF667" s="6">
        <f t="shared" ca="1" si="155"/>
        <v>0</v>
      </c>
      <c r="AG667">
        <f t="shared" ca="1" si="150"/>
        <v>0</v>
      </c>
      <c r="AH667">
        <f t="shared" ca="1" si="156"/>
        <v>0</v>
      </c>
      <c r="AI667">
        <f t="shared" ca="1" si="157"/>
        <v>0</v>
      </c>
      <c r="AJ667">
        <f t="shared" ca="1" si="158"/>
        <v>0</v>
      </c>
      <c r="AK667">
        <f t="shared" ca="1" si="159"/>
        <v>0</v>
      </c>
      <c r="AL667">
        <f t="shared" ca="1" si="160"/>
        <v>0</v>
      </c>
    </row>
    <row r="668" spans="1:38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#N/A, OFFSET(data!$A$1, ROW()-1, AA$1-1))</f>
        <v>0</v>
      </c>
      <c r="AB668">
        <f t="shared" ca="1" si="151"/>
        <v>0</v>
      </c>
      <c r="AC668" t="e">
        <f t="shared" ca="1" si="152"/>
        <v>#VALUE!</v>
      </c>
      <c r="AD668" t="str">
        <f t="shared" ca="1" si="153"/>
        <v>0</v>
      </c>
      <c r="AE668" t="str">
        <f t="shared" ca="1" si="154"/>
        <v/>
      </c>
      <c r="AF668" s="6">
        <f t="shared" ca="1" si="155"/>
        <v>0</v>
      </c>
      <c r="AG668">
        <f t="shared" ca="1" si="150"/>
        <v>0</v>
      </c>
      <c r="AH668">
        <f t="shared" ca="1" si="156"/>
        <v>0</v>
      </c>
      <c r="AI668">
        <f t="shared" ca="1" si="157"/>
        <v>0</v>
      </c>
      <c r="AJ668">
        <f t="shared" ca="1" si="158"/>
        <v>0</v>
      </c>
      <c r="AK668">
        <f t="shared" ca="1" si="159"/>
        <v>0</v>
      </c>
      <c r="AL668">
        <f t="shared" ca="1" si="160"/>
        <v>0</v>
      </c>
    </row>
    <row r="669" spans="1:38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#N/A, OFFSET(data!$A$1, ROW()-1, AA$1-1))</f>
        <v>0</v>
      </c>
      <c r="AB669">
        <f t="shared" ca="1" si="151"/>
        <v>0</v>
      </c>
      <c r="AC669" t="e">
        <f t="shared" ca="1" si="152"/>
        <v>#VALUE!</v>
      </c>
      <c r="AD669" t="str">
        <f t="shared" ca="1" si="153"/>
        <v>0</v>
      </c>
      <c r="AE669" t="str">
        <f t="shared" ca="1" si="154"/>
        <v/>
      </c>
      <c r="AF669" s="6">
        <f t="shared" ca="1" si="155"/>
        <v>0</v>
      </c>
      <c r="AG669">
        <f t="shared" ca="1" si="150"/>
        <v>0</v>
      </c>
      <c r="AH669">
        <f t="shared" ca="1" si="156"/>
        <v>0</v>
      </c>
      <c r="AI669">
        <f t="shared" ca="1" si="157"/>
        <v>0</v>
      </c>
      <c r="AJ669">
        <f t="shared" ca="1" si="158"/>
        <v>0</v>
      </c>
      <c r="AK669">
        <f t="shared" ca="1" si="159"/>
        <v>0</v>
      </c>
      <c r="AL669">
        <f t="shared" ca="1" si="160"/>
        <v>0</v>
      </c>
    </row>
    <row r="670" spans="1:38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#N/A, OFFSET(data!$A$1, ROW()-1, AA$1-1))</f>
        <v>0</v>
      </c>
      <c r="AB670">
        <f t="shared" ca="1" si="151"/>
        <v>0</v>
      </c>
      <c r="AC670" t="e">
        <f t="shared" ca="1" si="152"/>
        <v>#VALUE!</v>
      </c>
      <c r="AD670" t="str">
        <f t="shared" ca="1" si="153"/>
        <v>0</v>
      </c>
      <c r="AE670" t="str">
        <f t="shared" ca="1" si="154"/>
        <v/>
      </c>
      <c r="AF670" s="6">
        <f t="shared" ca="1" si="155"/>
        <v>0</v>
      </c>
      <c r="AG670">
        <f t="shared" ca="1" si="150"/>
        <v>0</v>
      </c>
      <c r="AH670">
        <f t="shared" ca="1" si="156"/>
        <v>0</v>
      </c>
      <c r="AI670">
        <f t="shared" ca="1" si="157"/>
        <v>0</v>
      </c>
      <c r="AJ670">
        <f t="shared" ca="1" si="158"/>
        <v>0</v>
      </c>
      <c r="AK670">
        <f t="shared" ca="1" si="159"/>
        <v>0</v>
      </c>
      <c r="AL670">
        <f t="shared" ca="1" si="160"/>
        <v>0</v>
      </c>
    </row>
    <row r="671" spans="1:38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#N/A, OFFSET(data!$A$1, ROW()-1, AA$1-1))</f>
        <v>0</v>
      </c>
      <c r="AB671">
        <f t="shared" ca="1" si="151"/>
        <v>0</v>
      </c>
      <c r="AC671" t="e">
        <f t="shared" ca="1" si="152"/>
        <v>#VALUE!</v>
      </c>
      <c r="AD671" t="str">
        <f t="shared" ca="1" si="153"/>
        <v>0</v>
      </c>
      <c r="AE671" t="str">
        <f t="shared" ca="1" si="154"/>
        <v/>
      </c>
      <c r="AF671" s="6">
        <f t="shared" ca="1" si="155"/>
        <v>0</v>
      </c>
      <c r="AG671">
        <f t="shared" ca="1" si="150"/>
        <v>0</v>
      </c>
      <c r="AH671">
        <f t="shared" ca="1" si="156"/>
        <v>0</v>
      </c>
      <c r="AI671">
        <f t="shared" ca="1" si="157"/>
        <v>0</v>
      </c>
      <c r="AJ671">
        <f t="shared" ca="1" si="158"/>
        <v>0</v>
      </c>
      <c r="AK671">
        <f t="shared" ca="1" si="159"/>
        <v>0</v>
      </c>
      <c r="AL671">
        <f t="shared" ca="1" si="160"/>
        <v>0</v>
      </c>
    </row>
    <row r="672" spans="1:38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#N/A, OFFSET(data!$A$1, ROW()-1, AA$1-1))</f>
        <v>0</v>
      </c>
      <c r="AB672">
        <f t="shared" ca="1" si="151"/>
        <v>0</v>
      </c>
      <c r="AC672" t="e">
        <f t="shared" ca="1" si="152"/>
        <v>#VALUE!</v>
      </c>
      <c r="AD672" t="str">
        <f t="shared" ca="1" si="153"/>
        <v>0</v>
      </c>
      <c r="AE672" t="str">
        <f t="shared" ca="1" si="154"/>
        <v/>
      </c>
      <c r="AF672" s="6">
        <f t="shared" ca="1" si="155"/>
        <v>0</v>
      </c>
      <c r="AG672">
        <f t="shared" ca="1" si="150"/>
        <v>0</v>
      </c>
      <c r="AH672">
        <f t="shared" ca="1" si="156"/>
        <v>0</v>
      </c>
      <c r="AI672">
        <f t="shared" ca="1" si="157"/>
        <v>0</v>
      </c>
      <c r="AJ672">
        <f t="shared" ca="1" si="158"/>
        <v>0</v>
      </c>
      <c r="AK672">
        <f t="shared" ca="1" si="159"/>
        <v>0</v>
      </c>
      <c r="AL672">
        <f t="shared" ca="1" si="160"/>
        <v>0</v>
      </c>
    </row>
    <row r="673" spans="1:38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#N/A, OFFSET(data!$A$1, ROW()-1, AA$1-1))</f>
        <v>0</v>
      </c>
      <c r="AB673">
        <f t="shared" ca="1" si="151"/>
        <v>0</v>
      </c>
      <c r="AC673" t="e">
        <f t="shared" ca="1" si="152"/>
        <v>#VALUE!</v>
      </c>
      <c r="AD673" t="str">
        <f t="shared" ca="1" si="153"/>
        <v>0</v>
      </c>
      <c r="AE673" t="str">
        <f t="shared" ca="1" si="154"/>
        <v/>
      </c>
      <c r="AF673" s="6">
        <f t="shared" ca="1" si="155"/>
        <v>0</v>
      </c>
      <c r="AG673">
        <f t="shared" ca="1" si="150"/>
        <v>0</v>
      </c>
      <c r="AH673">
        <f t="shared" ca="1" si="156"/>
        <v>0</v>
      </c>
      <c r="AI673">
        <f t="shared" ca="1" si="157"/>
        <v>0</v>
      </c>
      <c r="AJ673">
        <f t="shared" ca="1" si="158"/>
        <v>0</v>
      </c>
      <c r="AK673">
        <f t="shared" ca="1" si="159"/>
        <v>0</v>
      </c>
      <c r="AL673">
        <f t="shared" ca="1" si="160"/>
        <v>0</v>
      </c>
    </row>
    <row r="674" spans="1:38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#N/A, OFFSET(data!$A$1, ROW()-1, AA$1-1))</f>
        <v>0</v>
      </c>
      <c r="AB674">
        <f t="shared" ca="1" si="151"/>
        <v>0</v>
      </c>
      <c r="AC674" t="e">
        <f t="shared" ca="1" si="152"/>
        <v>#VALUE!</v>
      </c>
      <c r="AD674" t="str">
        <f t="shared" ca="1" si="153"/>
        <v>0</v>
      </c>
      <c r="AE674" t="str">
        <f t="shared" ca="1" si="154"/>
        <v/>
      </c>
      <c r="AF674" s="6">
        <f t="shared" ca="1" si="155"/>
        <v>0</v>
      </c>
      <c r="AG674">
        <f t="shared" ca="1" si="150"/>
        <v>0</v>
      </c>
      <c r="AH674">
        <f t="shared" ca="1" si="156"/>
        <v>0</v>
      </c>
      <c r="AI674">
        <f t="shared" ca="1" si="157"/>
        <v>0</v>
      </c>
      <c r="AJ674">
        <f t="shared" ca="1" si="158"/>
        <v>0</v>
      </c>
      <c r="AK674">
        <f t="shared" ca="1" si="159"/>
        <v>0</v>
      </c>
      <c r="AL674">
        <f t="shared" ca="1" si="160"/>
        <v>0</v>
      </c>
    </row>
    <row r="675" spans="1:38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#N/A, OFFSET(data!$A$1, ROW()-1, AA$1-1))</f>
        <v>0</v>
      </c>
      <c r="AB675">
        <f t="shared" ca="1" si="151"/>
        <v>0</v>
      </c>
      <c r="AC675" t="e">
        <f t="shared" ca="1" si="152"/>
        <v>#VALUE!</v>
      </c>
      <c r="AD675" t="str">
        <f t="shared" ca="1" si="153"/>
        <v>0</v>
      </c>
      <c r="AE675" t="str">
        <f t="shared" ca="1" si="154"/>
        <v/>
      </c>
      <c r="AF675" s="6">
        <f t="shared" ca="1" si="155"/>
        <v>0</v>
      </c>
      <c r="AG675">
        <f t="shared" ca="1" si="150"/>
        <v>0</v>
      </c>
      <c r="AH675">
        <f t="shared" ca="1" si="156"/>
        <v>0</v>
      </c>
      <c r="AI675">
        <f t="shared" ca="1" si="157"/>
        <v>0</v>
      </c>
      <c r="AJ675">
        <f t="shared" ca="1" si="158"/>
        <v>0</v>
      </c>
      <c r="AK675">
        <f t="shared" ca="1" si="159"/>
        <v>0</v>
      </c>
      <c r="AL675">
        <f t="shared" ca="1" si="160"/>
        <v>0</v>
      </c>
    </row>
    <row r="676" spans="1:38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#N/A, OFFSET(data!$A$1, ROW()-1, AA$1-1))</f>
        <v>0</v>
      </c>
      <c r="AB676">
        <f t="shared" ca="1" si="151"/>
        <v>0</v>
      </c>
      <c r="AC676" t="e">
        <f t="shared" ca="1" si="152"/>
        <v>#VALUE!</v>
      </c>
      <c r="AD676" t="str">
        <f t="shared" ca="1" si="153"/>
        <v>0</v>
      </c>
      <c r="AE676" t="str">
        <f t="shared" ca="1" si="154"/>
        <v/>
      </c>
      <c r="AF676" s="6">
        <f t="shared" ca="1" si="155"/>
        <v>0</v>
      </c>
      <c r="AG676">
        <f t="shared" ca="1" si="150"/>
        <v>0</v>
      </c>
      <c r="AH676">
        <f t="shared" ca="1" si="156"/>
        <v>0</v>
      </c>
      <c r="AI676">
        <f t="shared" ca="1" si="157"/>
        <v>0</v>
      </c>
      <c r="AJ676">
        <f t="shared" ca="1" si="158"/>
        <v>0</v>
      </c>
      <c r="AK676">
        <f t="shared" ca="1" si="159"/>
        <v>0</v>
      </c>
      <c r="AL676">
        <f t="shared" ca="1" si="160"/>
        <v>0</v>
      </c>
    </row>
    <row r="677" spans="1:38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#N/A, OFFSET(data!$A$1, ROW()-1, AA$1-1))</f>
        <v>0</v>
      </c>
      <c r="AB677">
        <f t="shared" ca="1" si="151"/>
        <v>0</v>
      </c>
      <c r="AC677" t="e">
        <f t="shared" ca="1" si="152"/>
        <v>#VALUE!</v>
      </c>
      <c r="AD677" t="str">
        <f t="shared" ca="1" si="153"/>
        <v>0</v>
      </c>
      <c r="AE677" t="str">
        <f t="shared" ca="1" si="154"/>
        <v/>
      </c>
      <c r="AF677" s="6">
        <f t="shared" ca="1" si="155"/>
        <v>0</v>
      </c>
      <c r="AG677">
        <f t="shared" ca="1" si="150"/>
        <v>0</v>
      </c>
      <c r="AH677">
        <f t="shared" ca="1" si="156"/>
        <v>0</v>
      </c>
      <c r="AI677">
        <f t="shared" ca="1" si="157"/>
        <v>0</v>
      </c>
      <c r="AJ677">
        <f t="shared" ca="1" si="158"/>
        <v>0</v>
      </c>
      <c r="AK677">
        <f t="shared" ca="1" si="159"/>
        <v>0</v>
      </c>
      <c r="AL677">
        <f t="shared" ca="1" si="160"/>
        <v>0</v>
      </c>
    </row>
    <row r="678" spans="1:38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#N/A, OFFSET(data!$A$1, ROW()-1, AA$1-1))</f>
        <v>0</v>
      </c>
      <c r="AB678">
        <f t="shared" ca="1" si="151"/>
        <v>0</v>
      </c>
      <c r="AC678" t="e">
        <f t="shared" ca="1" si="152"/>
        <v>#VALUE!</v>
      </c>
      <c r="AD678" t="str">
        <f t="shared" ca="1" si="153"/>
        <v>0</v>
      </c>
      <c r="AE678" t="str">
        <f t="shared" ca="1" si="154"/>
        <v/>
      </c>
      <c r="AF678" s="6">
        <f t="shared" ca="1" si="155"/>
        <v>0</v>
      </c>
      <c r="AG678">
        <f t="shared" ca="1" si="150"/>
        <v>0</v>
      </c>
      <c r="AH678">
        <f t="shared" ca="1" si="156"/>
        <v>0</v>
      </c>
      <c r="AI678">
        <f t="shared" ca="1" si="157"/>
        <v>0</v>
      </c>
      <c r="AJ678">
        <f t="shared" ca="1" si="158"/>
        <v>0</v>
      </c>
      <c r="AK678">
        <f t="shared" ca="1" si="159"/>
        <v>0</v>
      </c>
      <c r="AL678">
        <f t="shared" ca="1" si="160"/>
        <v>0</v>
      </c>
    </row>
    <row r="679" spans="1:38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#N/A, OFFSET(data!$A$1, ROW()-1, AA$1-1))</f>
        <v>0</v>
      </c>
      <c r="AB679">
        <f t="shared" ca="1" si="151"/>
        <v>0</v>
      </c>
      <c r="AC679" t="e">
        <f t="shared" ca="1" si="152"/>
        <v>#VALUE!</v>
      </c>
      <c r="AD679" t="str">
        <f t="shared" ca="1" si="153"/>
        <v>0</v>
      </c>
      <c r="AE679" t="str">
        <f t="shared" ca="1" si="154"/>
        <v/>
      </c>
      <c r="AF679" s="6">
        <f t="shared" ca="1" si="155"/>
        <v>0</v>
      </c>
      <c r="AG679">
        <f t="shared" ca="1" si="150"/>
        <v>0</v>
      </c>
      <c r="AH679">
        <f t="shared" ca="1" si="156"/>
        <v>0</v>
      </c>
      <c r="AI679">
        <f t="shared" ca="1" si="157"/>
        <v>0</v>
      </c>
      <c r="AJ679">
        <f t="shared" ca="1" si="158"/>
        <v>0</v>
      </c>
      <c r="AK679">
        <f t="shared" ca="1" si="159"/>
        <v>0</v>
      </c>
      <c r="AL679">
        <f t="shared" ca="1" si="160"/>
        <v>0</v>
      </c>
    </row>
    <row r="680" spans="1:38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#N/A, OFFSET(data!$A$1, ROW()-1, AA$1-1))</f>
        <v>0</v>
      </c>
      <c r="AB680">
        <f t="shared" ca="1" si="151"/>
        <v>0</v>
      </c>
      <c r="AC680" t="e">
        <f t="shared" ca="1" si="152"/>
        <v>#VALUE!</v>
      </c>
      <c r="AD680" t="str">
        <f t="shared" ca="1" si="153"/>
        <v>0</v>
      </c>
      <c r="AE680" t="str">
        <f t="shared" ca="1" si="154"/>
        <v/>
      </c>
      <c r="AF680" s="6">
        <f t="shared" ca="1" si="155"/>
        <v>0</v>
      </c>
      <c r="AG680">
        <f t="shared" ca="1" si="150"/>
        <v>0</v>
      </c>
      <c r="AH680">
        <f t="shared" ca="1" si="156"/>
        <v>0</v>
      </c>
      <c r="AI680">
        <f t="shared" ca="1" si="157"/>
        <v>0</v>
      </c>
      <c r="AJ680">
        <f t="shared" ca="1" si="158"/>
        <v>0</v>
      </c>
      <c r="AK680">
        <f t="shared" ca="1" si="159"/>
        <v>0</v>
      </c>
      <c r="AL680">
        <f t="shared" ca="1" si="160"/>
        <v>0</v>
      </c>
    </row>
    <row r="681" spans="1:38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#N/A, OFFSET(data!$A$1, ROW()-1, AA$1-1))</f>
        <v>0</v>
      </c>
      <c r="AB681">
        <f t="shared" ca="1" si="151"/>
        <v>0</v>
      </c>
      <c r="AC681" t="e">
        <f t="shared" ca="1" si="152"/>
        <v>#VALUE!</v>
      </c>
      <c r="AD681" t="str">
        <f t="shared" ca="1" si="153"/>
        <v>0</v>
      </c>
      <c r="AE681" t="str">
        <f t="shared" ca="1" si="154"/>
        <v/>
      </c>
      <c r="AF681" s="6">
        <f t="shared" ca="1" si="155"/>
        <v>0</v>
      </c>
      <c r="AG681">
        <f t="shared" ca="1" si="150"/>
        <v>0</v>
      </c>
      <c r="AH681">
        <f t="shared" ca="1" si="156"/>
        <v>0</v>
      </c>
      <c r="AI681">
        <f t="shared" ca="1" si="157"/>
        <v>0</v>
      </c>
      <c r="AJ681">
        <f t="shared" ca="1" si="158"/>
        <v>0</v>
      </c>
      <c r="AK681">
        <f t="shared" ca="1" si="159"/>
        <v>0</v>
      </c>
      <c r="AL681">
        <f t="shared" ca="1" si="160"/>
        <v>0</v>
      </c>
    </row>
    <row r="682" spans="1:38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#N/A, OFFSET(data!$A$1, ROW()-1, AA$1-1))</f>
        <v>0</v>
      </c>
      <c r="AB682">
        <f t="shared" ca="1" si="151"/>
        <v>0</v>
      </c>
      <c r="AC682" t="e">
        <f t="shared" ca="1" si="152"/>
        <v>#VALUE!</v>
      </c>
      <c r="AD682" t="str">
        <f t="shared" ca="1" si="153"/>
        <v>0</v>
      </c>
      <c r="AE682" t="str">
        <f t="shared" ca="1" si="154"/>
        <v/>
      </c>
      <c r="AF682" s="6">
        <f t="shared" ca="1" si="155"/>
        <v>0</v>
      </c>
      <c r="AG682">
        <f t="shared" ca="1" si="150"/>
        <v>0</v>
      </c>
      <c r="AH682">
        <f t="shared" ca="1" si="156"/>
        <v>0</v>
      </c>
      <c r="AI682">
        <f t="shared" ca="1" si="157"/>
        <v>0</v>
      </c>
      <c r="AJ682">
        <f t="shared" ca="1" si="158"/>
        <v>0</v>
      </c>
      <c r="AK682">
        <f t="shared" ca="1" si="159"/>
        <v>0</v>
      </c>
      <c r="AL682">
        <f t="shared" ca="1" si="160"/>
        <v>0</v>
      </c>
    </row>
    <row r="683" spans="1:38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#N/A, OFFSET(data!$A$1, ROW()-1, AA$1-1))</f>
        <v>0</v>
      </c>
      <c r="AB683">
        <f t="shared" ca="1" si="151"/>
        <v>0</v>
      </c>
      <c r="AC683" t="e">
        <f t="shared" ca="1" si="152"/>
        <v>#VALUE!</v>
      </c>
      <c r="AD683" t="str">
        <f t="shared" ca="1" si="153"/>
        <v>0</v>
      </c>
      <c r="AE683" t="str">
        <f t="shared" ca="1" si="154"/>
        <v/>
      </c>
      <c r="AF683" s="6">
        <f t="shared" ca="1" si="155"/>
        <v>0</v>
      </c>
      <c r="AG683">
        <f t="shared" ca="1" si="150"/>
        <v>0</v>
      </c>
      <c r="AH683">
        <f t="shared" ca="1" si="156"/>
        <v>0</v>
      </c>
      <c r="AI683">
        <f t="shared" ca="1" si="157"/>
        <v>0</v>
      </c>
      <c r="AJ683">
        <f t="shared" ca="1" si="158"/>
        <v>0</v>
      </c>
      <c r="AK683">
        <f t="shared" ca="1" si="159"/>
        <v>0</v>
      </c>
      <c r="AL683">
        <f t="shared" ca="1" si="160"/>
        <v>0</v>
      </c>
    </row>
    <row r="684" spans="1:38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#N/A, OFFSET(data!$A$1, ROW()-1, AA$1-1))</f>
        <v>0</v>
      </c>
      <c r="AB684">
        <f t="shared" ca="1" si="151"/>
        <v>0</v>
      </c>
      <c r="AC684" t="e">
        <f t="shared" ca="1" si="152"/>
        <v>#VALUE!</v>
      </c>
      <c r="AD684" t="str">
        <f t="shared" ca="1" si="153"/>
        <v>0</v>
      </c>
      <c r="AE684" t="str">
        <f t="shared" ca="1" si="154"/>
        <v/>
      </c>
      <c r="AF684" s="6">
        <f t="shared" ca="1" si="155"/>
        <v>0</v>
      </c>
      <c r="AG684">
        <f t="shared" ca="1" si="150"/>
        <v>0</v>
      </c>
      <c r="AH684">
        <f t="shared" ca="1" si="156"/>
        <v>0</v>
      </c>
      <c r="AI684">
        <f t="shared" ca="1" si="157"/>
        <v>0</v>
      </c>
      <c r="AJ684">
        <f t="shared" ca="1" si="158"/>
        <v>0</v>
      </c>
      <c r="AK684">
        <f t="shared" ca="1" si="159"/>
        <v>0</v>
      </c>
      <c r="AL684">
        <f t="shared" ca="1" si="160"/>
        <v>0</v>
      </c>
    </row>
    <row r="685" spans="1:38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#N/A, OFFSET(data!$A$1, ROW()-1, AA$1-1))</f>
        <v>0</v>
      </c>
      <c r="AB685">
        <f t="shared" ca="1" si="151"/>
        <v>0</v>
      </c>
      <c r="AC685" t="e">
        <f t="shared" ca="1" si="152"/>
        <v>#VALUE!</v>
      </c>
      <c r="AD685" t="str">
        <f t="shared" ca="1" si="153"/>
        <v>0</v>
      </c>
      <c r="AE685" t="str">
        <f t="shared" ca="1" si="154"/>
        <v/>
      </c>
      <c r="AF685" s="6">
        <f t="shared" ca="1" si="155"/>
        <v>0</v>
      </c>
      <c r="AG685">
        <f t="shared" ca="1" si="150"/>
        <v>0</v>
      </c>
      <c r="AH685">
        <f t="shared" ca="1" si="156"/>
        <v>0</v>
      </c>
      <c r="AI685">
        <f t="shared" ca="1" si="157"/>
        <v>0</v>
      </c>
      <c r="AJ685">
        <f t="shared" ca="1" si="158"/>
        <v>0</v>
      </c>
      <c r="AK685">
        <f t="shared" ca="1" si="159"/>
        <v>0</v>
      </c>
      <c r="AL685">
        <f t="shared" ca="1" si="160"/>
        <v>0</v>
      </c>
    </row>
    <row r="686" spans="1:38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#N/A, OFFSET(data!$A$1, ROW()-1, AA$1-1))</f>
        <v>0</v>
      </c>
      <c r="AB686">
        <f t="shared" ca="1" si="151"/>
        <v>0</v>
      </c>
      <c r="AC686" t="e">
        <f t="shared" ca="1" si="152"/>
        <v>#VALUE!</v>
      </c>
      <c r="AD686" t="str">
        <f t="shared" ca="1" si="153"/>
        <v>0</v>
      </c>
      <c r="AE686" t="str">
        <f t="shared" ca="1" si="154"/>
        <v/>
      </c>
      <c r="AF686" s="6">
        <f t="shared" ca="1" si="155"/>
        <v>0</v>
      </c>
      <c r="AG686">
        <f t="shared" ca="1" si="150"/>
        <v>0</v>
      </c>
      <c r="AH686">
        <f t="shared" ca="1" si="156"/>
        <v>0</v>
      </c>
      <c r="AI686">
        <f t="shared" ca="1" si="157"/>
        <v>0</v>
      </c>
      <c r="AJ686">
        <f t="shared" ca="1" si="158"/>
        <v>0</v>
      </c>
      <c r="AK686">
        <f t="shared" ca="1" si="159"/>
        <v>0</v>
      </c>
      <c r="AL686">
        <f t="shared" ca="1" si="160"/>
        <v>0</v>
      </c>
    </row>
    <row r="687" spans="1:38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#N/A, OFFSET(data!$A$1, ROW()-1, AA$1-1))</f>
        <v>0</v>
      </c>
      <c r="AB687">
        <f t="shared" ca="1" si="151"/>
        <v>0</v>
      </c>
      <c r="AC687" t="e">
        <f t="shared" ca="1" si="152"/>
        <v>#VALUE!</v>
      </c>
      <c r="AD687" t="str">
        <f t="shared" ca="1" si="153"/>
        <v>0</v>
      </c>
      <c r="AE687" t="str">
        <f t="shared" ca="1" si="154"/>
        <v/>
      </c>
      <c r="AF687" s="6">
        <f t="shared" ca="1" si="155"/>
        <v>0</v>
      </c>
      <c r="AG687">
        <f t="shared" ca="1" si="150"/>
        <v>0</v>
      </c>
      <c r="AH687">
        <f t="shared" ca="1" si="156"/>
        <v>0</v>
      </c>
      <c r="AI687">
        <f t="shared" ca="1" si="157"/>
        <v>0</v>
      </c>
      <c r="AJ687">
        <f t="shared" ca="1" si="158"/>
        <v>0</v>
      </c>
      <c r="AK687">
        <f t="shared" ca="1" si="159"/>
        <v>0</v>
      </c>
      <c r="AL687">
        <f t="shared" ca="1" si="160"/>
        <v>0</v>
      </c>
    </row>
    <row r="688" spans="1:38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#N/A, OFFSET(data!$A$1, ROW()-1, AA$1-1))</f>
        <v>0</v>
      </c>
      <c r="AB688">
        <f t="shared" ca="1" si="151"/>
        <v>0</v>
      </c>
      <c r="AC688" t="e">
        <f t="shared" ca="1" si="152"/>
        <v>#VALUE!</v>
      </c>
      <c r="AD688" t="str">
        <f t="shared" ca="1" si="153"/>
        <v>0</v>
      </c>
      <c r="AE688" t="str">
        <f t="shared" ca="1" si="154"/>
        <v/>
      </c>
      <c r="AF688" s="6">
        <f t="shared" ca="1" si="155"/>
        <v>0</v>
      </c>
      <c r="AG688">
        <f t="shared" ca="1" si="150"/>
        <v>0</v>
      </c>
      <c r="AH688">
        <f t="shared" ca="1" si="156"/>
        <v>0</v>
      </c>
      <c r="AI688">
        <f t="shared" ca="1" si="157"/>
        <v>0</v>
      </c>
      <c r="AJ688">
        <f t="shared" ca="1" si="158"/>
        <v>0</v>
      </c>
      <c r="AK688">
        <f t="shared" ca="1" si="159"/>
        <v>0</v>
      </c>
      <c r="AL688">
        <f t="shared" ca="1" si="160"/>
        <v>0</v>
      </c>
    </row>
    <row r="689" spans="1:38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#N/A, OFFSET(data!$A$1, ROW()-1, AA$1-1))</f>
        <v>0</v>
      </c>
      <c r="AB689">
        <f t="shared" ca="1" si="151"/>
        <v>0</v>
      </c>
      <c r="AC689" t="e">
        <f t="shared" ca="1" si="152"/>
        <v>#VALUE!</v>
      </c>
      <c r="AD689" t="str">
        <f t="shared" ca="1" si="153"/>
        <v>0</v>
      </c>
      <c r="AE689" t="str">
        <f t="shared" ca="1" si="154"/>
        <v/>
      </c>
      <c r="AF689" s="6">
        <f t="shared" ca="1" si="155"/>
        <v>0</v>
      </c>
      <c r="AG689">
        <f t="shared" ca="1" si="150"/>
        <v>0</v>
      </c>
      <c r="AH689">
        <f t="shared" ca="1" si="156"/>
        <v>0</v>
      </c>
      <c r="AI689">
        <f t="shared" ca="1" si="157"/>
        <v>0</v>
      </c>
      <c r="AJ689">
        <f t="shared" ca="1" si="158"/>
        <v>0</v>
      </c>
      <c r="AK689">
        <f t="shared" ca="1" si="159"/>
        <v>0</v>
      </c>
      <c r="AL689">
        <f t="shared" ca="1" si="160"/>
        <v>0</v>
      </c>
    </row>
    <row r="690" spans="1:38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#N/A, OFFSET(data!$A$1, ROW()-1, AA$1-1))</f>
        <v>0</v>
      </c>
      <c r="AB690">
        <f t="shared" ca="1" si="151"/>
        <v>0</v>
      </c>
      <c r="AC690" t="e">
        <f t="shared" ca="1" si="152"/>
        <v>#VALUE!</v>
      </c>
      <c r="AD690" t="str">
        <f t="shared" ca="1" si="153"/>
        <v>0</v>
      </c>
      <c r="AE690" t="str">
        <f t="shared" ca="1" si="154"/>
        <v/>
      </c>
      <c r="AF690" s="6">
        <f t="shared" ca="1" si="155"/>
        <v>0</v>
      </c>
      <c r="AG690">
        <f t="shared" ca="1" si="150"/>
        <v>0</v>
      </c>
      <c r="AH690">
        <f t="shared" ca="1" si="156"/>
        <v>0</v>
      </c>
      <c r="AI690">
        <f t="shared" ca="1" si="157"/>
        <v>0</v>
      </c>
      <c r="AJ690">
        <f t="shared" ca="1" si="158"/>
        <v>0</v>
      </c>
      <c r="AK690">
        <f t="shared" ca="1" si="159"/>
        <v>0</v>
      </c>
      <c r="AL690">
        <f t="shared" ca="1" si="160"/>
        <v>0</v>
      </c>
    </row>
    <row r="691" spans="1:38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#N/A, OFFSET(data!$A$1, ROW()-1, AA$1-1))</f>
        <v>0</v>
      </c>
      <c r="AB691">
        <f t="shared" ca="1" si="151"/>
        <v>0</v>
      </c>
      <c r="AC691" t="e">
        <f t="shared" ca="1" si="152"/>
        <v>#VALUE!</v>
      </c>
      <c r="AD691" t="str">
        <f t="shared" ca="1" si="153"/>
        <v>0</v>
      </c>
      <c r="AE691" t="str">
        <f t="shared" ca="1" si="154"/>
        <v/>
      </c>
      <c r="AF691" s="6">
        <f t="shared" ca="1" si="155"/>
        <v>0</v>
      </c>
      <c r="AG691">
        <f t="shared" ca="1" si="150"/>
        <v>0</v>
      </c>
      <c r="AH691">
        <f t="shared" ca="1" si="156"/>
        <v>0</v>
      </c>
      <c r="AI691">
        <f t="shared" ca="1" si="157"/>
        <v>0</v>
      </c>
      <c r="AJ691">
        <f t="shared" ca="1" si="158"/>
        <v>0</v>
      </c>
      <c r="AK691">
        <f t="shared" ca="1" si="159"/>
        <v>0</v>
      </c>
      <c r="AL691">
        <f t="shared" ca="1" si="160"/>
        <v>0</v>
      </c>
    </row>
    <row r="692" spans="1:38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#N/A, OFFSET(data!$A$1, ROW()-1, AA$1-1))</f>
        <v>0</v>
      </c>
      <c r="AB692">
        <f t="shared" ca="1" si="151"/>
        <v>0</v>
      </c>
      <c r="AC692" t="e">
        <f t="shared" ca="1" si="152"/>
        <v>#VALUE!</v>
      </c>
      <c r="AD692" t="str">
        <f t="shared" ca="1" si="153"/>
        <v>0</v>
      </c>
      <c r="AE692" t="str">
        <f t="shared" ca="1" si="154"/>
        <v/>
      </c>
      <c r="AF692" s="6">
        <f t="shared" ca="1" si="155"/>
        <v>0</v>
      </c>
      <c r="AG692">
        <f t="shared" ref="AG692:AG755" ca="1" si="161">T692+W692</f>
        <v>0</v>
      </c>
      <c r="AH692">
        <f t="shared" ca="1" si="156"/>
        <v>0</v>
      </c>
      <c r="AI692">
        <f t="shared" ca="1" si="157"/>
        <v>0</v>
      </c>
      <c r="AJ692">
        <f t="shared" ca="1" si="158"/>
        <v>0</v>
      </c>
      <c r="AK692">
        <f t="shared" ca="1" si="159"/>
        <v>0</v>
      </c>
      <c r="AL692">
        <f t="shared" ca="1" si="160"/>
        <v>0</v>
      </c>
    </row>
    <row r="693" spans="1:38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#N/A, OFFSET(data!$A$1, ROW()-1, AA$1-1))</f>
        <v>0</v>
      </c>
      <c r="AB693">
        <f t="shared" ca="1" si="151"/>
        <v>0</v>
      </c>
      <c r="AC693" t="e">
        <f t="shared" ca="1" si="152"/>
        <v>#VALUE!</v>
      </c>
      <c r="AD693" t="str">
        <f t="shared" ca="1" si="153"/>
        <v>0</v>
      </c>
      <c r="AE693" t="str">
        <f t="shared" ca="1" si="154"/>
        <v/>
      </c>
      <c r="AF693" s="6">
        <f t="shared" ca="1" si="155"/>
        <v>0</v>
      </c>
      <c r="AG693">
        <f t="shared" ca="1" si="161"/>
        <v>0</v>
      </c>
      <c r="AH693">
        <f t="shared" ca="1" si="156"/>
        <v>0</v>
      </c>
      <c r="AI693">
        <f t="shared" ca="1" si="157"/>
        <v>0</v>
      </c>
      <c r="AJ693">
        <f t="shared" ca="1" si="158"/>
        <v>0</v>
      </c>
      <c r="AK693">
        <f t="shared" ca="1" si="159"/>
        <v>0</v>
      </c>
      <c r="AL693">
        <f t="shared" ca="1" si="160"/>
        <v>0</v>
      </c>
    </row>
    <row r="694" spans="1:38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#N/A, OFFSET(data!$A$1, ROW()-1, AA$1-1))</f>
        <v>0</v>
      </c>
      <c r="AB694">
        <f t="shared" ca="1" si="151"/>
        <v>0</v>
      </c>
      <c r="AC694" t="e">
        <f t="shared" ca="1" si="152"/>
        <v>#VALUE!</v>
      </c>
      <c r="AD694" t="str">
        <f t="shared" ca="1" si="153"/>
        <v>0</v>
      </c>
      <c r="AE694" t="str">
        <f t="shared" ca="1" si="154"/>
        <v/>
      </c>
      <c r="AF694" s="6">
        <f t="shared" ca="1" si="155"/>
        <v>0</v>
      </c>
      <c r="AG694">
        <f t="shared" ca="1" si="161"/>
        <v>0</v>
      </c>
      <c r="AH694">
        <f t="shared" ca="1" si="156"/>
        <v>0</v>
      </c>
      <c r="AI694">
        <f t="shared" ca="1" si="157"/>
        <v>0</v>
      </c>
      <c r="AJ694">
        <f t="shared" ca="1" si="158"/>
        <v>0</v>
      </c>
      <c r="AK694">
        <f t="shared" ca="1" si="159"/>
        <v>0</v>
      </c>
      <c r="AL694">
        <f t="shared" ca="1" si="160"/>
        <v>0</v>
      </c>
    </row>
    <row r="695" spans="1:38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#N/A, OFFSET(data!$A$1, ROW()-1, AA$1-1))</f>
        <v>0</v>
      </c>
      <c r="AB695">
        <f t="shared" ca="1" si="151"/>
        <v>0</v>
      </c>
      <c r="AC695" t="e">
        <f t="shared" ca="1" si="152"/>
        <v>#VALUE!</v>
      </c>
      <c r="AD695" t="str">
        <f t="shared" ca="1" si="153"/>
        <v>0</v>
      </c>
      <c r="AE695" t="str">
        <f t="shared" ca="1" si="154"/>
        <v/>
      </c>
      <c r="AF695" s="6">
        <f t="shared" ca="1" si="155"/>
        <v>0</v>
      </c>
      <c r="AG695">
        <f t="shared" ca="1" si="161"/>
        <v>0</v>
      </c>
      <c r="AH695">
        <f t="shared" ca="1" si="156"/>
        <v>0</v>
      </c>
      <c r="AI695">
        <f t="shared" ca="1" si="157"/>
        <v>0</v>
      </c>
      <c r="AJ695">
        <f t="shared" ca="1" si="158"/>
        <v>0</v>
      </c>
      <c r="AK695">
        <f t="shared" ca="1" si="159"/>
        <v>0</v>
      </c>
      <c r="AL695">
        <f t="shared" ca="1" si="160"/>
        <v>0</v>
      </c>
    </row>
    <row r="696" spans="1:38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#N/A, OFFSET(data!$A$1, ROW()-1, AA$1-1))</f>
        <v>0</v>
      </c>
      <c r="AB696">
        <f t="shared" ca="1" si="151"/>
        <v>0</v>
      </c>
      <c r="AC696" t="e">
        <f t="shared" ca="1" si="152"/>
        <v>#VALUE!</v>
      </c>
      <c r="AD696" t="str">
        <f t="shared" ca="1" si="153"/>
        <v>0</v>
      </c>
      <c r="AE696" t="str">
        <f t="shared" ca="1" si="154"/>
        <v/>
      </c>
      <c r="AF696" s="6">
        <f t="shared" ca="1" si="155"/>
        <v>0</v>
      </c>
      <c r="AG696">
        <f t="shared" ca="1" si="161"/>
        <v>0</v>
      </c>
      <c r="AH696">
        <f t="shared" ca="1" si="156"/>
        <v>0</v>
      </c>
      <c r="AI696">
        <f t="shared" ca="1" si="157"/>
        <v>0</v>
      </c>
      <c r="AJ696">
        <f t="shared" ca="1" si="158"/>
        <v>0</v>
      </c>
      <c r="AK696">
        <f t="shared" ca="1" si="159"/>
        <v>0</v>
      </c>
      <c r="AL696">
        <f t="shared" ca="1" si="160"/>
        <v>0</v>
      </c>
    </row>
    <row r="697" spans="1:38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#N/A, OFFSET(data!$A$1, ROW()-1, AA$1-1))</f>
        <v>0</v>
      </c>
      <c r="AB697">
        <f t="shared" ca="1" si="151"/>
        <v>0</v>
      </c>
      <c r="AC697" t="e">
        <f t="shared" ca="1" si="152"/>
        <v>#VALUE!</v>
      </c>
      <c r="AD697" t="str">
        <f t="shared" ca="1" si="153"/>
        <v>0</v>
      </c>
      <c r="AE697" t="str">
        <f t="shared" ca="1" si="154"/>
        <v/>
      </c>
      <c r="AF697" s="6">
        <f t="shared" ca="1" si="155"/>
        <v>0</v>
      </c>
      <c r="AG697">
        <f t="shared" ca="1" si="161"/>
        <v>0</v>
      </c>
      <c r="AH697">
        <f t="shared" ca="1" si="156"/>
        <v>0</v>
      </c>
      <c r="AI697">
        <f t="shared" ca="1" si="157"/>
        <v>0</v>
      </c>
      <c r="AJ697">
        <f t="shared" ca="1" si="158"/>
        <v>0</v>
      </c>
      <c r="AK697">
        <f t="shared" ca="1" si="159"/>
        <v>0</v>
      </c>
      <c r="AL697">
        <f t="shared" ca="1" si="160"/>
        <v>0</v>
      </c>
    </row>
    <row r="698" spans="1:38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#N/A, OFFSET(data!$A$1, ROW()-1, AA$1-1))</f>
        <v>0</v>
      </c>
      <c r="AB698">
        <f t="shared" ca="1" si="151"/>
        <v>0</v>
      </c>
      <c r="AC698" t="e">
        <f t="shared" ca="1" si="152"/>
        <v>#VALUE!</v>
      </c>
      <c r="AD698" t="str">
        <f t="shared" ca="1" si="153"/>
        <v>0</v>
      </c>
      <c r="AE698" t="str">
        <f t="shared" ca="1" si="154"/>
        <v/>
      </c>
      <c r="AF698" s="6">
        <f t="shared" ca="1" si="155"/>
        <v>0</v>
      </c>
      <c r="AG698">
        <f t="shared" ca="1" si="161"/>
        <v>0</v>
      </c>
      <c r="AH698">
        <f t="shared" ca="1" si="156"/>
        <v>0</v>
      </c>
      <c r="AI698">
        <f t="shared" ca="1" si="157"/>
        <v>0</v>
      </c>
      <c r="AJ698">
        <f t="shared" ca="1" si="158"/>
        <v>0</v>
      </c>
      <c r="AK698">
        <f t="shared" ca="1" si="159"/>
        <v>0</v>
      </c>
      <c r="AL698">
        <f t="shared" ca="1" si="160"/>
        <v>0</v>
      </c>
    </row>
    <row r="699" spans="1:38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#N/A, OFFSET(data!$A$1, ROW()-1, AA$1-1))</f>
        <v>0</v>
      </c>
      <c r="AB699">
        <f t="shared" ca="1" si="151"/>
        <v>0</v>
      </c>
      <c r="AC699" t="e">
        <f t="shared" ca="1" si="152"/>
        <v>#VALUE!</v>
      </c>
      <c r="AD699" t="str">
        <f t="shared" ca="1" si="153"/>
        <v>0</v>
      </c>
      <c r="AE699" t="str">
        <f t="shared" ca="1" si="154"/>
        <v/>
      </c>
      <c r="AF699" s="6">
        <f t="shared" ca="1" si="155"/>
        <v>0</v>
      </c>
      <c r="AG699">
        <f t="shared" ca="1" si="161"/>
        <v>0</v>
      </c>
      <c r="AH699">
        <f t="shared" ca="1" si="156"/>
        <v>0</v>
      </c>
      <c r="AI699">
        <f t="shared" ca="1" si="157"/>
        <v>0</v>
      </c>
      <c r="AJ699">
        <f t="shared" ca="1" si="158"/>
        <v>0</v>
      </c>
      <c r="AK699">
        <f t="shared" ca="1" si="159"/>
        <v>0</v>
      </c>
      <c r="AL699">
        <f t="shared" ca="1" si="160"/>
        <v>0</v>
      </c>
    </row>
    <row r="700" spans="1:38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#N/A, OFFSET(data!$A$1, ROW()-1, AA$1-1))</f>
        <v>0</v>
      </c>
      <c r="AB700">
        <f t="shared" ca="1" si="151"/>
        <v>0</v>
      </c>
      <c r="AC700" t="e">
        <f t="shared" ca="1" si="152"/>
        <v>#VALUE!</v>
      </c>
      <c r="AD700" t="str">
        <f t="shared" ca="1" si="153"/>
        <v>0</v>
      </c>
      <c r="AE700" t="str">
        <f t="shared" ca="1" si="154"/>
        <v/>
      </c>
      <c r="AF700" s="6">
        <f t="shared" ca="1" si="155"/>
        <v>0</v>
      </c>
      <c r="AG700">
        <f t="shared" ca="1" si="161"/>
        <v>0</v>
      </c>
      <c r="AH700">
        <f t="shared" ca="1" si="156"/>
        <v>0</v>
      </c>
      <c r="AI700">
        <f t="shared" ca="1" si="157"/>
        <v>0</v>
      </c>
      <c r="AJ700">
        <f t="shared" ca="1" si="158"/>
        <v>0</v>
      </c>
      <c r="AK700">
        <f t="shared" ca="1" si="159"/>
        <v>0</v>
      </c>
      <c r="AL700">
        <f t="shared" ca="1" si="160"/>
        <v>0</v>
      </c>
    </row>
    <row r="701" spans="1:38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#N/A, OFFSET(data!$A$1, ROW()-1, AA$1-1))</f>
        <v>0</v>
      </c>
      <c r="AB701">
        <f t="shared" ca="1" si="151"/>
        <v>0</v>
      </c>
      <c r="AC701" t="e">
        <f t="shared" ca="1" si="152"/>
        <v>#VALUE!</v>
      </c>
      <c r="AD701" t="str">
        <f t="shared" ca="1" si="153"/>
        <v>0</v>
      </c>
      <c r="AE701" t="str">
        <f t="shared" ca="1" si="154"/>
        <v/>
      </c>
      <c r="AF701" s="6">
        <f t="shared" ca="1" si="155"/>
        <v>0</v>
      </c>
      <c r="AG701">
        <f t="shared" ca="1" si="161"/>
        <v>0</v>
      </c>
      <c r="AH701">
        <f t="shared" ca="1" si="156"/>
        <v>0</v>
      </c>
      <c r="AI701">
        <f t="shared" ca="1" si="157"/>
        <v>0</v>
      </c>
      <c r="AJ701">
        <f t="shared" ca="1" si="158"/>
        <v>0</v>
      </c>
      <c r="AK701">
        <f t="shared" ca="1" si="159"/>
        <v>0</v>
      </c>
      <c r="AL701">
        <f t="shared" ca="1" si="160"/>
        <v>0</v>
      </c>
    </row>
    <row r="702" spans="1:38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#N/A, OFFSET(data!$A$1, ROW()-1, AA$1-1))</f>
        <v>0</v>
      </c>
      <c r="AB702">
        <f t="shared" ca="1" si="151"/>
        <v>0</v>
      </c>
      <c r="AC702" t="e">
        <f t="shared" ca="1" si="152"/>
        <v>#VALUE!</v>
      </c>
      <c r="AD702" t="str">
        <f t="shared" ca="1" si="153"/>
        <v>0</v>
      </c>
      <c r="AE702" t="str">
        <f t="shared" ca="1" si="154"/>
        <v/>
      </c>
      <c r="AF702" s="6">
        <f t="shared" ca="1" si="155"/>
        <v>0</v>
      </c>
      <c r="AG702">
        <f t="shared" ca="1" si="161"/>
        <v>0</v>
      </c>
      <c r="AH702">
        <f t="shared" ca="1" si="156"/>
        <v>0</v>
      </c>
      <c r="AI702">
        <f t="shared" ca="1" si="157"/>
        <v>0</v>
      </c>
      <c r="AJ702">
        <f t="shared" ca="1" si="158"/>
        <v>0</v>
      </c>
      <c r="AK702">
        <f t="shared" ca="1" si="159"/>
        <v>0</v>
      </c>
      <c r="AL702">
        <f t="shared" ca="1" si="160"/>
        <v>0</v>
      </c>
    </row>
    <row r="703" spans="1:38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#N/A, OFFSET(data!$A$1, ROW()-1, AA$1-1))</f>
        <v>0</v>
      </c>
      <c r="AB703">
        <f t="shared" ca="1" si="151"/>
        <v>0</v>
      </c>
      <c r="AC703" t="e">
        <f t="shared" ca="1" si="152"/>
        <v>#VALUE!</v>
      </c>
      <c r="AD703" t="str">
        <f t="shared" ca="1" si="153"/>
        <v>0</v>
      </c>
      <c r="AE703" t="str">
        <f t="shared" ca="1" si="154"/>
        <v/>
      </c>
      <c r="AF703" s="6">
        <f t="shared" ca="1" si="155"/>
        <v>0</v>
      </c>
      <c r="AG703">
        <f t="shared" ca="1" si="161"/>
        <v>0</v>
      </c>
      <c r="AH703">
        <f t="shared" ca="1" si="156"/>
        <v>0</v>
      </c>
      <c r="AI703">
        <f t="shared" ca="1" si="157"/>
        <v>0</v>
      </c>
      <c r="AJ703">
        <f t="shared" ca="1" si="158"/>
        <v>0</v>
      </c>
      <c r="AK703">
        <f t="shared" ca="1" si="159"/>
        <v>0</v>
      </c>
      <c r="AL703">
        <f t="shared" ca="1" si="160"/>
        <v>0</v>
      </c>
    </row>
    <row r="704" spans="1:38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#N/A, OFFSET(data!$A$1, ROW()-1, AA$1-1))</f>
        <v>0</v>
      </c>
      <c r="AB704">
        <f t="shared" ca="1" si="151"/>
        <v>0</v>
      </c>
      <c r="AC704" t="e">
        <f t="shared" ca="1" si="152"/>
        <v>#VALUE!</v>
      </c>
      <c r="AD704" t="str">
        <f t="shared" ca="1" si="153"/>
        <v>0</v>
      </c>
      <c r="AE704" t="str">
        <f t="shared" ca="1" si="154"/>
        <v/>
      </c>
      <c r="AF704" s="6">
        <f t="shared" ca="1" si="155"/>
        <v>0</v>
      </c>
      <c r="AG704">
        <f t="shared" ca="1" si="161"/>
        <v>0</v>
      </c>
      <c r="AH704">
        <f t="shared" ca="1" si="156"/>
        <v>0</v>
      </c>
      <c r="AI704">
        <f t="shared" ca="1" si="157"/>
        <v>0</v>
      </c>
      <c r="AJ704">
        <f t="shared" ca="1" si="158"/>
        <v>0</v>
      </c>
      <c r="AK704">
        <f t="shared" ca="1" si="159"/>
        <v>0</v>
      </c>
      <c r="AL704">
        <f t="shared" ca="1" si="160"/>
        <v>0</v>
      </c>
    </row>
    <row r="705" spans="1:38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#N/A, OFFSET(data!$A$1, ROW()-1, AA$1-1))</f>
        <v>0</v>
      </c>
      <c r="AB705">
        <f t="shared" ca="1" si="151"/>
        <v>0</v>
      </c>
      <c r="AC705" t="e">
        <f t="shared" ca="1" si="152"/>
        <v>#VALUE!</v>
      </c>
      <c r="AD705" t="str">
        <f t="shared" ca="1" si="153"/>
        <v>0</v>
      </c>
      <c r="AE705" t="str">
        <f t="shared" ca="1" si="154"/>
        <v/>
      </c>
      <c r="AF705" s="6">
        <f t="shared" ca="1" si="155"/>
        <v>0</v>
      </c>
      <c r="AG705">
        <f t="shared" ca="1" si="161"/>
        <v>0</v>
      </c>
      <c r="AH705">
        <f t="shared" ca="1" si="156"/>
        <v>0</v>
      </c>
      <c r="AI705">
        <f t="shared" ca="1" si="157"/>
        <v>0</v>
      </c>
      <c r="AJ705">
        <f t="shared" ca="1" si="158"/>
        <v>0</v>
      </c>
      <c r="AK705">
        <f t="shared" ca="1" si="159"/>
        <v>0</v>
      </c>
      <c r="AL705">
        <f t="shared" ca="1" si="160"/>
        <v>0</v>
      </c>
    </row>
    <row r="706" spans="1:38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#N/A, OFFSET(data!$A$1, ROW()-1, AA$1-1))</f>
        <v>0</v>
      </c>
      <c r="AB706">
        <f t="shared" ca="1" si="151"/>
        <v>0</v>
      </c>
      <c r="AC706" t="e">
        <f t="shared" ca="1" si="152"/>
        <v>#VALUE!</v>
      </c>
      <c r="AD706" t="str">
        <f t="shared" ca="1" si="153"/>
        <v>0</v>
      </c>
      <c r="AE706" t="str">
        <f t="shared" ca="1" si="154"/>
        <v/>
      </c>
      <c r="AF706" s="6">
        <f t="shared" ca="1" si="155"/>
        <v>0</v>
      </c>
      <c r="AG706">
        <f t="shared" ca="1" si="161"/>
        <v>0</v>
      </c>
      <c r="AH706">
        <f t="shared" ca="1" si="156"/>
        <v>0</v>
      </c>
      <c r="AI706">
        <f t="shared" ca="1" si="157"/>
        <v>0</v>
      </c>
      <c r="AJ706">
        <f t="shared" ca="1" si="158"/>
        <v>0</v>
      </c>
      <c r="AK706">
        <f t="shared" ca="1" si="159"/>
        <v>0</v>
      </c>
      <c r="AL706">
        <f t="shared" ca="1" si="160"/>
        <v>0</v>
      </c>
    </row>
    <row r="707" spans="1:38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#N/A, OFFSET(data!$A$1, ROW()-1, AA$1-1))</f>
        <v>0</v>
      </c>
      <c r="AB707">
        <f t="shared" ref="AB707:AB770" ca="1" si="162">VALUE(LEFT(C707, 4))</f>
        <v>0</v>
      </c>
      <c r="AC707" t="e">
        <f t="shared" ref="AC707:AC770" ca="1" si="163">VALUE(MID(C707, 6, 2))</f>
        <v>#VALUE!</v>
      </c>
      <c r="AD707" t="str">
        <f t="shared" ref="AD707:AD770" ca="1" si="164">SUBSTITUTE(MID(C707,6,6)&amp;LEFT(C707,4), "-", "/")</f>
        <v>0</v>
      </c>
      <c r="AE707" t="str">
        <f t="shared" ref="AE707:AE770" ca="1" si="165">IF(RIGHT(C707, 5)="12:00", AD707, "")</f>
        <v/>
      </c>
      <c r="AF707" s="6">
        <f t="shared" ref="AF707:AF770" ca="1" si="166">Z707/1000</f>
        <v>0</v>
      </c>
      <c r="AG707">
        <f t="shared" ca="1" si="161"/>
        <v>0</v>
      </c>
      <c r="AH707">
        <f t="shared" ca="1" si="156"/>
        <v>0</v>
      </c>
      <c r="AI707">
        <f t="shared" ca="1" si="157"/>
        <v>0</v>
      </c>
      <c r="AJ707">
        <f t="shared" ca="1" si="158"/>
        <v>0</v>
      </c>
      <c r="AK707">
        <f t="shared" ca="1" si="159"/>
        <v>0</v>
      </c>
      <c r="AL707">
        <f t="shared" ca="1" si="160"/>
        <v>0</v>
      </c>
    </row>
    <row r="708" spans="1:38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#N/A, OFFSET(data!$A$1, ROW()-1, AA$1-1))</f>
        <v>0</v>
      </c>
      <c r="AB708">
        <f t="shared" ca="1" si="162"/>
        <v>0</v>
      </c>
      <c r="AC708" t="e">
        <f t="shared" ca="1" si="163"/>
        <v>#VALUE!</v>
      </c>
      <c r="AD708" t="str">
        <f t="shared" ca="1" si="164"/>
        <v>0</v>
      </c>
      <c r="AE708" t="str">
        <f t="shared" ca="1" si="165"/>
        <v/>
      </c>
      <c r="AF708" s="6">
        <f t="shared" ca="1" si="166"/>
        <v>0</v>
      </c>
      <c r="AG708">
        <f t="shared" ca="1" si="161"/>
        <v>0</v>
      </c>
      <c r="AH708">
        <f t="shared" ref="AH708:AH771" ca="1" si="167">MAX(S708,Y708)</f>
        <v>0</v>
      </c>
      <c r="AI708">
        <f t="shared" ref="AI708:AI771" ca="1" si="168">MAX(R708,V708)</f>
        <v>0</v>
      </c>
      <c r="AJ708">
        <f t="shared" ref="AJ708:AJ771" ca="1" si="169">K708+N708</f>
        <v>0</v>
      </c>
      <c r="AK708">
        <f t="shared" ref="AK708:AK771" ca="1" si="170">L708+O708</f>
        <v>0</v>
      </c>
      <c r="AL708">
        <f t="shared" ref="AL708:AL771" ca="1" si="171">M708+P708</f>
        <v>0</v>
      </c>
    </row>
    <row r="709" spans="1:38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#N/A, OFFSET(data!$A$1, ROW()-1, AA$1-1))</f>
        <v>0</v>
      </c>
      <c r="AB709">
        <f t="shared" ca="1" si="162"/>
        <v>0</v>
      </c>
      <c r="AC709" t="e">
        <f t="shared" ca="1" si="163"/>
        <v>#VALUE!</v>
      </c>
      <c r="AD709" t="str">
        <f t="shared" ca="1" si="164"/>
        <v>0</v>
      </c>
      <c r="AE709" t="str">
        <f t="shared" ca="1" si="165"/>
        <v/>
      </c>
      <c r="AF709" s="6">
        <f t="shared" ca="1" si="166"/>
        <v>0</v>
      </c>
      <c r="AG709">
        <f t="shared" ca="1" si="161"/>
        <v>0</v>
      </c>
      <c r="AH709">
        <f t="shared" ca="1" si="167"/>
        <v>0</v>
      </c>
      <c r="AI709">
        <f t="shared" ca="1" si="168"/>
        <v>0</v>
      </c>
      <c r="AJ709">
        <f t="shared" ca="1" si="169"/>
        <v>0</v>
      </c>
      <c r="AK709">
        <f t="shared" ca="1" si="170"/>
        <v>0</v>
      </c>
      <c r="AL709">
        <f t="shared" ca="1" si="171"/>
        <v>0</v>
      </c>
    </row>
    <row r="710" spans="1:38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#N/A, OFFSET(data!$A$1, ROW()-1, AA$1-1))</f>
        <v>0</v>
      </c>
      <c r="AB710">
        <f t="shared" ca="1" si="162"/>
        <v>0</v>
      </c>
      <c r="AC710" t="e">
        <f t="shared" ca="1" si="163"/>
        <v>#VALUE!</v>
      </c>
      <c r="AD710" t="str">
        <f t="shared" ca="1" si="164"/>
        <v>0</v>
      </c>
      <c r="AE710" t="str">
        <f t="shared" ca="1" si="165"/>
        <v/>
      </c>
      <c r="AF710" s="6">
        <f t="shared" ca="1" si="166"/>
        <v>0</v>
      </c>
      <c r="AG710">
        <f t="shared" ca="1" si="161"/>
        <v>0</v>
      </c>
      <c r="AH710">
        <f t="shared" ca="1" si="167"/>
        <v>0</v>
      </c>
      <c r="AI710">
        <f t="shared" ca="1" si="168"/>
        <v>0</v>
      </c>
      <c r="AJ710">
        <f t="shared" ca="1" si="169"/>
        <v>0</v>
      </c>
      <c r="AK710">
        <f t="shared" ca="1" si="170"/>
        <v>0</v>
      </c>
      <c r="AL710">
        <f t="shared" ca="1" si="171"/>
        <v>0</v>
      </c>
    </row>
    <row r="711" spans="1:38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#N/A, OFFSET(data!$A$1, ROW()-1, AA$1-1))</f>
        <v>0</v>
      </c>
      <c r="AB711">
        <f t="shared" ca="1" si="162"/>
        <v>0</v>
      </c>
      <c r="AC711" t="e">
        <f t="shared" ca="1" si="163"/>
        <v>#VALUE!</v>
      </c>
      <c r="AD711" t="str">
        <f t="shared" ca="1" si="164"/>
        <v>0</v>
      </c>
      <c r="AE711" t="str">
        <f t="shared" ca="1" si="165"/>
        <v/>
      </c>
      <c r="AF711" s="6">
        <f t="shared" ca="1" si="166"/>
        <v>0</v>
      </c>
      <c r="AG711">
        <f t="shared" ca="1" si="161"/>
        <v>0</v>
      </c>
      <c r="AH711">
        <f t="shared" ca="1" si="167"/>
        <v>0</v>
      </c>
      <c r="AI711">
        <f t="shared" ca="1" si="168"/>
        <v>0</v>
      </c>
      <c r="AJ711">
        <f t="shared" ca="1" si="169"/>
        <v>0</v>
      </c>
      <c r="AK711">
        <f t="shared" ca="1" si="170"/>
        <v>0</v>
      </c>
      <c r="AL711">
        <f t="shared" ca="1" si="171"/>
        <v>0</v>
      </c>
    </row>
    <row r="712" spans="1:38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#N/A, OFFSET(data!$A$1, ROW()-1, AA$1-1))</f>
        <v>0</v>
      </c>
      <c r="AB712">
        <f t="shared" ca="1" si="162"/>
        <v>0</v>
      </c>
      <c r="AC712" t="e">
        <f t="shared" ca="1" si="163"/>
        <v>#VALUE!</v>
      </c>
      <c r="AD712" t="str">
        <f t="shared" ca="1" si="164"/>
        <v>0</v>
      </c>
      <c r="AE712" t="str">
        <f t="shared" ca="1" si="165"/>
        <v/>
      </c>
      <c r="AF712" s="6">
        <f t="shared" ca="1" si="166"/>
        <v>0</v>
      </c>
      <c r="AG712">
        <f t="shared" ca="1" si="161"/>
        <v>0</v>
      </c>
      <c r="AH712">
        <f t="shared" ca="1" si="167"/>
        <v>0</v>
      </c>
      <c r="AI712">
        <f t="shared" ca="1" si="168"/>
        <v>0</v>
      </c>
      <c r="AJ712">
        <f t="shared" ca="1" si="169"/>
        <v>0</v>
      </c>
      <c r="AK712">
        <f t="shared" ca="1" si="170"/>
        <v>0</v>
      </c>
      <c r="AL712">
        <f t="shared" ca="1" si="171"/>
        <v>0</v>
      </c>
    </row>
    <row r="713" spans="1:38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#N/A, OFFSET(data!$A$1, ROW()-1, AA$1-1))</f>
        <v>0</v>
      </c>
      <c r="AB713">
        <f t="shared" ca="1" si="162"/>
        <v>0</v>
      </c>
      <c r="AC713" t="e">
        <f t="shared" ca="1" si="163"/>
        <v>#VALUE!</v>
      </c>
      <c r="AD713" t="str">
        <f t="shared" ca="1" si="164"/>
        <v>0</v>
      </c>
      <c r="AE713" t="str">
        <f t="shared" ca="1" si="165"/>
        <v/>
      </c>
      <c r="AF713" s="6">
        <f t="shared" ca="1" si="166"/>
        <v>0</v>
      </c>
      <c r="AG713">
        <f t="shared" ca="1" si="161"/>
        <v>0</v>
      </c>
      <c r="AH713">
        <f t="shared" ca="1" si="167"/>
        <v>0</v>
      </c>
      <c r="AI713">
        <f t="shared" ca="1" si="168"/>
        <v>0</v>
      </c>
      <c r="AJ713">
        <f t="shared" ca="1" si="169"/>
        <v>0</v>
      </c>
      <c r="AK713">
        <f t="shared" ca="1" si="170"/>
        <v>0</v>
      </c>
      <c r="AL713">
        <f t="shared" ca="1" si="171"/>
        <v>0</v>
      </c>
    </row>
    <row r="714" spans="1:38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#N/A, OFFSET(data!$A$1, ROW()-1, AA$1-1))</f>
        <v>0</v>
      </c>
      <c r="AB714">
        <f t="shared" ca="1" si="162"/>
        <v>0</v>
      </c>
      <c r="AC714" t="e">
        <f t="shared" ca="1" si="163"/>
        <v>#VALUE!</v>
      </c>
      <c r="AD714" t="str">
        <f t="shared" ca="1" si="164"/>
        <v>0</v>
      </c>
      <c r="AE714" t="str">
        <f t="shared" ca="1" si="165"/>
        <v/>
      </c>
      <c r="AF714" s="6">
        <f t="shared" ca="1" si="166"/>
        <v>0</v>
      </c>
      <c r="AG714">
        <f t="shared" ca="1" si="161"/>
        <v>0</v>
      </c>
      <c r="AH714">
        <f t="shared" ca="1" si="167"/>
        <v>0</v>
      </c>
      <c r="AI714">
        <f t="shared" ca="1" si="168"/>
        <v>0</v>
      </c>
      <c r="AJ714">
        <f t="shared" ca="1" si="169"/>
        <v>0</v>
      </c>
      <c r="AK714">
        <f t="shared" ca="1" si="170"/>
        <v>0</v>
      </c>
      <c r="AL714">
        <f t="shared" ca="1" si="171"/>
        <v>0</v>
      </c>
    </row>
    <row r="715" spans="1:38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#N/A, OFFSET(data!$A$1, ROW()-1, AA$1-1))</f>
        <v>0</v>
      </c>
      <c r="AB715">
        <f t="shared" ca="1" si="162"/>
        <v>0</v>
      </c>
      <c r="AC715" t="e">
        <f t="shared" ca="1" si="163"/>
        <v>#VALUE!</v>
      </c>
      <c r="AD715" t="str">
        <f t="shared" ca="1" si="164"/>
        <v>0</v>
      </c>
      <c r="AE715" t="str">
        <f t="shared" ca="1" si="165"/>
        <v/>
      </c>
      <c r="AF715" s="6">
        <f t="shared" ca="1" si="166"/>
        <v>0</v>
      </c>
      <c r="AG715">
        <f t="shared" ca="1" si="161"/>
        <v>0</v>
      </c>
      <c r="AH715">
        <f t="shared" ca="1" si="167"/>
        <v>0</v>
      </c>
      <c r="AI715">
        <f t="shared" ca="1" si="168"/>
        <v>0</v>
      </c>
      <c r="AJ715">
        <f t="shared" ca="1" si="169"/>
        <v>0</v>
      </c>
      <c r="AK715">
        <f t="shared" ca="1" si="170"/>
        <v>0</v>
      </c>
      <c r="AL715">
        <f t="shared" ca="1" si="171"/>
        <v>0</v>
      </c>
    </row>
    <row r="716" spans="1:38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#N/A, OFFSET(data!$A$1, ROW()-1, AA$1-1))</f>
        <v>0</v>
      </c>
      <c r="AB716">
        <f t="shared" ca="1" si="162"/>
        <v>0</v>
      </c>
      <c r="AC716" t="e">
        <f t="shared" ca="1" si="163"/>
        <v>#VALUE!</v>
      </c>
      <c r="AD716" t="str">
        <f t="shared" ca="1" si="164"/>
        <v>0</v>
      </c>
      <c r="AE716" t="str">
        <f t="shared" ca="1" si="165"/>
        <v/>
      </c>
      <c r="AF716" s="6">
        <f t="shared" ca="1" si="166"/>
        <v>0</v>
      </c>
      <c r="AG716">
        <f t="shared" ca="1" si="161"/>
        <v>0</v>
      </c>
      <c r="AH716">
        <f t="shared" ca="1" si="167"/>
        <v>0</v>
      </c>
      <c r="AI716">
        <f t="shared" ca="1" si="168"/>
        <v>0</v>
      </c>
      <c r="AJ716">
        <f t="shared" ca="1" si="169"/>
        <v>0</v>
      </c>
      <c r="AK716">
        <f t="shared" ca="1" si="170"/>
        <v>0</v>
      </c>
      <c r="AL716">
        <f t="shared" ca="1" si="171"/>
        <v>0</v>
      </c>
    </row>
    <row r="717" spans="1:38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#N/A, OFFSET(data!$A$1, ROW()-1, AA$1-1))</f>
        <v>0</v>
      </c>
      <c r="AB717">
        <f t="shared" ca="1" si="162"/>
        <v>0</v>
      </c>
      <c r="AC717" t="e">
        <f t="shared" ca="1" si="163"/>
        <v>#VALUE!</v>
      </c>
      <c r="AD717" t="str">
        <f t="shared" ca="1" si="164"/>
        <v>0</v>
      </c>
      <c r="AE717" t="str">
        <f t="shared" ca="1" si="165"/>
        <v/>
      </c>
      <c r="AF717" s="6">
        <f t="shared" ca="1" si="166"/>
        <v>0</v>
      </c>
      <c r="AG717">
        <f t="shared" ca="1" si="161"/>
        <v>0</v>
      </c>
      <c r="AH717">
        <f t="shared" ca="1" si="167"/>
        <v>0</v>
      </c>
      <c r="AI717">
        <f t="shared" ca="1" si="168"/>
        <v>0</v>
      </c>
      <c r="AJ717">
        <f t="shared" ca="1" si="169"/>
        <v>0</v>
      </c>
      <c r="AK717">
        <f t="shared" ca="1" si="170"/>
        <v>0</v>
      </c>
      <c r="AL717">
        <f t="shared" ca="1" si="171"/>
        <v>0</v>
      </c>
    </row>
    <row r="718" spans="1:38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#N/A, OFFSET(data!$A$1, ROW()-1, AA$1-1))</f>
        <v>0</v>
      </c>
      <c r="AB718">
        <f t="shared" ca="1" si="162"/>
        <v>0</v>
      </c>
      <c r="AC718" t="e">
        <f t="shared" ca="1" si="163"/>
        <v>#VALUE!</v>
      </c>
      <c r="AD718" t="str">
        <f t="shared" ca="1" si="164"/>
        <v>0</v>
      </c>
      <c r="AE718" t="str">
        <f t="shared" ca="1" si="165"/>
        <v/>
      </c>
      <c r="AF718" s="6">
        <f t="shared" ca="1" si="166"/>
        <v>0</v>
      </c>
      <c r="AG718">
        <f t="shared" ca="1" si="161"/>
        <v>0</v>
      </c>
      <c r="AH718">
        <f t="shared" ca="1" si="167"/>
        <v>0</v>
      </c>
      <c r="AI718">
        <f t="shared" ca="1" si="168"/>
        <v>0</v>
      </c>
      <c r="AJ718">
        <f t="shared" ca="1" si="169"/>
        <v>0</v>
      </c>
      <c r="AK718">
        <f t="shared" ca="1" si="170"/>
        <v>0</v>
      </c>
      <c r="AL718">
        <f t="shared" ca="1" si="171"/>
        <v>0</v>
      </c>
    </row>
    <row r="719" spans="1:38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#N/A, OFFSET(data!$A$1, ROW()-1, AA$1-1))</f>
        <v>0</v>
      </c>
      <c r="AB719">
        <f t="shared" ca="1" si="162"/>
        <v>0</v>
      </c>
      <c r="AC719" t="e">
        <f t="shared" ca="1" si="163"/>
        <v>#VALUE!</v>
      </c>
      <c r="AD719" t="str">
        <f t="shared" ca="1" si="164"/>
        <v>0</v>
      </c>
      <c r="AE719" t="str">
        <f t="shared" ca="1" si="165"/>
        <v/>
      </c>
      <c r="AF719" s="6">
        <f t="shared" ca="1" si="166"/>
        <v>0</v>
      </c>
      <c r="AG719">
        <f t="shared" ca="1" si="161"/>
        <v>0</v>
      </c>
      <c r="AH719">
        <f t="shared" ca="1" si="167"/>
        <v>0</v>
      </c>
      <c r="AI719">
        <f t="shared" ca="1" si="168"/>
        <v>0</v>
      </c>
      <c r="AJ719">
        <f t="shared" ca="1" si="169"/>
        <v>0</v>
      </c>
      <c r="AK719">
        <f t="shared" ca="1" si="170"/>
        <v>0</v>
      </c>
      <c r="AL719">
        <f t="shared" ca="1" si="171"/>
        <v>0</v>
      </c>
    </row>
    <row r="720" spans="1:38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#N/A, OFFSET(data!$A$1, ROW()-1, AA$1-1))</f>
        <v>0</v>
      </c>
      <c r="AB720">
        <f t="shared" ca="1" si="162"/>
        <v>0</v>
      </c>
      <c r="AC720" t="e">
        <f t="shared" ca="1" si="163"/>
        <v>#VALUE!</v>
      </c>
      <c r="AD720" t="str">
        <f t="shared" ca="1" si="164"/>
        <v>0</v>
      </c>
      <c r="AE720" t="str">
        <f t="shared" ca="1" si="165"/>
        <v/>
      </c>
      <c r="AF720" s="6">
        <f t="shared" ca="1" si="166"/>
        <v>0</v>
      </c>
      <c r="AG720">
        <f t="shared" ca="1" si="161"/>
        <v>0</v>
      </c>
      <c r="AH720">
        <f t="shared" ca="1" si="167"/>
        <v>0</v>
      </c>
      <c r="AI720">
        <f t="shared" ca="1" si="168"/>
        <v>0</v>
      </c>
      <c r="AJ720">
        <f t="shared" ca="1" si="169"/>
        <v>0</v>
      </c>
      <c r="AK720">
        <f t="shared" ca="1" si="170"/>
        <v>0</v>
      </c>
      <c r="AL720">
        <f t="shared" ca="1" si="171"/>
        <v>0</v>
      </c>
    </row>
    <row r="721" spans="1:38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#N/A, OFFSET(data!$A$1, ROW()-1, AA$1-1))</f>
        <v>0</v>
      </c>
      <c r="AB721">
        <f t="shared" ca="1" si="162"/>
        <v>0</v>
      </c>
      <c r="AC721" t="e">
        <f t="shared" ca="1" si="163"/>
        <v>#VALUE!</v>
      </c>
      <c r="AD721" t="str">
        <f t="shared" ca="1" si="164"/>
        <v>0</v>
      </c>
      <c r="AE721" t="str">
        <f t="shared" ca="1" si="165"/>
        <v/>
      </c>
      <c r="AF721" s="6">
        <f t="shared" ca="1" si="166"/>
        <v>0</v>
      </c>
      <c r="AG721">
        <f t="shared" ca="1" si="161"/>
        <v>0</v>
      </c>
      <c r="AH721">
        <f t="shared" ca="1" si="167"/>
        <v>0</v>
      </c>
      <c r="AI721">
        <f t="shared" ca="1" si="168"/>
        <v>0</v>
      </c>
      <c r="AJ721">
        <f t="shared" ca="1" si="169"/>
        <v>0</v>
      </c>
      <c r="AK721">
        <f t="shared" ca="1" si="170"/>
        <v>0</v>
      </c>
      <c r="AL721">
        <f t="shared" ca="1" si="171"/>
        <v>0</v>
      </c>
    </row>
    <row r="722" spans="1:38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#N/A, OFFSET(data!$A$1, ROW()-1, AA$1-1))</f>
        <v>0</v>
      </c>
      <c r="AB722">
        <f t="shared" ca="1" si="162"/>
        <v>0</v>
      </c>
      <c r="AC722" t="e">
        <f t="shared" ca="1" si="163"/>
        <v>#VALUE!</v>
      </c>
      <c r="AD722" t="str">
        <f t="shared" ca="1" si="164"/>
        <v>0</v>
      </c>
      <c r="AE722" t="str">
        <f t="shared" ca="1" si="165"/>
        <v/>
      </c>
      <c r="AF722" s="6">
        <f t="shared" ca="1" si="166"/>
        <v>0</v>
      </c>
      <c r="AG722">
        <f t="shared" ca="1" si="161"/>
        <v>0</v>
      </c>
      <c r="AH722">
        <f t="shared" ca="1" si="167"/>
        <v>0</v>
      </c>
      <c r="AI722">
        <f t="shared" ca="1" si="168"/>
        <v>0</v>
      </c>
      <c r="AJ722">
        <f t="shared" ca="1" si="169"/>
        <v>0</v>
      </c>
      <c r="AK722">
        <f t="shared" ca="1" si="170"/>
        <v>0</v>
      </c>
      <c r="AL722">
        <f t="shared" ca="1" si="171"/>
        <v>0</v>
      </c>
    </row>
    <row r="723" spans="1:38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#N/A, OFFSET(data!$A$1, ROW()-1, AA$1-1))</f>
        <v>0</v>
      </c>
      <c r="AB723">
        <f t="shared" ca="1" si="162"/>
        <v>0</v>
      </c>
      <c r="AC723" t="e">
        <f t="shared" ca="1" si="163"/>
        <v>#VALUE!</v>
      </c>
      <c r="AD723" t="str">
        <f t="shared" ca="1" si="164"/>
        <v>0</v>
      </c>
      <c r="AE723" t="str">
        <f t="shared" ca="1" si="165"/>
        <v/>
      </c>
      <c r="AF723" s="6">
        <f t="shared" ca="1" si="166"/>
        <v>0</v>
      </c>
      <c r="AG723">
        <f t="shared" ca="1" si="161"/>
        <v>0</v>
      </c>
      <c r="AH723">
        <f t="shared" ca="1" si="167"/>
        <v>0</v>
      </c>
      <c r="AI723">
        <f t="shared" ca="1" si="168"/>
        <v>0</v>
      </c>
      <c r="AJ723">
        <f t="shared" ca="1" si="169"/>
        <v>0</v>
      </c>
      <c r="AK723">
        <f t="shared" ca="1" si="170"/>
        <v>0</v>
      </c>
      <c r="AL723">
        <f t="shared" ca="1" si="171"/>
        <v>0</v>
      </c>
    </row>
    <row r="724" spans="1:38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#N/A, OFFSET(data!$A$1, ROW()-1, AA$1-1))</f>
        <v>0</v>
      </c>
      <c r="AB724">
        <f t="shared" ca="1" si="162"/>
        <v>0</v>
      </c>
      <c r="AC724" t="e">
        <f t="shared" ca="1" si="163"/>
        <v>#VALUE!</v>
      </c>
      <c r="AD724" t="str">
        <f t="shared" ca="1" si="164"/>
        <v>0</v>
      </c>
      <c r="AE724" t="str">
        <f t="shared" ca="1" si="165"/>
        <v/>
      </c>
      <c r="AF724" s="6">
        <f t="shared" ca="1" si="166"/>
        <v>0</v>
      </c>
      <c r="AG724">
        <f t="shared" ca="1" si="161"/>
        <v>0</v>
      </c>
      <c r="AH724">
        <f t="shared" ca="1" si="167"/>
        <v>0</v>
      </c>
      <c r="AI724">
        <f t="shared" ca="1" si="168"/>
        <v>0</v>
      </c>
      <c r="AJ724">
        <f t="shared" ca="1" si="169"/>
        <v>0</v>
      </c>
      <c r="AK724">
        <f t="shared" ca="1" si="170"/>
        <v>0</v>
      </c>
      <c r="AL724">
        <f t="shared" ca="1" si="171"/>
        <v>0</v>
      </c>
    </row>
    <row r="725" spans="1:38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#N/A, OFFSET(data!$A$1, ROW()-1, AA$1-1))</f>
        <v>0</v>
      </c>
      <c r="AB725">
        <f t="shared" ca="1" si="162"/>
        <v>0</v>
      </c>
      <c r="AC725" t="e">
        <f t="shared" ca="1" si="163"/>
        <v>#VALUE!</v>
      </c>
      <c r="AD725" t="str">
        <f t="shared" ca="1" si="164"/>
        <v>0</v>
      </c>
      <c r="AE725" t="str">
        <f t="shared" ca="1" si="165"/>
        <v/>
      </c>
      <c r="AF725" s="6">
        <f t="shared" ca="1" si="166"/>
        <v>0</v>
      </c>
      <c r="AG725">
        <f t="shared" ca="1" si="161"/>
        <v>0</v>
      </c>
      <c r="AH725">
        <f t="shared" ca="1" si="167"/>
        <v>0</v>
      </c>
      <c r="AI725">
        <f t="shared" ca="1" si="168"/>
        <v>0</v>
      </c>
      <c r="AJ725">
        <f t="shared" ca="1" si="169"/>
        <v>0</v>
      </c>
      <c r="AK725">
        <f t="shared" ca="1" si="170"/>
        <v>0</v>
      </c>
      <c r="AL725">
        <f t="shared" ca="1" si="171"/>
        <v>0</v>
      </c>
    </row>
    <row r="726" spans="1:38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#N/A, OFFSET(data!$A$1, ROW()-1, AA$1-1))</f>
        <v>0</v>
      </c>
      <c r="AB726">
        <f t="shared" ca="1" si="162"/>
        <v>0</v>
      </c>
      <c r="AC726" t="e">
        <f t="shared" ca="1" si="163"/>
        <v>#VALUE!</v>
      </c>
      <c r="AD726" t="str">
        <f t="shared" ca="1" si="164"/>
        <v>0</v>
      </c>
      <c r="AE726" t="str">
        <f t="shared" ca="1" si="165"/>
        <v/>
      </c>
      <c r="AF726" s="6">
        <f t="shared" ca="1" si="166"/>
        <v>0</v>
      </c>
      <c r="AG726">
        <f t="shared" ca="1" si="161"/>
        <v>0</v>
      </c>
      <c r="AH726">
        <f t="shared" ca="1" si="167"/>
        <v>0</v>
      </c>
      <c r="AI726">
        <f t="shared" ca="1" si="168"/>
        <v>0</v>
      </c>
      <c r="AJ726">
        <f t="shared" ca="1" si="169"/>
        <v>0</v>
      </c>
      <c r="AK726">
        <f t="shared" ca="1" si="170"/>
        <v>0</v>
      </c>
      <c r="AL726">
        <f t="shared" ca="1" si="171"/>
        <v>0</v>
      </c>
    </row>
    <row r="727" spans="1:38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#N/A, OFFSET(data!$A$1, ROW()-1, AA$1-1))</f>
        <v>0</v>
      </c>
      <c r="AB727">
        <f t="shared" ca="1" si="162"/>
        <v>0</v>
      </c>
      <c r="AC727" t="e">
        <f t="shared" ca="1" si="163"/>
        <v>#VALUE!</v>
      </c>
      <c r="AD727" t="str">
        <f t="shared" ca="1" si="164"/>
        <v>0</v>
      </c>
      <c r="AE727" t="str">
        <f t="shared" ca="1" si="165"/>
        <v/>
      </c>
      <c r="AF727" s="6">
        <f t="shared" ca="1" si="166"/>
        <v>0</v>
      </c>
      <c r="AG727">
        <f t="shared" ca="1" si="161"/>
        <v>0</v>
      </c>
      <c r="AH727">
        <f t="shared" ca="1" si="167"/>
        <v>0</v>
      </c>
      <c r="AI727">
        <f t="shared" ca="1" si="168"/>
        <v>0</v>
      </c>
      <c r="AJ727">
        <f t="shared" ca="1" si="169"/>
        <v>0</v>
      </c>
      <c r="AK727">
        <f t="shared" ca="1" si="170"/>
        <v>0</v>
      </c>
      <c r="AL727">
        <f t="shared" ca="1" si="171"/>
        <v>0</v>
      </c>
    </row>
    <row r="728" spans="1:38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#N/A, OFFSET(data!$A$1, ROW()-1, AA$1-1))</f>
        <v>0</v>
      </c>
      <c r="AB728">
        <f t="shared" ca="1" si="162"/>
        <v>0</v>
      </c>
      <c r="AC728" t="e">
        <f t="shared" ca="1" si="163"/>
        <v>#VALUE!</v>
      </c>
      <c r="AD728" t="str">
        <f t="shared" ca="1" si="164"/>
        <v>0</v>
      </c>
      <c r="AE728" t="str">
        <f t="shared" ca="1" si="165"/>
        <v/>
      </c>
      <c r="AF728" s="6">
        <f t="shared" ca="1" si="166"/>
        <v>0</v>
      </c>
      <c r="AG728">
        <f t="shared" ca="1" si="161"/>
        <v>0</v>
      </c>
      <c r="AH728">
        <f t="shared" ca="1" si="167"/>
        <v>0</v>
      </c>
      <c r="AI728">
        <f t="shared" ca="1" si="168"/>
        <v>0</v>
      </c>
      <c r="AJ728">
        <f t="shared" ca="1" si="169"/>
        <v>0</v>
      </c>
      <c r="AK728">
        <f t="shared" ca="1" si="170"/>
        <v>0</v>
      </c>
      <c r="AL728">
        <f t="shared" ca="1" si="171"/>
        <v>0</v>
      </c>
    </row>
    <row r="729" spans="1:38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#N/A, OFFSET(data!$A$1, ROW()-1, AA$1-1))</f>
        <v>0</v>
      </c>
      <c r="AB729">
        <f t="shared" ca="1" si="162"/>
        <v>0</v>
      </c>
      <c r="AC729" t="e">
        <f t="shared" ca="1" si="163"/>
        <v>#VALUE!</v>
      </c>
      <c r="AD729" t="str">
        <f t="shared" ca="1" si="164"/>
        <v>0</v>
      </c>
      <c r="AE729" t="str">
        <f t="shared" ca="1" si="165"/>
        <v/>
      </c>
      <c r="AF729" s="6">
        <f t="shared" ca="1" si="166"/>
        <v>0</v>
      </c>
      <c r="AG729">
        <f t="shared" ca="1" si="161"/>
        <v>0</v>
      </c>
      <c r="AH729">
        <f t="shared" ca="1" si="167"/>
        <v>0</v>
      </c>
      <c r="AI729">
        <f t="shared" ca="1" si="168"/>
        <v>0</v>
      </c>
      <c r="AJ729">
        <f t="shared" ca="1" si="169"/>
        <v>0</v>
      </c>
      <c r="AK729">
        <f t="shared" ca="1" si="170"/>
        <v>0</v>
      </c>
      <c r="AL729">
        <f t="shared" ca="1" si="171"/>
        <v>0</v>
      </c>
    </row>
    <row r="730" spans="1:38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#N/A, OFFSET(data!$A$1, ROW()-1, AA$1-1))</f>
        <v>0</v>
      </c>
      <c r="AB730">
        <f t="shared" ca="1" si="162"/>
        <v>0</v>
      </c>
      <c r="AC730" t="e">
        <f t="shared" ca="1" si="163"/>
        <v>#VALUE!</v>
      </c>
      <c r="AD730" t="str">
        <f t="shared" ca="1" si="164"/>
        <v>0</v>
      </c>
      <c r="AE730" t="str">
        <f t="shared" ca="1" si="165"/>
        <v/>
      </c>
      <c r="AF730" s="6">
        <f t="shared" ca="1" si="166"/>
        <v>0</v>
      </c>
      <c r="AG730">
        <f t="shared" ca="1" si="161"/>
        <v>0</v>
      </c>
      <c r="AH730">
        <f t="shared" ca="1" si="167"/>
        <v>0</v>
      </c>
      <c r="AI730">
        <f t="shared" ca="1" si="168"/>
        <v>0</v>
      </c>
      <c r="AJ730">
        <f t="shared" ca="1" si="169"/>
        <v>0</v>
      </c>
      <c r="AK730">
        <f t="shared" ca="1" si="170"/>
        <v>0</v>
      </c>
      <c r="AL730">
        <f t="shared" ca="1" si="171"/>
        <v>0</v>
      </c>
    </row>
    <row r="731" spans="1:38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#N/A, OFFSET(data!$A$1, ROW()-1, AA$1-1))</f>
        <v>0</v>
      </c>
      <c r="AB731">
        <f t="shared" ca="1" si="162"/>
        <v>0</v>
      </c>
      <c r="AC731" t="e">
        <f t="shared" ca="1" si="163"/>
        <v>#VALUE!</v>
      </c>
      <c r="AD731" t="str">
        <f t="shared" ca="1" si="164"/>
        <v>0</v>
      </c>
      <c r="AE731" t="str">
        <f t="shared" ca="1" si="165"/>
        <v/>
      </c>
      <c r="AF731" s="6">
        <f t="shared" ca="1" si="166"/>
        <v>0</v>
      </c>
      <c r="AG731">
        <f t="shared" ca="1" si="161"/>
        <v>0</v>
      </c>
      <c r="AH731">
        <f t="shared" ca="1" si="167"/>
        <v>0</v>
      </c>
      <c r="AI731">
        <f t="shared" ca="1" si="168"/>
        <v>0</v>
      </c>
      <c r="AJ731">
        <f t="shared" ca="1" si="169"/>
        <v>0</v>
      </c>
      <c r="AK731">
        <f t="shared" ca="1" si="170"/>
        <v>0</v>
      </c>
      <c r="AL731">
        <f t="shared" ca="1" si="171"/>
        <v>0</v>
      </c>
    </row>
    <row r="732" spans="1:38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#N/A, OFFSET(data!$A$1, ROW()-1, AA$1-1))</f>
        <v>0</v>
      </c>
      <c r="AB732">
        <f t="shared" ca="1" si="162"/>
        <v>0</v>
      </c>
      <c r="AC732" t="e">
        <f t="shared" ca="1" si="163"/>
        <v>#VALUE!</v>
      </c>
      <c r="AD732" t="str">
        <f t="shared" ca="1" si="164"/>
        <v>0</v>
      </c>
      <c r="AE732" t="str">
        <f t="shared" ca="1" si="165"/>
        <v/>
      </c>
      <c r="AF732" s="6">
        <f t="shared" ca="1" si="166"/>
        <v>0</v>
      </c>
      <c r="AG732">
        <f t="shared" ca="1" si="161"/>
        <v>0</v>
      </c>
      <c r="AH732">
        <f t="shared" ca="1" si="167"/>
        <v>0</v>
      </c>
      <c r="AI732">
        <f t="shared" ca="1" si="168"/>
        <v>0</v>
      </c>
      <c r="AJ732">
        <f t="shared" ca="1" si="169"/>
        <v>0</v>
      </c>
      <c r="AK732">
        <f t="shared" ca="1" si="170"/>
        <v>0</v>
      </c>
      <c r="AL732">
        <f t="shared" ca="1" si="171"/>
        <v>0</v>
      </c>
    </row>
    <row r="733" spans="1:38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#N/A, OFFSET(data!$A$1, ROW()-1, AA$1-1))</f>
        <v>0</v>
      </c>
      <c r="AB733">
        <f t="shared" ca="1" si="162"/>
        <v>0</v>
      </c>
      <c r="AC733" t="e">
        <f t="shared" ca="1" si="163"/>
        <v>#VALUE!</v>
      </c>
      <c r="AD733" t="str">
        <f t="shared" ca="1" si="164"/>
        <v>0</v>
      </c>
      <c r="AE733" t="str">
        <f t="shared" ca="1" si="165"/>
        <v/>
      </c>
      <c r="AF733" s="6">
        <f t="shared" ca="1" si="166"/>
        <v>0</v>
      </c>
      <c r="AG733">
        <f t="shared" ca="1" si="161"/>
        <v>0</v>
      </c>
      <c r="AH733">
        <f t="shared" ca="1" si="167"/>
        <v>0</v>
      </c>
      <c r="AI733">
        <f t="shared" ca="1" si="168"/>
        <v>0</v>
      </c>
      <c r="AJ733">
        <f t="shared" ca="1" si="169"/>
        <v>0</v>
      </c>
      <c r="AK733">
        <f t="shared" ca="1" si="170"/>
        <v>0</v>
      </c>
      <c r="AL733">
        <f t="shared" ca="1" si="171"/>
        <v>0</v>
      </c>
    </row>
    <row r="734" spans="1:38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#N/A, OFFSET(data!$A$1, ROW()-1, AA$1-1))</f>
        <v>0</v>
      </c>
      <c r="AB734">
        <f t="shared" ca="1" si="162"/>
        <v>0</v>
      </c>
      <c r="AC734" t="e">
        <f t="shared" ca="1" si="163"/>
        <v>#VALUE!</v>
      </c>
      <c r="AD734" t="str">
        <f t="shared" ca="1" si="164"/>
        <v>0</v>
      </c>
      <c r="AE734" t="str">
        <f t="shared" ca="1" si="165"/>
        <v/>
      </c>
      <c r="AF734" s="6">
        <f t="shared" ca="1" si="166"/>
        <v>0</v>
      </c>
      <c r="AG734">
        <f t="shared" ca="1" si="161"/>
        <v>0</v>
      </c>
      <c r="AH734">
        <f t="shared" ca="1" si="167"/>
        <v>0</v>
      </c>
      <c r="AI734">
        <f t="shared" ca="1" si="168"/>
        <v>0</v>
      </c>
      <c r="AJ734">
        <f t="shared" ca="1" si="169"/>
        <v>0</v>
      </c>
      <c r="AK734">
        <f t="shared" ca="1" si="170"/>
        <v>0</v>
      </c>
      <c r="AL734">
        <f t="shared" ca="1" si="171"/>
        <v>0</v>
      </c>
    </row>
    <row r="735" spans="1:38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#N/A, OFFSET(data!$A$1, ROW()-1, AA$1-1))</f>
        <v>0</v>
      </c>
      <c r="AB735">
        <f t="shared" ca="1" si="162"/>
        <v>0</v>
      </c>
      <c r="AC735" t="e">
        <f t="shared" ca="1" si="163"/>
        <v>#VALUE!</v>
      </c>
      <c r="AD735" t="str">
        <f t="shared" ca="1" si="164"/>
        <v>0</v>
      </c>
      <c r="AE735" t="str">
        <f t="shared" ca="1" si="165"/>
        <v/>
      </c>
      <c r="AF735" s="6">
        <f t="shared" ca="1" si="166"/>
        <v>0</v>
      </c>
      <c r="AG735">
        <f t="shared" ca="1" si="161"/>
        <v>0</v>
      </c>
      <c r="AH735">
        <f t="shared" ca="1" si="167"/>
        <v>0</v>
      </c>
      <c r="AI735">
        <f t="shared" ca="1" si="168"/>
        <v>0</v>
      </c>
      <c r="AJ735">
        <f t="shared" ca="1" si="169"/>
        <v>0</v>
      </c>
      <c r="AK735">
        <f t="shared" ca="1" si="170"/>
        <v>0</v>
      </c>
      <c r="AL735">
        <f t="shared" ca="1" si="171"/>
        <v>0</v>
      </c>
    </row>
    <row r="736" spans="1:38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#N/A, OFFSET(data!$A$1, ROW()-1, AA$1-1))</f>
        <v>0</v>
      </c>
      <c r="AB736">
        <f t="shared" ca="1" si="162"/>
        <v>0</v>
      </c>
      <c r="AC736" t="e">
        <f t="shared" ca="1" si="163"/>
        <v>#VALUE!</v>
      </c>
      <c r="AD736" t="str">
        <f t="shared" ca="1" si="164"/>
        <v>0</v>
      </c>
      <c r="AE736" t="str">
        <f t="shared" ca="1" si="165"/>
        <v/>
      </c>
      <c r="AF736" s="6">
        <f t="shared" ca="1" si="166"/>
        <v>0</v>
      </c>
      <c r="AG736">
        <f t="shared" ca="1" si="161"/>
        <v>0</v>
      </c>
      <c r="AH736">
        <f t="shared" ca="1" si="167"/>
        <v>0</v>
      </c>
      <c r="AI736">
        <f t="shared" ca="1" si="168"/>
        <v>0</v>
      </c>
      <c r="AJ736">
        <f t="shared" ca="1" si="169"/>
        <v>0</v>
      </c>
      <c r="AK736">
        <f t="shared" ca="1" si="170"/>
        <v>0</v>
      </c>
      <c r="AL736">
        <f t="shared" ca="1" si="171"/>
        <v>0</v>
      </c>
    </row>
    <row r="737" spans="1:38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#N/A, OFFSET(data!$A$1, ROW()-1, AA$1-1))</f>
        <v>0</v>
      </c>
      <c r="AB737">
        <f t="shared" ca="1" si="162"/>
        <v>0</v>
      </c>
      <c r="AC737" t="e">
        <f t="shared" ca="1" si="163"/>
        <v>#VALUE!</v>
      </c>
      <c r="AD737" t="str">
        <f t="shared" ca="1" si="164"/>
        <v>0</v>
      </c>
      <c r="AE737" t="str">
        <f t="shared" ca="1" si="165"/>
        <v/>
      </c>
      <c r="AF737" s="6">
        <f t="shared" ca="1" si="166"/>
        <v>0</v>
      </c>
      <c r="AG737">
        <f t="shared" ca="1" si="161"/>
        <v>0</v>
      </c>
      <c r="AH737">
        <f t="shared" ca="1" si="167"/>
        <v>0</v>
      </c>
      <c r="AI737">
        <f t="shared" ca="1" si="168"/>
        <v>0</v>
      </c>
      <c r="AJ737">
        <f t="shared" ca="1" si="169"/>
        <v>0</v>
      </c>
      <c r="AK737">
        <f t="shared" ca="1" si="170"/>
        <v>0</v>
      </c>
      <c r="AL737">
        <f t="shared" ca="1" si="171"/>
        <v>0</v>
      </c>
    </row>
    <row r="738" spans="1:38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#N/A, OFFSET(data!$A$1, ROW()-1, AA$1-1))</f>
        <v>0</v>
      </c>
      <c r="AB738">
        <f t="shared" ca="1" si="162"/>
        <v>0</v>
      </c>
      <c r="AC738" t="e">
        <f t="shared" ca="1" si="163"/>
        <v>#VALUE!</v>
      </c>
      <c r="AD738" t="str">
        <f t="shared" ca="1" si="164"/>
        <v>0</v>
      </c>
      <c r="AE738" t="str">
        <f t="shared" ca="1" si="165"/>
        <v/>
      </c>
      <c r="AF738" s="6">
        <f t="shared" ca="1" si="166"/>
        <v>0</v>
      </c>
      <c r="AG738">
        <f t="shared" ca="1" si="161"/>
        <v>0</v>
      </c>
      <c r="AH738">
        <f t="shared" ca="1" si="167"/>
        <v>0</v>
      </c>
      <c r="AI738">
        <f t="shared" ca="1" si="168"/>
        <v>0</v>
      </c>
      <c r="AJ738">
        <f t="shared" ca="1" si="169"/>
        <v>0</v>
      </c>
      <c r="AK738">
        <f t="shared" ca="1" si="170"/>
        <v>0</v>
      </c>
      <c r="AL738">
        <f t="shared" ca="1" si="171"/>
        <v>0</v>
      </c>
    </row>
    <row r="739" spans="1:38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#N/A, OFFSET(data!$A$1, ROW()-1, AA$1-1))</f>
        <v>0</v>
      </c>
      <c r="AB739">
        <f t="shared" ca="1" si="162"/>
        <v>0</v>
      </c>
      <c r="AC739" t="e">
        <f t="shared" ca="1" si="163"/>
        <v>#VALUE!</v>
      </c>
      <c r="AD739" t="str">
        <f t="shared" ca="1" si="164"/>
        <v>0</v>
      </c>
      <c r="AE739" t="str">
        <f t="shared" ca="1" si="165"/>
        <v/>
      </c>
      <c r="AF739" s="6">
        <f t="shared" ca="1" si="166"/>
        <v>0</v>
      </c>
      <c r="AG739">
        <f t="shared" ca="1" si="161"/>
        <v>0</v>
      </c>
      <c r="AH739">
        <f t="shared" ca="1" si="167"/>
        <v>0</v>
      </c>
      <c r="AI739">
        <f t="shared" ca="1" si="168"/>
        <v>0</v>
      </c>
      <c r="AJ739">
        <f t="shared" ca="1" si="169"/>
        <v>0</v>
      </c>
      <c r="AK739">
        <f t="shared" ca="1" si="170"/>
        <v>0</v>
      </c>
      <c r="AL739">
        <f t="shared" ca="1" si="171"/>
        <v>0</v>
      </c>
    </row>
    <row r="740" spans="1:38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#N/A, OFFSET(data!$A$1, ROW()-1, AA$1-1))</f>
        <v>0</v>
      </c>
      <c r="AB740">
        <f t="shared" ca="1" si="162"/>
        <v>0</v>
      </c>
      <c r="AC740" t="e">
        <f t="shared" ca="1" si="163"/>
        <v>#VALUE!</v>
      </c>
      <c r="AD740" t="str">
        <f t="shared" ca="1" si="164"/>
        <v>0</v>
      </c>
      <c r="AE740" t="str">
        <f t="shared" ca="1" si="165"/>
        <v/>
      </c>
      <c r="AF740" s="6">
        <f t="shared" ca="1" si="166"/>
        <v>0</v>
      </c>
      <c r="AG740">
        <f t="shared" ca="1" si="161"/>
        <v>0</v>
      </c>
      <c r="AH740">
        <f t="shared" ca="1" si="167"/>
        <v>0</v>
      </c>
      <c r="AI740">
        <f t="shared" ca="1" si="168"/>
        <v>0</v>
      </c>
      <c r="AJ740">
        <f t="shared" ca="1" si="169"/>
        <v>0</v>
      </c>
      <c r="AK740">
        <f t="shared" ca="1" si="170"/>
        <v>0</v>
      </c>
      <c r="AL740">
        <f t="shared" ca="1" si="171"/>
        <v>0</v>
      </c>
    </row>
    <row r="741" spans="1:38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#N/A, OFFSET(data!$A$1, ROW()-1, AA$1-1))</f>
        <v>0</v>
      </c>
      <c r="AB741">
        <f t="shared" ca="1" si="162"/>
        <v>0</v>
      </c>
      <c r="AC741" t="e">
        <f t="shared" ca="1" si="163"/>
        <v>#VALUE!</v>
      </c>
      <c r="AD741" t="str">
        <f t="shared" ca="1" si="164"/>
        <v>0</v>
      </c>
      <c r="AE741" t="str">
        <f t="shared" ca="1" si="165"/>
        <v/>
      </c>
      <c r="AF741" s="6">
        <f t="shared" ca="1" si="166"/>
        <v>0</v>
      </c>
      <c r="AG741">
        <f t="shared" ca="1" si="161"/>
        <v>0</v>
      </c>
      <c r="AH741">
        <f t="shared" ca="1" si="167"/>
        <v>0</v>
      </c>
      <c r="AI741">
        <f t="shared" ca="1" si="168"/>
        <v>0</v>
      </c>
      <c r="AJ741">
        <f t="shared" ca="1" si="169"/>
        <v>0</v>
      </c>
      <c r="AK741">
        <f t="shared" ca="1" si="170"/>
        <v>0</v>
      </c>
      <c r="AL741">
        <f t="shared" ca="1" si="171"/>
        <v>0</v>
      </c>
    </row>
    <row r="742" spans="1:38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#N/A, OFFSET(data!$A$1, ROW()-1, AA$1-1))</f>
        <v>0</v>
      </c>
      <c r="AB742">
        <f t="shared" ca="1" si="162"/>
        <v>0</v>
      </c>
      <c r="AC742" t="e">
        <f t="shared" ca="1" si="163"/>
        <v>#VALUE!</v>
      </c>
      <c r="AD742" t="str">
        <f t="shared" ca="1" si="164"/>
        <v>0</v>
      </c>
      <c r="AE742" t="str">
        <f t="shared" ca="1" si="165"/>
        <v/>
      </c>
      <c r="AF742" s="6">
        <f t="shared" ca="1" si="166"/>
        <v>0</v>
      </c>
      <c r="AG742">
        <f t="shared" ca="1" si="161"/>
        <v>0</v>
      </c>
      <c r="AH742">
        <f t="shared" ca="1" si="167"/>
        <v>0</v>
      </c>
      <c r="AI742">
        <f t="shared" ca="1" si="168"/>
        <v>0</v>
      </c>
      <c r="AJ742">
        <f t="shared" ca="1" si="169"/>
        <v>0</v>
      </c>
      <c r="AK742">
        <f t="shared" ca="1" si="170"/>
        <v>0</v>
      </c>
      <c r="AL742">
        <f t="shared" ca="1" si="171"/>
        <v>0</v>
      </c>
    </row>
    <row r="743" spans="1:38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#N/A, OFFSET(data!$A$1, ROW()-1, AA$1-1))</f>
        <v>0</v>
      </c>
      <c r="AB743">
        <f t="shared" ca="1" si="162"/>
        <v>0</v>
      </c>
      <c r="AC743" t="e">
        <f t="shared" ca="1" si="163"/>
        <v>#VALUE!</v>
      </c>
      <c r="AD743" t="str">
        <f t="shared" ca="1" si="164"/>
        <v>0</v>
      </c>
      <c r="AE743" t="str">
        <f t="shared" ca="1" si="165"/>
        <v/>
      </c>
      <c r="AF743" s="6">
        <f t="shared" ca="1" si="166"/>
        <v>0</v>
      </c>
      <c r="AG743">
        <f t="shared" ca="1" si="161"/>
        <v>0</v>
      </c>
      <c r="AH743">
        <f t="shared" ca="1" si="167"/>
        <v>0</v>
      </c>
      <c r="AI743">
        <f t="shared" ca="1" si="168"/>
        <v>0</v>
      </c>
      <c r="AJ743">
        <f t="shared" ca="1" si="169"/>
        <v>0</v>
      </c>
      <c r="AK743">
        <f t="shared" ca="1" si="170"/>
        <v>0</v>
      </c>
      <c r="AL743">
        <f t="shared" ca="1" si="171"/>
        <v>0</v>
      </c>
    </row>
    <row r="744" spans="1:38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#N/A, OFFSET(data!$A$1, ROW()-1, AA$1-1))</f>
        <v>0</v>
      </c>
      <c r="AB744">
        <f t="shared" ca="1" si="162"/>
        <v>0</v>
      </c>
      <c r="AC744" t="e">
        <f t="shared" ca="1" si="163"/>
        <v>#VALUE!</v>
      </c>
      <c r="AD744" t="str">
        <f t="shared" ca="1" si="164"/>
        <v>0</v>
      </c>
      <c r="AE744" t="str">
        <f t="shared" ca="1" si="165"/>
        <v/>
      </c>
      <c r="AF744" s="6">
        <f t="shared" ca="1" si="166"/>
        <v>0</v>
      </c>
      <c r="AG744">
        <f t="shared" ca="1" si="161"/>
        <v>0</v>
      </c>
      <c r="AH744">
        <f t="shared" ca="1" si="167"/>
        <v>0</v>
      </c>
      <c r="AI744">
        <f t="shared" ca="1" si="168"/>
        <v>0</v>
      </c>
      <c r="AJ744">
        <f t="shared" ca="1" si="169"/>
        <v>0</v>
      </c>
      <c r="AK744">
        <f t="shared" ca="1" si="170"/>
        <v>0</v>
      </c>
      <c r="AL744">
        <f t="shared" ca="1" si="171"/>
        <v>0</v>
      </c>
    </row>
    <row r="745" spans="1:38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#N/A, OFFSET(data!$A$1, ROW()-1, AA$1-1))</f>
        <v>0</v>
      </c>
      <c r="AB745">
        <f t="shared" ca="1" si="162"/>
        <v>0</v>
      </c>
      <c r="AC745" t="e">
        <f t="shared" ca="1" si="163"/>
        <v>#VALUE!</v>
      </c>
      <c r="AD745" t="str">
        <f t="shared" ca="1" si="164"/>
        <v>0</v>
      </c>
      <c r="AE745" t="str">
        <f t="shared" ca="1" si="165"/>
        <v/>
      </c>
      <c r="AF745" s="6">
        <f t="shared" ca="1" si="166"/>
        <v>0</v>
      </c>
      <c r="AG745">
        <f t="shared" ca="1" si="161"/>
        <v>0</v>
      </c>
      <c r="AH745">
        <f t="shared" ca="1" si="167"/>
        <v>0</v>
      </c>
      <c r="AI745">
        <f t="shared" ca="1" si="168"/>
        <v>0</v>
      </c>
      <c r="AJ745">
        <f t="shared" ca="1" si="169"/>
        <v>0</v>
      </c>
      <c r="AK745">
        <f t="shared" ca="1" si="170"/>
        <v>0</v>
      </c>
      <c r="AL745">
        <f t="shared" ca="1" si="171"/>
        <v>0</v>
      </c>
    </row>
    <row r="746" spans="1:38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#N/A, OFFSET(data!$A$1, ROW()-1, AA$1-1))</f>
        <v>0</v>
      </c>
      <c r="AB746">
        <f t="shared" ca="1" si="162"/>
        <v>0</v>
      </c>
      <c r="AC746" t="e">
        <f t="shared" ca="1" si="163"/>
        <v>#VALUE!</v>
      </c>
      <c r="AD746" t="str">
        <f t="shared" ca="1" si="164"/>
        <v>0</v>
      </c>
      <c r="AE746" t="str">
        <f t="shared" ca="1" si="165"/>
        <v/>
      </c>
      <c r="AF746" s="6">
        <f t="shared" ca="1" si="166"/>
        <v>0</v>
      </c>
      <c r="AG746">
        <f t="shared" ca="1" si="161"/>
        <v>0</v>
      </c>
      <c r="AH746">
        <f t="shared" ca="1" si="167"/>
        <v>0</v>
      </c>
      <c r="AI746">
        <f t="shared" ca="1" si="168"/>
        <v>0</v>
      </c>
      <c r="AJ746">
        <f t="shared" ca="1" si="169"/>
        <v>0</v>
      </c>
      <c r="AK746">
        <f t="shared" ca="1" si="170"/>
        <v>0</v>
      </c>
      <c r="AL746">
        <f t="shared" ca="1" si="171"/>
        <v>0</v>
      </c>
    </row>
    <row r="747" spans="1:38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#N/A, OFFSET(data!$A$1, ROW()-1, AA$1-1))</f>
        <v>0</v>
      </c>
      <c r="AB747">
        <f t="shared" ca="1" si="162"/>
        <v>0</v>
      </c>
      <c r="AC747" t="e">
        <f t="shared" ca="1" si="163"/>
        <v>#VALUE!</v>
      </c>
      <c r="AD747" t="str">
        <f t="shared" ca="1" si="164"/>
        <v>0</v>
      </c>
      <c r="AE747" t="str">
        <f t="shared" ca="1" si="165"/>
        <v/>
      </c>
      <c r="AF747" s="6">
        <f t="shared" ca="1" si="166"/>
        <v>0</v>
      </c>
      <c r="AG747">
        <f t="shared" ca="1" si="161"/>
        <v>0</v>
      </c>
      <c r="AH747">
        <f t="shared" ca="1" si="167"/>
        <v>0</v>
      </c>
      <c r="AI747">
        <f t="shared" ca="1" si="168"/>
        <v>0</v>
      </c>
      <c r="AJ747">
        <f t="shared" ca="1" si="169"/>
        <v>0</v>
      </c>
      <c r="AK747">
        <f t="shared" ca="1" si="170"/>
        <v>0</v>
      </c>
      <c r="AL747">
        <f t="shared" ca="1" si="171"/>
        <v>0</v>
      </c>
    </row>
    <row r="748" spans="1:38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#N/A, OFFSET(data!$A$1, ROW()-1, AA$1-1))</f>
        <v>0</v>
      </c>
      <c r="AB748">
        <f t="shared" ca="1" si="162"/>
        <v>0</v>
      </c>
      <c r="AC748" t="e">
        <f t="shared" ca="1" si="163"/>
        <v>#VALUE!</v>
      </c>
      <c r="AD748" t="str">
        <f t="shared" ca="1" si="164"/>
        <v>0</v>
      </c>
      <c r="AE748" t="str">
        <f t="shared" ca="1" si="165"/>
        <v/>
      </c>
      <c r="AF748" s="6">
        <f t="shared" ca="1" si="166"/>
        <v>0</v>
      </c>
      <c r="AG748">
        <f t="shared" ca="1" si="161"/>
        <v>0</v>
      </c>
      <c r="AH748">
        <f t="shared" ca="1" si="167"/>
        <v>0</v>
      </c>
      <c r="AI748">
        <f t="shared" ca="1" si="168"/>
        <v>0</v>
      </c>
      <c r="AJ748">
        <f t="shared" ca="1" si="169"/>
        <v>0</v>
      </c>
      <c r="AK748">
        <f t="shared" ca="1" si="170"/>
        <v>0</v>
      </c>
      <c r="AL748">
        <f t="shared" ca="1" si="171"/>
        <v>0</v>
      </c>
    </row>
    <row r="749" spans="1:38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#N/A, OFFSET(data!$A$1, ROW()-1, AA$1-1))</f>
        <v>0</v>
      </c>
      <c r="AB749">
        <f t="shared" ca="1" si="162"/>
        <v>0</v>
      </c>
      <c r="AC749" t="e">
        <f t="shared" ca="1" si="163"/>
        <v>#VALUE!</v>
      </c>
      <c r="AD749" t="str">
        <f t="shared" ca="1" si="164"/>
        <v>0</v>
      </c>
      <c r="AE749" t="str">
        <f t="shared" ca="1" si="165"/>
        <v/>
      </c>
      <c r="AF749" s="6">
        <f t="shared" ca="1" si="166"/>
        <v>0</v>
      </c>
      <c r="AG749">
        <f t="shared" ca="1" si="161"/>
        <v>0</v>
      </c>
      <c r="AH749">
        <f t="shared" ca="1" si="167"/>
        <v>0</v>
      </c>
      <c r="AI749">
        <f t="shared" ca="1" si="168"/>
        <v>0</v>
      </c>
      <c r="AJ749">
        <f t="shared" ca="1" si="169"/>
        <v>0</v>
      </c>
      <c r="AK749">
        <f t="shared" ca="1" si="170"/>
        <v>0</v>
      </c>
      <c r="AL749">
        <f t="shared" ca="1" si="171"/>
        <v>0</v>
      </c>
    </row>
    <row r="750" spans="1:38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#N/A, OFFSET(data!$A$1, ROW()-1, AA$1-1))</f>
        <v>0</v>
      </c>
      <c r="AB750">
        <f t="shared" ca="1" si="162"/>
        <v>0</v>
      </c>
      <c r="AC750" t="e">
        <f t="shared" ca="1" si="163"/>
        <v>#VALUE!</v>
      </c>
      <c r="AD750" t="str">
        <f t="shared" ca="1" si="164"/>
        <v>0</v>
      </c>
      <c r="AE750" t="str">
        <f t="shared" ca="1" si="165"/>
        <v/>
      </c>
      <c r="AF750" s="6">
        <f t="shared" ca="1" si="166"/>
        <v>0</v>
      </c>
      <c r="AG750">
        <f t="shared" ca="1" si="161"/>
        <v>0</v>
      </c>
      <c r="AH750">
        <f t="shared" ca="1" si="167"/>
        <v>0</v>
      </c>
      <c r="AI750">
        <f t="shared" ca="1" si="168"/>
        <v>0</v>
      </c>
      <c r="AJ750">
        <f t="shared" ca="1" si="169"/>
        <v>0</v>
      </c>
      <c r="AK750">
        <f t="shared" ca="1" si="170"/>
        <v>0</v>
      </c>
      <c r="AL750">
        <f t="shared" ca="1" si="171"/>
        <v>0</v>
      </c>
    </row>
    <row r="751" spans="1:38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#N/A, OFFSET(data!$A$1, ROW()-1, AA$1-1))</f>
        <v>0</v>
      </c>
      <c r="AB751">
        <f t="shared" ca="1" si="162"/>
        <v>0</v>
      </c>
      <c r="AC751" t="e">
        <f t="shared" ca="1" si="163"/>
        <v>#VALUE!</v>
      </c>
      <c r="AD751" t="str">
        <f t="shared" ca="1" si="164"/>
        <v>0</v>
      </c>
      <c r="AE751" t="str">
        <f t="shared" ca="1" si="165"/>
        <v/>
      </c>
      <c r="AF751" s="6">
        <f t="shared" ca="1" si="166"/>
        <v>0</v>
      </c>
      <c r="AG751">
        <f t="shared" ca="1" si="161"/>
        <v>0</v>
      </c>
      <c r="AH751">
        <f t="shared" ca="1" si="167"/>
        <v>0</v>
      </c>
      <c r="AI751">
        <f t="shared" ca="1" si="168"/>
        <v>0</v>
      </c>
      <c r="AJ751">
        <f t="shared" ca="1" si="169"/>
        <v>0</v>
      </c>
      <c r="AK751">
        <f t="shared" ca="1" si="170"/>
        <v>0</v>
      </c>
      <c r="AL751">
        <f t="shared" ca="1" si="171"/>
        <v>0</v>
      </c>
    </row>
    <row r="752" spans="1:38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#N/A, OFFSET(data!$A$1, ROW()-1, AA$1-1))</f>
        <v>0</v>
      </c>
      <c r="AB752">
        <f t="shared" ca="1" si="162"/>
        <v>0</v>
      </c>
      <c r="AC752" t="e">
        <f t="shared" ca="1" si="163"/>
        <v>#VALUE!</v>
      </c>
      <c r="AD752" t="str">
        <f t="shared" ca="1" si="164"/>
        <v>0</v>
      </c>
      <c r="AE752" t="str">
        <f t="shared" ca="1" si="165"/>
        <v/>
      </c>
      <c r="AF752" s="6">
        <f t="shared" ca="1" si="166"/>
        <v>0</v>
      </c>
      <c r="AG752">
        <f t="shared" ca="1" si="161"/>
        <v>0</v>
      </c>
      <c r="AH752">
        <f t="shared" ca="1" si="167"/>
        <v>0</v>
      </c>
      <c r="AI752">
        <f t="shared" ca="1" si="168"/>
        <v>0</v>
      </c>
      <c r="AJ752">
        <f t="shared" ca="1" si="169"/>
        <v>0</v>
      </c>
      <c r="AK752">
        <f t="shared" ca="1" si="170"/>
        <v>0</v>
      </c>
      <c r="AL752">
        <f t="shared" ca="1" si="171"/>
        <v>0</v>
      </c>
    </row>
    <row r="753" spans="1:38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#N/A, OFFSET(data!$A$1, ROW()-1, AA$1-1))</f>
        <v>0</v>
      </c>
      <c r="AB753">
        <f t="shared" ca="1" si="162"/>
        <v>0</v>
      </c>
      <c r="AC753" t="e">
        <f t="shared" ca="1" si="163"/>
        <v>#VALUE!</v>
      </c>
      <c r="AD753" t="str">
        <f t="shared" ca="1" si="164"/>
        <v>0</v>
      </c>
      <c r="AE753" t="str">
        <f t="shared" ca="1" si="165"/>
        <v/>
      </c>
      <c r="AF753" s="6">
        <f t="shared" ca="1" si="166"/>
        <v>0</v>
      </c>
      <c r="AG753">
        <f t="shared" ca="1" si="161"/>
        <v>0</v>
      </c>
      <c r="AH753">
        <f t="shared" ca="1" si="167"/>
        <v>0</v>
      </c>
      <c r="AI753">
        <f t="shared" ca="1" si="168"/>
        <v>0</v>
      </c>
      <c r="AJ753">
        <f t="shared" ca="1" si="169"/>
        <v>0</v>
      </c>
      <c r="AK753">
        <f t="shared" ca="1" si="170"/>
        <v>0</v>
      </c>
      <c r="AL753">
        <f t="shared" ca="1" si="171"/>
        <v>0</v>
      </c>
    </row>
    <row r="754" spans="1:38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#N/A, OFFSET(data!$A$1, ROW()-1, AA$1-1))</f>
        <v>0</v>
      </c>
      <c r="AB754">
        <f t="shared" ca="1" si="162"/>
        <v>0</v>
      </c>
      <c r="AC754" t="e">
        <f t="shared" ca="1" si="163"/>
        <v>#VALUE!</v>
      </c>
      <c r="AD754" t="str">
        <f t="shared" ca="1" si="164"/>
        <v>0</v>
      </c>
      <c r="AE754" t="str">
        <f t="shared" ca="1" si="165"/>
        <v/>
      </c>
      <c r="AF754" s="6">
        <f t="shared" ca="1" si="166"/>
        <v>0</v>
      </c>
      <c r="AG754">
        <f t="shared" ca="1" si="161"/>
        <v>0</v>
      </c>
      <c r="AH754">
        <f t="shared" ca="1" si="167"/>
        <v>0</v>
      </c>
      <c r="AI754">
        <f t="shared" ca="1" si="168"/>
        <v>0</v>
      </c>
      <c r="AJ754">
        <f t="shared" ca="1" si="169"/>
        <v>0</v>
      </c>
      <c r="AK754">
        <f t="shared" ca="1" si="170"/>
        <v>0</v>
      </c>
      <c r="AL754">
        <f t="shared" ca="1" si="171"/>
        <v>0</v>
      </c>
    </row>
    <row r="755" spans="1:38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#N/A, OFFSET(data!$A$1, ROW()-1, AA$1-1))</f>
        <v>0</v>
      </c>
      <c r="AB755">
        <f t="shared" ca="1" si="162"/>
        <v>0</v>
      </c>
      <c r="AC755" t="e">
        <f t="shared" ca="1" si="163"/>
        <v>#VALUE!</v>
      </c>
      <c r="AD755" t="str">
        <f t="shared" ca="1" si="164"/>
        <v>0</v>
      </c>
      <c r="AE755" t="str">
        <f t="shared" ca="1" si="165"/>
        <v/>
      </c>
      <c r="AF755" s="6">
        <f t="shared" ca="1" si="166"/>
        <v>0</v>
      </c>
      <c r="AG755">
        <f t="shared" ca="1" si="161"/>
        <v>0</v>
      </c>
      <c r="AH755">
        <f t="shared" ca="1" si="167"/>
        <v>0</v>
      </c>
      <c r="AI755">
        <f t="shared" ca="1" si="168"/>
        <v>0</v>
      </c>
      <c r="AJ755">
        <f t="shared" ca="1" si="169"/>
        <v>0</v>
      </c>
      <c r="AK755">
        <f t="shared" ca="1" si="170"/>
        <v>0</v>
      </c>
      <c r="AL755">
        <f t="shared" ca="1" si="171"/>
        <v>0</v>
      </c>
    </row>
    <row r="756" spans="1:38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#N/A, OFFSET(data!$A$1, ROW()-1, AA$1-1))</f>
        <v>0</v>
      </c>
      <c r="AB756">
        <f t="shared" ca="1" si="162"/>
        <v>0</v>
      </c>
      <c r="AC756" t="e">
        <f t="shared" ca="1" si="163"/>
        <v>#VALUE!</v>
      </c>
      <c r="AD756" t="str">
        <f t="shared" ca="1" si="164"/>
        <v>0</v>
      </c>
      <c r="AE756" t="str">
        <f t="shared" ca="1" si="165"/>
        <v/>
      </c>
      <c r="AF756" s="6">
        <f t="shared" ca="1" si="166"/>
        <v>0</v>
      </c>
      <c r="AG756">
        <f t="shared" ref="AG756:AG819" ca="1" si="172">T756+W756</f>
        <v>0</v>
      </c>
      <c r="AH756">
        <f t="shared" ca="1" si="167"/>
        <v>0</v>
      </c>
      <c r="AI756">
        <f t="shared" ca="1" si="168"/>
        <v>0</v>
      </c>
      <c r="AJ756">
        <f t="shared" ca="1" si="169"/>
        <v>0</v>
      </c>
      <c r="AK756">
        <f t="shared" ca="1" si="170"/>
        <v>0</v>
      </c>
      <c r="AL756">
        <f t="shared" ca="1" si="171"/>
        <v>0</v>
      </c>
    </row>
    <row r="757" spans="1:38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#N/A, OFFSET(data!$A$1, ROW()-1, AA$1-1))</f>
        <v>0</v>
      </c>
      <c r="AB757">
        <f t="shared" ca="1" si="162"/>
        <v>0</v>
      </c>
      <c r="AC757" t="e">
        <f t="shared" ca="1" si="163"/>
        <v>#VALUE!</v>
      </c>
      <c r="AD757" t="str">
        <f t="shared" ca="1" si="164"/>
        <v>0</v>
      </c>
      <c r="AE757" t="str">
        <f t="shared" ca="1" si="165"/>
        <v/>
      </c>
      <c r="AF757" s="6">
        <f t="shared" ca="1" si="166"/>
        <v>0</v>
      </c>
      <c r="AG757">
        <f t="shared" ca="1" si="172"/>
        <v>0</v>
      </c>
      <c r="AH757">
        <f t="shared" ca="1" si="167"/>
        <v>0</v>
      </c>
      <c r="AI757">
        <f t="shared" ca="1" si="168"/>
        <v>0</v>
      </c>
      <c r="AJ757">
        <f t="shared" ca="1" si="169"/>
        <v>0</v>
      </c>
      <c r="AK757">
        <f t="shared" ca="1" si="170"/>
        <v>0</v>
      </c>
      <c r="AL757">
        <f t="shared" ca="1" si="171"/>
        <v>0</v>
      </c>
    </row>
    <row r="758" spans="1:38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#N/A, OFFSET(data!$A$1, ROW()-1, AA$1-1))</f>
        <v>0</v>
      </c>
      <c r="AB758">
        <f t="shared" ca="1" si="162"/>
        <v>0</v>
      </c>
      <c r="AC758" t="e">
        <f t="shared" ca="1" si="163"/>
        <v>#VALUE!</v>
      </c>
      <c r="AD758" t="str">
        <f t="shared" ca="1" si="164"/>
        <v>0</v>
      </c>
      <c r="AE758" t="str">
        <f t="shared" ca="1" si="165"/>
        <v/>
      </c>
      <c r="AF758" s="6">
        <f t="shared" ca="1" si="166"/>
        <v>0</v>
      </c>
      <c r="AG758">
        <f t="shared" ca="1" si="172"/>
        <v>0</v>
      </c>
      <c r="AH758">
        <f t="shared" ca="1" si="167"/>
        <v>0</v>
      </c>
      <c r="AI758">
        <f t="shared" ca="1" si="168"/>
        <v>0</v>
      </c>
      <c r="AJ758">
        <f t="shared" ca="1" si="169"/>
        <v>0</v>
      </c>
      <c r="AK758">
        <f t="shared" ca="1" si="170"/>
        <v>0</v>
      </c>
      <c r="AL758">
        <f t="shared" ca="1" si="171"/>
        <v>0</v>
      </c>
    </row>
    <row r="759" spans="1:38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#N/A, OFFSET(data!$A$1, ROW()-1, AA$1-1))</f>
        <v>0</v>
      </c>
      <c r="AB759">
        <f t="shared" ca="1" si="162"/>
        <v>0</v>
      </c>
      <c r="AC759" t="e">
        <f t="shared" ca="1" si="163"/>
        <v>#VALUE!</v>
      </c>
      <c r="AD759" t="str">
        <f t="shared" ca="1" si="164"/>
        <v>0</v>
      </c>
      <c r="AE759" t="str">
        <f t="shared" ca="1" si="165"/>
        <v/>
      </c>
      <c r="AF759" s="6">
        <f t="shared" ca="1" si="166"/>
        <v>0</v>
      </c>
      <c r="AG759">
        <f t="shared" ca="1" si="172"/>
        <v>0</v>
      </c>
      <c r="AH759">
        <f t="shared" ca="1" si="167"/>
        <v>0</v>
      </c>
      <c r="AI759">
        <f t="shared" ca="1" si="168"/>
        <v>0</v>
      </c>
      <c r="AJ759">
        <f t="shared" ca="1" si="169"/>
        <v>0</v>
      </c>
      <c r="AK759">
        <f t="shared" ca="1" si="170"/>
        <v>0</v>
      </c>
      <c r="AL759">
        <f t="shared" ca="1" si="171"/>
        <v>0</v>
      </c>
    </row>
    <row r="760" spans="1:38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#N/A, OFFSET(data!$A$1, ROW()-1, AA$1-1))</f>
        <v>0</v>
      </c>
      <c r="AB760">
        <f t="shared" ca="1" si="162"/>
        <v>0</v>
      </c>
      <c r="AC760" t="e">
        <f t="shared" ca="1" si="163"/>
        <v>#VALUE!</v>
      </c>
      <c r="AD760" t="str">
        <f t="shared" ca="1" si="164"/>
        <v>0</v>
      </c>
      <c r="AE760" t="str">
        <f t="shared" ca="1" si="165"/>
        <v/>
      </c>
      <c r="AF760" s="6">
        <f t="shared" ca="1" si="166"/>
        <v>0</v>
      </c>
      <c r="AG760">
        <f t="shared" ca="1" si="172"/>
        <v>0</v>
      </c>
      <c r="AH760">
        <f t="shared" ca="1" si="167"/>
        <v>0</v>
      </c>
      <c r="AI760">
        <f t="shared" ca="1" si="168"/>
        <v>0</v>
      </c>
      <c r="AJ760">
        <f t="shared" ca="1" si="169"/>
        <v>0</v>
      </c>
      <c r="AK760">
        <f t="shared" ca="1" si="170"/>
        <v>0</v>
      </c>
      <c r="AL760">
        <f t="shared" ca="1" si="171"/>
        <v>0</v>
      </c>
    </row>
    <row r="761" spans="1:38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#N/A, OFFSET(data!$A$1, ROW()-1, AA$1-1))</f>
        <v>0</v>
      </c>
      <c r="AB761">
        <f t="shared" ca="1" si="162"/>
        <v>0</v>
      </c>
      <c r="AC761" t="e">
        <f t="shared" ca="1" si="163"/>
        <v>#VALUE!</v>
      </c>
      <c r="AD761" t="str">
        <f t="shared" ca="1" si="164"/>
        <v>0</v>
      </c>
      <c r="AE761" t="str">
        <f t="shared" ca="1" si="165"/>
        <v/>
      </c>
      <c r="AF761" s="6">
        <f t="shared" ca="1" si="166"/>
        <v>0</v>
      </c>
      <c r="AG761">
        <f t="shared" ca="1" si="172"/>
        <v>0</v>
      </c>
      <c r="AH761">
        <f t="shared" ca="1" si="167"/>
        <v>0</v>
      </c>
      <c r="AI761">
        <f t="shared" ca="1" si="168"/>
        <v>0</v>
      </c>
      <c r="AJ761">
        <f t="shared" ca="1" si="169"/>
        <v>0</v>
      </c>
      <c r="AK761">
        <f t="shared" ca="1" si="170"/>
        <v>0</v>
      </c>
      <c r="AL761">
        <f t="shared" ca="1" si="171"/>
        <v>0</v>
      </c>
    </row>
    <row r="762" spans="1:38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#N/A, OFFSET(data!$A$1, ROW()-1, AA$1-1))</f>
        <v>0</v>
      </c>
      <c r="AB762">
        <f t="shared" ca="1" si="162"/>
        <v>0</v>
      </c>
      <c r="AC762" t="e">
        <f t="shared" ca="1" si="163"/>
        <v>#VALUE!</v>
      </c>
      <c r="AD762" t="str">
        <f t="shared" ca="1" si="164"/>
        <v>0</v>
      </c>
      <c r="AE762" t="str">
        <f t="shared" ca="1" si="165"/>
        <v/>
      </c>
      <c r="AF762" s="6">
        <f t="shared" ca="1" si="166"/>
        <v>0</v>
      </c>
      <c r="AG762">
        <f t="shared" ca="1" si="172"/>
        <v>0</v>
      </c>
      <c r="AH762">
        <f t="shared" ca="1" si="167"/>
        <v>0</v>
      </c>
      <c r="AI762">
        <f t="shared" ca="1" si="168"/>
        <v>0</v>
      </c>
      <c r="AJ762">
        <f t="shared" ca="1" si="169"/>
        <v>0</v>
      </c>
      <c r="AK762">
        <f t="shared" ca="1" si="170"/>
        <v>0</v>
      </c>
      <c r="AL762">
        <f t="shared" ca="1" si="171"/>
        <v>0</v>
      </c>
    </row>
    <row r="763" spans="1:38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#N/A, OFFSET(data!$A$1, ROW()-1, AA$1-1))</f>
        <v>0</v>
      </c>
      <c r="AB763">
        <f t="shared" ca="1" si="162"/>
        <v>0</v>
      </c>
      <c r="AC763" t="e">
        <f t="shared" ca="1" si="163"/>
        <v>#VALUE!</v>
      </c>
      <c r="AD763" t="str">
        <f t="shared" ca="1" si="164"/>
        <v>0</v>
      </c>
      <c r="AE763" t="str">
        <f t="shared" ca="1" si="165"/>
        <v/>
      </c>
      <c r="AF763" s="6">
        <f t="shared" ca="1" si="166"/>
        <v>0</v>
      </c>
      <c r="AG763">
        <f t="shared" ca="1" si="172"/>
        <v>0</v>
      </c>
      <c r="AH763">
        <f t="shared" ca="1" si="167"/>
        <v>0</v>
      </c>
      <c r="AI763">
        <f t="shared" ca="1" si="168"/>
        <v>0</v>
      </c>
      <c r="AJ763">
        <f t="shared" ca="1" si="169"/>
        <v>0</v>
      </c>
      <c r="AK763">
        <f t="shared" ca="1" si="170"/>
        <v>0</v>
      </c>
      <c r="AL763">
        <f t="shared" ca="1" si="171"/>
        <v>0</v>
      </c>
    </row>
    <row r="764" spans="1:38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#N/A, OFFSET(data!$A$1, ROW()-1, AA$1-1))</f>
        <v>0</v>
      </c>
      <c r="AB764">
        <f t="shared" ca="1" si="162"/>
        <v>0</v>
      </c>
      <c r="AC764" t="e">
        <f t="shared" ca="1" si="163"/>
        <v>#VALUE!</v>
      </c>
      <c r="AD764" t="str">
        <f t="shared" ca="1" si="164"/>
        <v>0</v>
      </c>
      <c r="AE764" t="str">
        <f t="shared" ca="1" si="165"/>
        <v/>
      </c>
      <c r="AF764" s="6">
        <f t="shared" ca="1" si="166"/>
        <v>0</v>
      </c>
      <c r="AG764">
        <f t="shared" ca="1" si="172"/>
        <v>0</v>
      </c>
      <c r="AH764">
        <f t="shared" ca="1" si="167"/>
        <v>0</v>
      </c>
      <c r="AI764">
        <f t="shared" ca="1" si="168"/>
        <v>0</v>
      </c>
      <c r="AJ764">
        <f t="shared" ca="1" si="169"/>
        <v>0</v>
      </c>
      <c r="AK764">
        <f t="shared" ca="1" si="170"/>
        <v>0</v>
      </c>
      <c r="AL764">
        <f t="shared" ca="1" si="171"/>
        <v>0</v>
      </c>
    </row>
    <row r="765" spans="1:38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#N/A, OFFSET(data!$A$1, ROW()-1, AA$1-1))</f>
        <v>0</v>
      </c>
      <c r="AB765">
        <f t="shared" ca="1" si="162"/>
        <v>0</v>
      </c>
      <c r="AC765" t="e">
        <f t="shared" ca="1" si="163"/>
        <v>#VALUE!</v>
      </c>
      <c r="AD765" t="str">
        <f t="shared" ca="1" si="164"/>
        <v>0</v>
      </c>
      <c r="AE765" t="str">
        <f t="shared" ca="1" si="165"/>
        <v/>
      </c>
      <c r="AF765" s="6">
        <f t="shared" ca="1" si="166"/>
        <v>0</v>
      </c>
      <c r="AG765">
        <f t="shared" ca="1" si="172"/>
        <v>0</v>
      </c>
      <c r="AH765">
        <f t="shared" ca="1" si="167"/>
        <v>0</v>
      </c>
      <c r="AI765">
        <f t="shared" ca="1" si="168"/>
        <v>0</v>
      </c>
      <c r="AJ765">
        <f t="shared" ca="1" si="169"/>
        <v>0</v>
      </c>
      <c r="AK765">
        <f t="shared" ca="1" si="170"/>
        <v>0</v>
      </c>
      <c r="AL765">
        <f t="shared" ca="1" si="171"/>
        <v>0</v>
      </c>
    </row>
    <row r="766" spans="1:38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#N/A, OFFSET(data!$A$1, ROW()-1, AA$1-1))</f>
        <v>0</v>
      </c>
      <c r="AB766">
        <f t="shared" ca="1" si="162"/>
        <v>0</v>
      </c>
      <c r="AC766" t="e">
        <f t="shared" ca="1" si="163"/>
        <v>#VALUE!</v>
      </c>
      <c r="AD766" t="str">
        <f t="shared" ca="1" si="164"/>
        <v>0</v>
      </c>
      <c r="AE766" t="str">
        <f t="shared" ca="1" si="165"/>
        <v/>
      </c>
      <c r="AF766" s="6">
        <f t="shared" ca="1" si="166"/>
        <v>0</v>
      </c>
      <c r="AG766">
        <f t="shared" ca="1" si="172"/>
        <v>0</v>
      </c>
      <c r="AH766">
        <f t="shared" ca="1" si="167"/>
        <v>0</v>
      </c>
      <c r="AI766">
        <f t="shared" ca="1" si="168"/>
        <v>0</v>
      </c>
      <c r="AJ766">
        <f t="shared" ca="1" si="169"/>
        <v>0</v>
      </c>
      <c r="AK766">
        <f t="shared" ca="1" si="170"/>
        <v>0</v>
      </c>
      <c r="AL766">
        <f t="shared" ca="1" si="171"/>
        <v>0</v>
      </c>
    </row>
    <row r="767" spans="1:38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#N/A, OFFSET(data!$A$1, ROW()-1, AA$1-1))</f>
        <v>0</v>
      </c>
      <c r="AB767">
        <f t="shared" ca="1" si="162"/>
        <v>0</v>
      </c>
      <c r="AC767" t="e">
        <f t="shared" ca="1" si="163"/>
        <v>#VALUE!</v>
      </c>
      <c r="AD767" t="str">
        <f t="shared" ca="1" si="164"/>
        <v>0</v>
      </c>
      <c r="AE767" t="str">
        <f t="shared" ca="1" si="165"/>
        <v/>
      </c>
      <c r="AF767" s="6">
        <f t="shared" ca="1" si="166"/>
        <v>0</v>
      </c>
      <c r="AG767">
        <f t="shared" ca="1" si="172"/>
        <v>0</v>
      </c>
      <c r="AH767">
        <f t="shared" ca="1" si="167"/>
        <v>0</v>
      </c>
      <c r="AI767">
        <f t="shared" ca="1" si="168"/>
        <v>0</v>
      </c>
      <c r="AJ767">
        <f t="shared" ca="1" si="169"/>
        <v>0</v>
      </c>
      <c r="AK767">
        <f t="shared" ca="1" si="170"/>
        <v>0</v>
      </c>
      <c r="AL767">
        <f t="shared" ca="1" si="171"/>
        <v>0</v>
      </c>
    </row>
    <row r="768" spans="1:38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#N/A, OFFSET(data!$A$1, ROW()-1, AA$1-1))</f>
        <v>0</v>
      </c>
      <c r="AB768">
        <f t="shared" ca="1" si="162"/>
        <v>0</v>
      </c>
      <c r="AC768" t="e">
        <f t="shared" ca="1" si="163"/>
        <v>#VALUE!</v>
      </c>
      <c r="AD768" t="str">
        <f t="shared" ca="1" si="164"/>
        <v>0</v>
      </c>
      <c r="AE768" t="str">
        <f t="shared" ca="1" si="165"/>
        <v/>
      </c>
      <c r="AF768" s="6">
        <f t="shared" ca="1" si="166"/>
        <v>0</v>
      </c>
      <c r="AG768">
        <f t="shared" ca="1" si="172"/>
        <v>0</v>
      </c>
      <c r="AH768">
        <f t="shared" ca="1" si="167"/>
        <v>0</v>
      </c>
      <c r="AI768">
        <f t="shared" ca="1" si="168"/>
        <v>0</v>
      </c>
      <c r="AJ768">
        <f t="shared" ca="1" si="169"/>
        <v>0</v>
      </c>
      <c r="AK768">
        <f t="shared" ca="1" si="170"/>
        <v>0</v>
      </c>
      <c r="AL768">
        <f t="shared" ca="1" si="171"/>
        <v>0</v>
      </c>
    </row>
    <row r="769" spans="1:38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#N/A, OFFSET(data!$A$1, ROW()-1, AA$1-1))</f>
        <v>0</v>
      </c>
      <c r="AB769">
        <f t="shared" ca="1" si="162"/>
        <v>0</v>
      </c>
      <c r="AC769" t="e">
        <f t="shared" ca="1" si="163"/>
        <v>#VALUE!</v>
      </c>
      <c r="AD769" t="str">
        <f t="shared" ca="1" si="164"/>
        <v>0</v>
      </c>
      <c r="AE769" t="str">
        <f t="shared" ca="1" si="165"/>
        <v/>
      </c>
      <c r="AF769" s="6">
        <f t="shared" ca="1" si="166"/>
        <v>0</v>
      </c>
      <c r="AG769">
        <f t="shared" ca="1" si="172"/>
        <v>0</v>
      </c>
      <c r="AH769">
        <f t="shared" ca="1" si="167"/>
        <v>0</v>
      </c>
      <c r="AI769">
        <f t="shared" ca="1" si="168"/>
        <v>0</v>
      </c>
      <c r="AJ769">
        <f t="shared" ca="1" si="169"/>
        <v>0</v>
      </c>
      <c r="AK769">
        <f t="shared" ca="1" si="170"/>
        <v>0</v>
      </c>
      <c r="AL769">
        <f t="shared" ca="1" si="171"/>
        <v>0</v>
      </c>
    </row>
    <row r="770" spans="1:38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#N/A, OFFSET(data!$A$1, ROW()-1, AA$1-1))</f>
        <v>0</v>
      </c>
      <c r="AB770">
        <f t="shared" ca="1" si="162"/>
        <v>0</v>
      </c>
      <c r="AC770" t="e">
        <f t="shared" ca="1" si="163"/>
        <v>#VALUE!</v>
      </c>
      <c r="AD770" t="str">
        <f t="shared" ca="1" si="164"/>
        <v>0</v>
      </c>
      <c r="AE770" t="str">
        <f t="shared" ca="1" si="165"/>
        <v/>
      </c>
      <c r="AF770" s="6">
        <f t="shared" ca="1" si="166"/>
        <v>0</v>
      </c>
      <c r="AG770">
        <f t="shared" ca="1" si="172"/>
        <v>0</v>
      </c>
      <c r="AH770">
        <f t="shared" ca="1" si="167"/>
        <v>0</v>
      </c>
      <c r="AI770">
        <f t="shared" ca="1" si="168"/>
        <v>0</v>
      </c>
      <c r="AJ770">
        <f t="shared" ca="1" si="169"/>
        <v>0</v>
      </c>
      <c r="AK770">
        <f t="shared" ca="1" si="170"/>
        <v>0</v>
      </c>
      <c r="AL770">
        <f t="shared" ca="1" si="171"/>
        <v>0</v>
      </c>
    </row>
    <row r="771" spans="1:38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#N/A, OFFSET(data!$A$1, ROW()-1, AA$1-1))</f>
        <v>0</v>
      </c>
      <c r="AB771">
        <f t="shared" ref="AB771:AB834" ca="1" si="173">VALUE(LEFT(C771, 4))</f>
        <v>0</v>
      </c>
      <c r="AC771" t="e">
        <f t="shared" ref="AC771:AC834" ca="1" si="174">VALUE(MID(C771, 6, 2))</f>
        <v>#VALUE!</v>
      </c>
      <c r="AD771" t="str">
        <f t="shared" ref="AD771:AD834" ca="1" si="175">SUBSTITUTE(MID(C771,6,6)&amp;LEFT(C771,4), "-", "/")</f>
        <v>0</v>
      </c>
      <c r="AE771" t="str">
        <f t="shared" ref="AE771:AE834" ca="1" si="176">IF(RIGHT(C771, 5)="12:00", AD771, "")</f>
        <v/>
      </c>
      <c r="AF771" s="6">
        <f t="shared" ref="AF771:AF834" ca="1" si="177">Z771/1000</f>
        <v>0</v>
      </c>
      <c r="AG771">
        <f t="shared" ca="1" si="172"/>
        <v>0</v>
      </c>
      <c r="AH771">
        <f t="shared" ca="1" si="167"/>
        <v>0</v>
      </c>
      <c r="AI771">
        <f t="shared" ca="1" si="168"/>
        <v>0</v>
      </c>
      <c r="AJ771">
        <f t="shared" ca="1" si="169"/>
        <v>0</v>
      </c>
      <c r="AK771">
        <f t="shared" ca="1" si="170"/>
        <v>0</v>
      </c>
      <c r="AL771">
        <f t="shared" ca="1" si="171"/>
        <v>0</v>
      </c>
    </row>
    <row r="772" spans="1:38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#N/A, OFFSET(data!$A$1, ROW()-1, AA$1-1))</f>
        <v>0</v>
      </c>
      <c r="AB772">
        <f t="shared" ca="1" si="173"/>
        <v>0</v>
      </c>
      <c r="AC772" t="e">
        <f t="shared" ca="1" si="174"/>
        <v>#VALUE!</v>
      </c>
      <c r="AD772" t="str">
        <f t="shared" ca="1" si="175"/>
        <v>0</v>
      </c>
      <c r="AE772" t="str">
        <f t="shared" ca="1" si="176"/>
        <v/>
      </c>
      <c r="AF772" s="6">
        <f t="shared" ca="1" si="177"/>
        <v>0</v>
      </c>
      <c r="AG772">
        <f t="shared" ca="1" si="172"/>
        <v>0</v>
      </c>
      <c r="AH772">
        <f t="shared" ref="AH772:AH835" ca="1" si="178">MAX(S772,Y772)</f>
        <v>0</v>
      </c>
      <c r="AI772">
        <f t="shared" ref="AI772:AI835" ca="1" si="179">MAX(R772,V772)</f>
        <v>0</v>
      </c>
      <c r="AJ772">
        <f t="shared" ref="AJ772:AJ835" ca="1" si="180">K772+N772</f>
        <v>0</v>
      </c>
      <c r="AK772">
        <f t="shared" ref="AK772:AK835" ca="1" si="181">L772+O772</f>
        <v>0</v>
      </c>
      <c r="AL772">
        <f t="shared" ref="AL772:AL835" ca="1" si="182">M772+P772</f>
        <v>0</v>
      </c>
    </row>
    <row r="773" spans="1:38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#N/A, OFFSET(data!$A$1, ROW()-1, AA$1-1))</f>
        <v>0</v>
      </c>
      <c r="AB773">
        <f t="shared" ca="1" si="173"/>
        <v>0</v>
      </c>
      <c r="AC773" t="e">
        <f t="shared" ca="1" si="174"/>
        <v>#VALUE!</v>
      </c>
      <c r="AD773" t="str">
        <f t="shared" ca="1" si="175"/>
        <v>0</v>
      </c>
      <c r="AE773" t="str">
        <f t="shared" ca="1" si="176"/>
        <v/>
      </c>
      <c r="AF773" s="6">
        <f t="shared" ca="1" si="177"/>
        <v>0</v>
      </c>
      <c r="AG773">
        <f t="shared" ca="1" si="172"/>
        <v>0</v>
      </c>
      <c r="AH773">
        <f t="shared" ca="1" si="178"/>
        <v>0</v>
      </c>
      <c r="AI773">
        <f t="shared" ca="1" si="179"/>
        <v>0</v>
      </c>
      <c r="AJ773">
        <f t="shared" ca="1" si="180"/>
        <v>0</v>
      </c>
      <c r="AK773">
        <f t="shared" ca="1" si="181"/>
        <v>0</v>
      </c>
      <c r="AL773">
        <f t="shared" ca="1" si="182"/>
        <v>0</v>
      </c>
    </row>
    <row r="774" spans="1:38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#N/A, OFFSET(data!$A$1, ROW()-1, AA$1-1))</f>
        <v>0</v>
      </c>
      <c r="AB774">
        <f t="shared" ca="1" si="173"/>
        <v>0</v>
      </c>
      <c r="AC774" t="e">
        <f t="shared" ca="1" si="174"/>
        <v>#VALUE!</v>
      </c>
      <c r="AD774" t="str">
        <f t="shared" ca="1" si="175"/>
        <v>0</v>
      </c>
      <c r="AE774" t="str">
        <f t="shared" ca="1" si="176"/>
        <v/>
      </c>
      <c r="AF774" s="6">
        <f t="shared" ca="1" si="177"/>
        <v>0</v>
      </c>
      <c r="AG774">
        <f t="shared" ca="1" si="172"/>
        <v>0</v>
      </c>
      <c r="AH774">
        <f t="shared" ca="1" si="178"/>
        <v>0</v>
      </c>
      <c r="AI774">
        <f t="shared" ca="1" si="179"/>
        <v>0</v>
      </c>
      <c r="AJ774">
        <f t="shared" ca="1" si="180"/>
        <v>0</v>
      </c>
      <c r="AK774">
        <f t="shared" ca="1" si="181"/>
        <v>0</v>
      </c>
      <c r="AL774">
        <f t="shared" ca="1" si="182"/>
        <v>0</v>
      </c>
    </row>
    <row r="775" spans="1:38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#N/A, OFFSET(data!$A$1, ROW()-1, AA$1-1))</f>
        <v>0</v>
      </c>
      <c r="AB775">
        <f t="shared" ca="1" si="173"/>
        <v>0</v>
      </c>
      <c r="AC775" t="e">
        <f t="shared" ca="1" si="174"/>
        <v>#VALUE!</v>
      </c>
      <c r="AD775" t="str">
        <f t="shared" ca="1" si="175"/>
        <v>0</v>
      </c>
      <c r="AE775" t="str">
        <f t="shared" ca="1" si="176"/>
        <v/>
      </c>
      <c r="AF775" s="6">
        <f t="shared" ca="1" si="177"/>
        <v>0</v>
      </c>
      <c r="AG775">
        <f t="shared" ca="1" si="172"/>
        <v>0</v>
      </c>
      <c r="AH775">
        <f t="shared" ca="1" si="178"/>
        <v>0</v>
      </c>
      <c r="AI775">
        <f t="shared" ca="1" si="179"/>
        <v>0</v>
      </c>
      <c r="AJ775">
        <f t="shared" ca="1" si="180"/>
        <v>0</v>
      </c>
      <c r="AK775">
        <f t="shared" ca="1" si="181"/>
        <v>0</v>
      </c>
      <c r="AL775">
        <f t="shared" ca="1" si="182"/>
        <v>0</v>
      </c>
    </row>
    <row r="776" spans="1:38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#N/A, OFFSET(data!$A$1, ROW()-1, AA$1-1))</f>
        <v>0</v>
      </c>
      <c r="AB776">
        <f t="shared" ca="1" si="173"/>
        <v>0</v>
      </c>
      <c r="AC776" t="e">
        <f t="shared" ca="1" si="174"/>
        <v>#VALUE!</v>
      </c>
      <c r="AD776" t="str">
        <f t="shared" ca="1" si="175"/>
        <v>0</v>
      </c>
      <c r="AE776" t="str">
        <f t="shared" ca="1" si="176"/>
        <v/>
      </c>
      <c r="AF776" s="6">
        <f t="shared" ca="1" si="177"/>
        <v>0</v>
      </c>
      <c r="AG776">
        <f t="shared" ca="1" si="172"/>
        <v>0</v>
      </c>
      <c r="AH776">
        <f t="shared" ca="1" si="178"/>
        <v>0</v>
      </c>
      <c r="AI776">
        <f t="shared" ca="1" si="179"/>
        <v>0</v>
      </c>
      <c r="AJ776">
        <f t="shared" ca="1" si="180"/>
        <v>0</v>
      </c>
      <c r="AK776">
        <f t="shared" ca="1" si="181"/>
        <v>0</v>
      </c>
      <c r="AL776">
        <f t="shared" ca="1" si="182"/>
        <v>0</v>
      </c>
    </row>
    <row r="777" spans="1:38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#N/A, OFFSET(data!$A$1, ROW()-1, AA$1-1))</f>
        <v>0</v>
      </c>
      <c r="AB777">
        <f t="shared" ca="1" si="173"/>
        <v>0</v>
      </c>
      <c r="AC777" t="e">
        <f t="shared" ca="1" si="174"/>
        <v>#VALUE!</v>
      </c>
      <c r="AD777" t="str">
        <f t="shared" ca="1" si="175"/>
        <v>0</v>
      </c>
      <c r="AE777" t="str">
        <f t="shared" ca="1" si="176"/>
        <v/>
      </c>
      <c r="AF777" s="6">
        <f t="shared" ca="1" si="177"/>
        <v>0</v>
      </c>
      <c r="AG777">
        <f t="shared" ca="1" si="172"/>
        <v>0</v>
      </c>
      <c r="AH777">
        <f t="shared" ca="1" si="178"/>
        <v>0</v>
      </c>
      <c r="AI777">
        <f t="shared" ca="1" si="179"/>
        <v>0</v>
      </c>
      <c r="AJ777">
        <f t="shared" ca="1" si="180"/>
        <v>0</v>
      </c>
      <c r="AK777">
        <f t="shared" ca="1" si="181"/>
        <v>0</v>
      </c>
      <c r="AL777">
        <f t="shared" ca="1" si="182"/>
        <v>0</v>
      </c>
    </row>
    <row r="778" spans="1:38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#N/A, OFFSET(data!$A$1, ROW()-1, AA$1-1))</f>
        <v>0</v>
      </c>
      <c r="AB778">
        <f t="shared" ca="1" si="173"/>
        <v>0</v>
      </c>
      <c r="AC778" t="e">
        <f t="shared" ca="1" si="174"/>
        <v>#VALUE!</v>
      </c>
      <c r="AD778" t="str">
        <f t="shared" ca="1" si="175"/>
        <v>0</v>
      </c>
      <c r="AE778" t="str">
        <f t="shared" ca="1" si="176"/>
        <v/>
      </c>
      <c r="AF778" s="6">
        <f t="shared" ca="1" si="177"/>
        <v>0</v>
      </c>
      <c r="AG778">
        <f t="shared" ca="1" si="172"/>
        <v>0</v>
      </c>
      <c r="AH778">
        <f t="shared" ca="1" si="178"/>
        <v>0</v>
      </c>
      <c r="AI778">
        <f t="shared" ca="1" si="179"/>
        <v>0</v>
      </c>
      <c r="AJ778">
        <f t="shared" ca="1" si="180"/>
        <v>0</v>
      </c>
      <c r="AK778">
        <f t="shared" ca="1" si="181"/>
        <v>0</v>
      </c>
      <c r="AL778">
        <f t="shared" ca="1" si="182"/>
        <v>0</v>
      </c>
    </row>
    <row r="779" spans="1:38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#N/A, OFFSET(data!$A$1, ROW()-1, AA$1-1))</f>
        <v>0</v>
      </c>
      <c r="AB779">
        <f t="shared" ca="1" si="173"/>
        <v>0</v>
      </c>
      <c r="AC779" t="e">
        <f t="shared" ca="1" si="174"/>
        <v>#VALUE!</v>
      </c>
      <c r="AD779" t="str">
        <f t="shared" ca="1" si="175"/>
        <v>0</v>
      </c>
      <c r="AE779" t="str">
        <f t="shared" ca="1" si="176"/>
        <v/>
      </c>
      <c r="AF779" s="6">
        <f t="shared" ca="1" si="177"/>
        <v>0</v>
      </c>
      <c r="AG779">
        <f t="shared" ca="1" si="172"/>
        <v>0</v>
      </c>
      <c r="AH779">
        <f t="shared" ca="1" si="178"/>
        <v>0</v>
      </c>
      <c r="AI779">
        <f t="shared" ca="1" si="179"/>
        <v>0</v>
      </c>
      <c r="AJ779">
        <f t="shared" ca="1" si="180"/>
        <v>0</v>
      </c>
      <c r="AK779">
        <f t="shared" ca="1" si="181"/>
        <v>0</v>
      </c>
      <c r="AL779">
        <f t="shared" ca="1" si="182"/>
        <v>0</v>
      </c>
    </row>
    <row r="780" spans="1:38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#N/A, OFFSET(data!$A$1, ROW()-1, AA$1-1))</f>
        <v>0</v>
      </c>
      <c r="AB780">
        <f t="shared" ca="1" si="173"/>
        <v>0</v>
      </c>
      <c r="AC780" t="e">
        <f t="shared" ca="1" si="174"/>
        <v>#VALUE!</v>
      </c>
      <c r="AD780" t="str">
        <f t="shared" ca="1" si="175"/>
        <v>0</v>
      </c>
      <c r="AE780" t="str">
        <f t="shared" ca="1" si="176"/>
        <v/>
      </c>
      <c r="AF780" s="6">
        <f t="shared" ca="1" si="177"/>
        <v>0</v>
      </c>
      <c r="AG780">
        <f t="shared" ca="1" si="172"/>
        <v>0</v>
      </c>
      <c r="AH780">
        <f t="shared" ca="1" si="178"/>
        <v>0</v>
      </c>
      <c r="AI780">
        <f t="shared" ca="1" si="179"/>
        <v>0</v>
      </c>
      <c r="AJ780">
        <f t="shared" ca="1" si="180"/>
        <v>0</v>
      </c>
      <c r="AK780">
        <f t="shared" ca="1" si="181"/>
        <v>0</v>
      </c>
      <c r="AL780">
        <f t="shared" ca="1" si="182"/>
        <v>0</v>
      </c>
    </row>
    <row r="781" spans="1:38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#N/A, OFFSET(data!$A$1, ROW()-1, AA$1-1))</f>
        <v>0</v>
      </c>
      <c r="AB781">
        <f t="shared" ca="1" si="173"/>
        <v>0</v>
      </c>
      <c r="AC781" t="e">
        <f t="shared" ca="1" si="174"/>
        <v>#VALUE!</v>
      </c>
      <c r="AD781" t="str">
        <f t="shared" ca="1" si="175"/>
        <v>0</v>
      </c>
      <c r="AE781" t="str">
        <f t="shared" ca="1" si="176"/>
        <v/>
      </c>
      <c r="AF781" s="6">
        <f t="shared" ca="1" si="177"/>
        <v>0</v>
      </c>
      <c r="AG781">
        <f t="shared" ca="1" si="172"/>
        <v>0</v>
      </c>
      <c r="AH781">
        <f t="shared" ca="1" si="178"/>
        <v>0</v>
      </c>
      <c r="AI781">
        <f t="shared" ca="1" si="179"/>
        <v>0</v>
      </c>
      <c r="AJ781">
        <f t="shared" ca="1" si="180"/>
        <v>0</v>
      </c>
      <c r="AK781">
        <f t="shared" ca="1" si="181"/>
        <v>0</v>
      </c>
      <c r="AL781">
        <f t="shared" ca="1" si="182"/>
        <v>0</v>
      </c>
    </row>
    <row r="782" spans="1:38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#N/A, OFFSET(data!$A$1, ROW()-1, AA$1-1))</f>
        <v>0</v>
      </c>
      <c r="AB782">
        <f t="shared" ca="1" si="173"/>
        <v>0</v>
      </c>
      <c r="AC782" t="e">
        <f t="shared" ca="1" si="174"/>
        <v>#VALUE!</v>
      </c>
      <c r="AD782" t="str">
        <f t="shared" ca="1" si="175"/>
        <v>0</v>
      </c>
      <c r="AE782" t="str">
        <f t="shared" ca="1" si="176"/>
        <v/>
      </c>
      <c r="AF782" s="6">
        <f t="shared" ca="1" si="177"/>
        <v>0</v>
      </c>
      <c r="AG782">
        <f t="shared" ca="1" si="172"/>
        <v>0</v>
      </c>
      <c r="AH782">
        <f t="shared" ca="1" si="178"/>
        <v>0</v>
      </c>
      <c r="AI782">
        <f t="shared" ca="1" si="179"/>
        <v>0</v>
      </c>
      <c r="AJ782">
        <f t="shared" ca="1" si="180"/>
        <v>0</v>
      </c>
      <c r="AK782">
        <f t="shared" ca="1" si="181"/>
        <v>0</v>
      </c>
      <c r="AL782">
        <f t="shared" ca="1" si="182"/>
        <v>0</v>
      </c>
    </row>
    <row r="783" spans="1:38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#N/A, OFFSET(data!$A$1, ROW()-1, AA$1-1))</f>
        <v>0</v>
      </c>
      <c r="AB783">
        <f t="shared" ca="1" si="173"/>
        <v>0</v>
      </c>
      <c r="AC783" t="e">
        <f t="shared" ca="1" si="174"/>
        <v>#VALUE!</v>
      </c>
      <c r="AD783" t="str">
        <f t="shared" ca="1" si="175"/>
        <v>0</v>
      </c>
      <c r="AE783" t="str">
        <f t="shared" ca="1" si="176"/>
        <v/>
      </c>
      <c r="AF783" s="6">
        <f t="shared" ca="1" si="177"/>
        <v>0</v>
      </c>
      <c r="AG783">
        <f t="shared" ca="1" si="172"/>
        <v>0</v>
      </c>
      <c r="AH783">
        <f t="shared" ca="1" si="178"/>
        <v>0</v>
      </c>
      <c r="AI783">
        <f t="shared" ca="1" si="179"/>
        <v>0</v>
      </c>
      <c r="AJ783">
        <f t="shared" ca="1" si="180"/>
        <v>0</v>
      </c>
      <c r="AK783">
        <f t="shared" ca="1" si="181"/>
        <v>0</v>
      </c>
      <c r="AL783">
        <f t="shared" ca="1" si="182"/>
        <v>0</v>
      </c>
    </row>
    <row r="784" spans="1:38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#N/A, OFFSET(data!$A$1, ROW()-1, AA$1-1))</f>
        <v>0</v>
      </c>
      <c r="AB784">
        <f t="shared" ca="1" si="173"/>
        <v>0</v>
      </c>
      <c r="AC784" t="e">
        <f t="shared" ca="1" si="174"/>
        <v>#VALUE!</v>
      </c>
      <c r="AD784" t="str">
        <f t="shared" ca="1" si="175"/>
        <v>0</v>
      </c>
      <c r="AE784" t="str">
        <f t="shared" ca="1" si="176"/>
        <v/>
      </c>
      <c r="AF784" s="6">
        <f t="shared" ca="1" si="177"/>
        <v>0</v>
      </c>
      <c r="AG784">
        <f t="shared" ca="1" si="172"/>
        <v>0</v>
      </c>
      <c r="AH784">
        <f t="shared" ca="1" si="178"/>
        <v>0</v>
      </c>
      <c r="AI784">
        <f t="shared" ca="1" si="179"/>
        <v>0</v>
      </c>
      <c r="AJ784">
        <f t="shared" ca="1" si="180"/>
        <v>0</v>
      </c>
      <c r="AK784">
        <f t="shared" ca="1" si="181"/>
        <v>0</v>
      </c>
      <c r="AL784">
        <f t="shared" ca="1" si="182"/>
        <v>0</v>
      </c>
    </row>
    <row r="785" spans="1:38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#N/A, OFFSET(data!$A$1, ROW()-1, AA$1-1))</f>
        <v>0</v>
      </c>
      <c r="AB785">
        <f t="shared" ca="1" si="173"/>
        <v>0</v>
      </c>
      <c r="AC785" t="e">
        <f t="shared" ca="1" si="174"/>
        <v>#VALUE!</v>
      </c>
      <c r="AD785" t="str">
        <f t="shared" ca="1" si="175"/>
        <v>0</v>
      </c>
      <c r="AE785" t="str">
        <f t="shared" ca="1" si="176"/>
        <v/>
      </c>
      <c r="AF785" s="6">
        <f t="shared" ca="1" si="177"/>
        <v>0</v>
      </c>
      <c r="AG785">
        <f t="shared" ca="1" si="172"/>
        <v>0</v>
      </c>
      <c r="AH785">
        <f t="shared" ca="1" si="178"/>
        <v>0</v>
      </c>
      <c r="AI785">
        <f t="shared" ca="1" si="179"/>
        <v>0</v>
      </c>
      <c r="AJ785">
        <f t="shared" ca="1" si="180"/>
        <v>0</v>
      </c>
      <c r="AK785">
        <f t="shared" ca="1" si="181"/>
        <v>0</v>
      </c>
      <c r="AL785">
        <f t="shared" ca="1" si="182"/>
        <v>0</v>
      </c>
    </row>
    <row r="786" spans="1:38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#N/A, OFFSET(data!$A$1, ROW()-1, AA$1-1))</f>
        <v>0</v>
      </c>
      <c r="AB786">
        <f t="shared" ca="1" si="173"/>
        <v>0</v>
      </c>
      <c r="AC786" t="e">
        <f t="shared" ca="1" si="174"/>
        <v>#VALUE!</v>
      </c>
      <c r="AD786" t="str">
        <f t="shared" ca="1" si="175"/>
        <v>0</v>
      </c>
      <c r="AE786" t="str">
        <f t="shared" ca="1" si="176"/>
        <v/>
      </c>
      <c r="AF786" s="6">
        <f t="shared" ca="1" si="177"/>
        <v>0</v>
      </c>
      <c r="AG786">
        <f t="shared" ca="1" si="172"/>
        <v>0</v>
      </c>
      <c r="AH786">
        <f t="shared" ca="1" si="178"/>
        <v>0</v>
      </c>
      <c r="AI786">
        <f t="shared" ca="1" si="179"/>
        <v>0</v>
      </c>
      <c r="AJ786">
        <f t="shared" ca="1" si="180"/>
        <v>0</v>
      </c>
      <c r="AK786">
        <f t="shared" ca="1" si="181"/>
        <v>0</v>
      </c>
      <c r="AL786">
        <f t="shared" ca="1" si="182"/>
        <v>0</v>
      </c>
    </row>
    <row r="787" spans="1:38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#N/A, OFFSET(data!$A$1, ROW()-1, AA$1-1))</f>
        <v>0</v>
      </c>
      <c r="AB787">
        <f t="shared" ca="1" si="173"/>
        <v>0</v>
      </c>
      <c r="AC787" t="e">
        <f t="shared" ca="1" si="174"/>
        <v>#VALUE!</v>
      </c>
      <c r="AD787" t="str">
        <f t="shared" ca="1" si="175"/>
        <v>0</v>
      </c>
      <c r="AE787" t="str">
        <f t="shared" ca="1" si="176"/>
        <v/>
      </c>
      <c r="AF787" s="6">
        <f t="shared" ca="1" si="177"/>
        <v>0</v>
      </c>
      <c r="AG787">
        <f t="shared" ca="1" si="172"/>
        <v>0</v>
      </c>
      <c r="AH787">
        <f t="shared" ca="1" si="178"/>
        <v>0</v>
      </c>
      <c r="AI787">
        <f t="shared" ca="1" si="179"/>
        <v>0</v>
      </c>
      <c r="AJ787">
        <f t="shared" ca="1" si="180"/>
        <v>0</v>
      </c>
      <c r="AK787">
        <f t="shared" ca="1" si="181"/>
        <v>0</v>
      </c>
      <c r="AL787">
        <f t="shared" ca="1" si="182"/>
        <v>0</v>
      </c>
    </row>
    <row r="788" spans="1:38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#N/A, OFFSET(data!$A$1, ROW()-1, AA$1-1))</f>
        <v>0</v>
      </c>
      <c r="AB788">
        <f t="shared" ca="1" si="173"/>
        <v>0</v>
      </c>
      <c r="AC788" t="e">
        <f t="shared" ca="1" si="174"/>
        <v>#VALUE!</v>
      </c>
      <c r="AD788" t="str">
        <f t="shared" ca="1" si="175"/>
        <v>0</v>
      </c>
      <c r="AE788" t="str">
        <f t="shared" ca="1" si="176"/>
        <v/>
      </c>
      <c r="AF788" s="6">
        <f t="shared" ca="1" si="177"/>
        <v>0</v>
      </c>
      <c r="AG788">
        <f t="shared" ca="1" si="172"/>
        <v>0</v>
      </c>
      <c r="AH788">
        <f t="shared" ca="1" si="178"/>
        <v>0</v>
      </c>
      <c r="AI788">
        <f t="shared" ca="1" si="179"/>
        <v>0</v>
      </c>
      <c r="AJ788">
        <f t="shared" ca="1" si="180"/>
        <v>0</v>
      </c>
      <c r="AK788">
        <f t="shared" ca="1" si="181"/>
        <v>0</v>
      </c>
      <c r="AL788">
        <f t="shared" ca="1" si="182"/>
        <v>0</v>
      </c>
    </row>
    <row r="789" spans="1:38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#N/A, OFFSET(data!$A$1, ROW()-1, AA$1-1))</f>
        <v>0</v>
      </c>
      <c r="AB789">
        <f t="shared" ca="1" si="173"/>
        <v>0</v>
      </c>
      <c r="AC789" t="e">
        <f t="shared" ca="1" si="174"/>
        <v>#VALUE!</v>
      </c>
      <c r="AD789" t="str">
        <f t="shared" ca="1" si="175"/>
        <v>0</v>
      </c>
      <c r="AE789" t="str">
        <f t="shared" ca="1" si="176"/>
        <v/>
      </c>
      <c r="AF789" s="6">
        <f t="shared" ca="1" si="177"/>
        <v>0</v>
      </c>
      <c r="AG789">
        <f t="shared" ca="1" si="172"/>
        <v>0</v>
      </c>
      <c r="AH789">
        <f t="shared" ca="1" si="178"/>
        <v>0</v>
      </c>
      <c r="AI789">
        <f t="shared" ca="1" si="179"/>
        <v>0</v>
      </c>
      <c r="AJ789">
        <f t="shared" ca="1" si="180"/>
        <v>0</v>
      </c>
      <c r="AK789">
        <f t="shared" ca="1" si="181"/>
        <v>0</v>
      </c>
      <c r="AL789">
        <f t="shared" ca="1" si="182"/>
        <v>0</v>
      </c>
    </row>
    <row r="790" spans="1:38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#N/A, OFFSET(data!$A$1, ROW()-1, AA$1-1))</f>
        <v>0</v>
      </c>
      <c r="AB790">
        <f t="shared" ca="1" si="173"/>
        <v>0</v>
      </c>
      <c r="AC790" t="e">
        <f t="shared" ca="1" si="174"/>
        <v>#VALUE!</v>
      </c>
      <c r="AD790" t="str">
        <f t="shared" ca="1" si="175"/>
        <v>0</v>
      </c>
      <c r="AE790" t="str">
        <f t="shared" ca="1" si="176"/>
        <v/>
      </c>
      <c r="AF790" s="6">
        <f t="shared" ca="1" si="177"/>
        <v>0</v>
      </c>
      <c r="AG790">
        <f t="shared" ca="1" si="172"/>
        <v>0</v>
      </c>
      <c r="AH790">
        <f t="shared" ca="1" si="178"/>
        <v>0</v>
      </c>
      <c r="AI790">
        <f t="shared" ca="1" si="179"/>
        <v>0</v>
      </c>
      <c r="AJ790">
        <f t="shared" ca="1" si="180"/>
        <v>0</v>
      </c>
      <c r="AK790">
        <f t="shared" ca="1" si="181"/>
        <v>0</v>
      </c>
      <c r="AL790">
        <f t="shared" ca="1" si="182"/>
        <v>0</v>
      </c>
    </row>
    <row r="791" spans="1:38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#N/A, OFFSET(data!$A$1, ROW()-1, AA$1-1))</f>
        <v>0</v>
      </c>
      <c r="AB791">
        <f t="shared" ca="1" si="173"/>
        <v>0</v>
      </c>
      <c r="AC791" t="e">
        <f t="shared" ca="1" si="174"/>
        <v>#VALUE!</v>
      </c>
      <c r="AD791" t="str">
        <f t="shared" ca="1" si="175"/>
        <v>0</v>
      </c>
      <c r="AE791" t="str">
        <f t="shared" ca="1" si="176"/>
        <v/>
      </c>
      <c r="AF791" s="6">
        <f t="shared" ca="1" si="177"/>
        <v>0</v>
      </c>
      <c r="AG791">
        <f t="shared" ca="1" si="172"/>
        <v>0</v>
      </c>
      <c r="AH791">
        <f t="shared" ca="1" si="178"/>
        <v>0</v>
      </c>
      <c r="AI791">
        <f t="shared" ca="1" si="179"/>
        <v>0</v>
      </c>
      <c r="AJ791">
        <f t="shared" ca="1" si="180"/>
        <v>0</v>
      </c>
      <c r="AK791">
        <f t="shared" ca="1" si="181"/>
        <v>0</v>
      </c>
      <c r="AL791">
        <f t="shared" ca="1" si="182"/>
        <v>0</v>
      </c>
    </row>
    <row r="792" spans="1:38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#N/A, OFFSET(data!$A$1, ROW()-1, AA$1-1))</f>
        <v>0</v>
      </c>
      <c r="AB792">
        <f t="shared" ca="1" si="173"/>
        <v>0</v>
      </c>
      <c r="AC792" t="e">
        <f t="shared" ca="1" si="174"/>
        <v>#VALUE!</v>
      </c>
      <c r="AD792" t="str">
        <f t="shared" ca="1" si="175"/>
        <v>0</v>
      </c>
      <c r="AE792" t="str">
        <f t="shared" ca="1" si="176"/>
        <v/>
      </c>
      <c r="AF792" s="6">
        <f t="shared" ca="1" si="177"/>
        <v>0</v>
      </c>
      <c r="AG792">
        <f t="shared" ca="1" si="172"/>
        <v>0</v>
      </c>
      <c r="AH792">
        <f t="shared" ca="1" si="178"/>
        <v>0</v>
      </c>
      <c r="AI792">
        <f t="shared" ca="1" si="179"/>
        <v>0</v>
      </c>
      <c r="AJ792">
        <f t="shared" ca="1" si="180"/>
        <v>0</v>
      </c>
      <c r="AK792">
        <f t="shared" ca="1" si="181"/>
        <v>0</v>
      </c>
      <c r="AL792">
        <f t="shared" ca="1" si="182"/>
        <v>0</v>
      </c>
    </row>
    <row r="793" spans="1:38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#N/A, OFFSET(data!$A$1, ROW()-1, AA$1-1))</f>
        <v>0</v>
      </c>
      <c r="AB793">
        <f t="shared" ca="1" si="173"/>
        <v>0</v>
      </c>
      <c r="AC793" t="e">
        <f t="shared" ca="1" si="174"/>
        <v>#VALUE!</v>
      </c>
      <c r="AD793" t="str">
        <f t="shared" ca="1" si="175"/>
        <v>0</v>
      </c>
      <c r="AE793" t="str">
        <f t="shared" ca="1" si="176"/>
        <v/>
      </c>
      <c r="AF793" s="6">
        <f t="shared" ca="1" si="177"/>
        <v>0</v>
      </c>
      <c r="AG793">
        <f t="shared" ca="1" si="172"/>
        <v>0</v>
      </c>
      <c r="AH793">
        <f t="shared" ca="1" si="178"/>
        <v>0</v>
      </c>
      <c r="AI793">
        <f t="shared" ca="1" si="179"/>
        <v>0</v>
      </c>
      <c r="AJ793">
        <f t="shared" ca="1" si="180"/>
        <v>0</v>
      </c>
      <c r="AK793">
        <f t="shared" ca="1" si="181"/>
        <v>0</v>
      </c>
      <c r="AL793">
        <f t="shared" ca="1" si="182"/>
        <v>0</v>
      </c>
    </row>
    <row r="794" spans="1:38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#N/A, OFFSET(data!$A$1, ROW()-1, AA$1-1))</f>
        <v>0</v>
      </c>
      <c r="AB794">
        <f t="shared" ca="1" si="173"/>
        <v>0</v>
      </c>
      <c r="AC794" t="e">
        <f t="shared" ca="1" si="174"/>
        <v>#VALUE!</v>
      </c>
      <c r="AD794" t="str">
        <f t="shared" ca="1" si="175"/>
        <v>0</v>
      </c>
      <c r="AE794" t="str">
        <f t="shared" ca="1" si="176"/>
        <v/>
      </c>
      <c r="AF794" s="6">
        <f t="shared" ca="1" si="177"/>
        <v>0</v>
      </c>
      <c r="AG794">
        <f t="shared" ca="1" si="172"/>
        <v>0</v>
      </c>
      <c r="AH794">
        <f t="shared" ca="1" si="178"/>
        <v>0</v>
      </c>
      <c r="AI794">
        <f t="shared" ca="1" si="179"/>
        <v>0</v>
      </c>
      <c r="AJ794">
        <f t="shared" ca="1" si="180"/>
        <v>0</v>
      </c>
      <c r="AK794">
        <f t="shared" ca="1" si="181"/>
        <v>0</v>
      </c>
      <c r="AL794">
        <f t="shared" ca="1" si="182"/>
        <v>0</v>
      </c>
    </row>
    <row r="795" spans="1:38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#N/A, OFFSET(data!$A$1, ROW()-1, AA$1-1))</f>
        <v>0</v>
      </c>
      <c r="AB795">
        <f t="shared" ca="1" si="173"/>
        <v>0</v>
      </c>
      <c r="AC795" t="e">
        <f t="shared" ca="1" si="174"/>
        <v>#VALUE!</v>
      </c>
      <c r="AD795" t="str">
        <f t="shared" ca="1" si="175"/>
        <v>0</v>
      </c>
      <c r="AE795" t="str">
        <f t="shared" ca="1" si="176"/>
        <v/>
      </c>
      <c r="AF795" s="6">
        <f t="shared" ca="1" si="177"/>
        <v>0</v>
      </c>
      <c r="AG795">
        <f t="shared" ca="1" si="172"/>
        <v>0</v>
      </c>
      <c r="AH795">
        <f t="shared" ca="1" si="178"/>
        <v>0</v>
      </c>
      <c r="AI795">
        <f t="shared" ca="1" si="179"/>
        <v>0</v>
      </c>
      <c r="AJ795">
        <f t="shared" ca="1" si="180"/>
        <v>0</v>
      </c>
      <c r="AK795">
        <f t="shared" ca="1" si="181"/>
        <v>0</v>
      </c>
      <c r="AL795">
        <f t="shared" ca="1" si="182"/>
        <v>0</v>
      </c>
    </row>
    <row r="796" spans="1:38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#N/A, OFFSET(data!$A$1, ROW()-1, AA$1-1))</f>
        <v>0</v>
      </c>
      <c r="AB796">
        <f t="shared" ca="1" si="173"/>
        <v>0</v>
      </c>
      <c r="AC796" t="e">
        <f t="shared" ca="1" si="174"/>
        <v>#VALUE!</v>
      </c>
      <c r="AD796" t="str">
        <f t="shared" ca="1" si="175"/>
        <v>0</v>
      </c>
      <c r="AE796" t="str">
        <f t="shared" ca="1" si="176"/>
        <v/>
      </c>
      <c r="AF796" s="6">
        <f t="shared" ca="1" si="177"/>
        <v>0</v>
      </c>
      <c r="AG796">
        <f t="shared" ca="1" si="172"/>
        <v>0</v>
      </c>
      <c r="AH796">
        <f t="shared" ca="1" si="178"/>
        <v>0</v>
      </c>
      <c r="AI796">
        <f t="shared" ca="1" si="179"/>
        <v>0</v>
      </c>
      <c r="AJ796">
        <f t="shared" ca="1" si="180"/>
        <v>0</v>
      </c>
      <c r="AK796">
        <f t="shared" ca="1" si="181"/>
        <v>0</v>
      </c>
      <c r="AL796">
        <f t="shared" ca="1" si="182"/>
        <v>0</v>
      </c>
    </row>
    <row r="797" spans="1:38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#N/A, OFFSET(data!$A$1, ROW()-1, AA$1-1))</f>
        <v>0</v>
      </c>
      <c r="AB797">
        <f t="shared" ca="1" si="173"/>
        <v>0</v>
      </c>
      <c r="AC797" t="e">
        <f t="shared" ca="1" si="174"/>
        <v>#VALUE!</v>
      </c>
      <c r="AD797" t="str">
        <f t="shared" ca="1" si="175"/>
        <v>0</v>
      </c>
      <c r="AE797" t="str">
        <f t="shared" ca="1" si="176"/>
        <v/>
      </c>
      <c r="AF797" s="6">
        <f t="shared" ca="1" si="177"/>
        <v>0</v>
      </c>
      <c r="AG797">
        <f t="shared" ca="1" si="172"/>
        <v>0</v>
      </c>
      <c r="AH797">
        <f t="shared" ca="1" si="178"/>
        <v>0</v>
      </c>
      <c r="AI797">
        <f t="shared" ca="1" si="179"/>
        <v>0</v>
      </c>
      <c r="AJ797">
        <f t="shared" ca="1" si="180"/>
        <v>0</v>
      </c>
      <c r="AK797">
        <f t="shared" ca="1" si="181"/>
        <v>0</v>
      </c>
      <c r="AL797">
        <f t="shared" ca="1" si="182"/>
        <v>0</v>
      </c>
    </row>
    <row r="798" spans="1:38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#N/A, OFFSET(data!$A$1, ROW()-1, AA$1-1))</f>
        <v>0</v>
      </c>
      <c r="AB798">
        <f t="shared" ca="1" si="173"/>
        <v>0</v>
      </c>
      <c r="AC798" t="e">
        <f t="shared" ca="1" si="174"/>
        <v>#VALUE!</v>
      </c>
      <c r="AD798" t="str">
        <f t="shared" ca="1" si="175"/>
        <v>0</v>
      </c>
      <c r="AE798" t="str">
        <f t="shared" ca="1" si="176"/>
        <v/>
      </c>
      <c r="AF798" s="6">
        <f t="shared" ca="1" si="177"/>
        <v>0</v>
      </c>
      <c r="AG798">
        <f t="shared" ca="1" si="172"/>
        <v>0</v>
      </c>
      <c r="AH798">
        <f t="shared" ca="1" si="178"/>
        <v>0</v>
      </c>
      <c r="AI798">
        <f t="shared" ca="1" si="179"/>
        <v>0</v>
      </c>
      <c r="AJ798">
        <f t="shared" ca="1" si="180"/>
        <v>0</v>
      </c>
      <c r="AK798">
        <f t="shared" ca="1" si="181"/>
        <v>0</v>
      </c>
      <c r="AL798">
        <f t="shared" ca="1" si="182"/>
        <v>0</v>
      </c>
    </row>
    <row r="799" spans="1:38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#N/A, OFFSET(data!$A$1, ROW()-1, AA$1-1))</f>
        <v>0</v>
      </c>
      <c r="AB799">
        <f t="shared" ca="1" si="173"/>
        <v>0</v>
      </c>
      <c r="AC799" t="e">
        <f t="shared" ca="1" si="174"/>
        <v>#VALUE!</v>
      </c>
      <c r="AD799" t="str">
        <f t="shared" ca="1" si="175"/>
        <v>0</v>
      </c>
      <c r="AE799" t="str">
        <f t="shared" ca="1" si="176"/>
        <v/>
      </c>
      <c r="AF799" s="6">
        <f t="shared" ca="1" si="177"/>
        <v>0</v>
      </c>
      <c r="AG799">
        <f t="shared" ca="1" si="172"/>
        <v>0</v>
      </c>
      <c r="AH799">
        <f t="shared" ca="1" si="178"/>
        <v>0</v>
      </c>
      <c r="AI799">
        <f t="shared" ca="1" si="179"/>
        <v>0</v>
      </c>
      <c r="AJ799">
        <f t="shared" ca="1" si="180"/>
        <v>0</v>
      </c>
      <c r="AK799">
        <f t="shared" ca="1" si="181"/>
        <v>0</v>
      </c>
      <c r="AL799">
        <f t="shared" ca="1" si="182"/>
        <v>0</v>
      </c>
    </row>
    <row r="800" spans="1:38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#N/A, OFFSET(data!$A$1, ROW()-1, AA$1-1))</f>
        <v>0</v>
      </c>
      <c r="AB800">
        <f t="shared" ca="1" si="173"/>
        <v>0</v>
      </c>
      <c r="AC800" t="e">
        <f t="shared" ca="1" si="174"/>
        <v>#VALUE!</v>
      </c>
      <c r="AD800" t="str">
        <f t="shared" ca="1" si="175"/>
        <v>0</v>
      </c>
      <c r="AE800" t="str">
        <f t="shared" ca="1" si="176"/>
        <v/>
      </c>
      <c r="AF800" s="6">
        <f t="shared" ca="1" si="177"/>
        <v>0</v>
      </c>
      <c r="AG800">
        <f t="shared" ca="1" si="172"/>
        <v>0</v>
      </c>
      <c r="AH800">
        <f t="shared" ca="1" si="178"/>
        <v>0</v>
      </c>
      <c r="AI800">
        <f t="shared" ca="1" si="179"/>
        <v>0</v>
      </c>
      <c r="AJ800">
        <f t="shared" ca="1" si="180"/>
        <v>0</v>
      </c>
      <c r="AK800">
        <f t="shared" ca="1" si="181"/>
        <v>0</v>
      </c>
      <c r="AL800">
        <f t="shared" ca="1" si="182"/>
        <v>0</v>
      </c>
    </row>
    <row r="801" spans="1:38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#N/A, OFFSET(data!$A$1, ROW()-1, AA$1-1))</f>
        <v>0</v>
      </c>
      <c r="AB801">
        <f t="shared" ca="1" si="173"/>
        <v>0</v>
      </c>
      <c r="AC801" t="e">
        <f t="shared" ca="1" si="174"/>
        <v>#VALUE!</v>
      </c>
      <c r="AD801" t="str">
        <f t="shared" ca="1" si="175"/>
        <v>0</v>
      </c>
      <c r="AE801" t="str">
        <f t="shared" ca="1" si="176"/>
        <v/>
      </c>
      <c r="AF801" s="6">
        <f t="shared" ca="1" si="177"/>
        <v>0</v>
      </c>
      <c r="AG801">
        <f t="shared" ca="1" si="172"/>
        <v>0</v>
      </c>
      <c r="AH801">
        <f t="shared" ca="1" si="178"/>
        <v>0</v>
      </c>
      <c r="AI801">
        <f t="shared" ca="1" si="179"/>
        <v>0</v>
      </c>
      <c r="AJ801">
        <f t="shared" ca="1" si="180"/>
        <v>0</v>
      </c>
      <c r="AK801">
        <f t="shared" ca="1" si="181"/>
        <v>0</v>
      </c>
      <c r="AL801">
        <f t="shared" ca="1" si="182"/>
        <v>0</v>
      </c>
    </row>
    <row r="802" spans="1:38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#N/A, OFFSET(data!$A$1, ROW()-1, AA$1-1))</f>
        <v>0</v>
      </c>
      <c r="AB802">
        <f t="shared" ca="1" si="173"/>
        <v>0</v>
      </c>
      <c r="AC802" t="e">
        <f t="shared" ca="1" si="174"/>
        <v>#VALUE!</v>
      </c>
      <c r="AD802" t="str">
        <f t="shared" ca="1" si="175"/>
        <v>0</v>
      </c>
      <c r="AE802" t="str">
        <f t="shared" ca="1" si="176"/>
        <v/>
      </c>
      <c r="AF802" s="6">
        <f t="shared" ca="1" si="177"/>
        <v>0</v>
      </c>
      <c r="AG802">
        <f t="shared" ca="1" si="172"/>
        <v>0</v>
      </c>
      <c r="AH802">
        <f t="shared" ca="1" si="178"/>
        <v>0</v>
      </c>
      <c r="AI802">
        <f t="shared" ca="1" si="179"/>
        <v>0</v>
      </c>
      <c r="AJ802">
        <f t="shared" ca="1" si="180"/>
        <v>0</v>
      </c>
      <c r="AK802">
        <f t="shared" ca="1" si="181"/>
        <v>0</v>
      </c>
      <c r="AL802">
        <f t="shared" ca="1" si="182"/>
        <v>0</v>
      </c>
    </row>
    <row r="803" spans="1:38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#N/A, OFFSET(data!$A$1, ROW()-1, AA$1-1))</f>
        <v>0</v>
      </c>
      <c r="AB803">
        <f t="shared" ca="1" si="173"/>
        <v>0</v>
      </c>
      <c r="AC803" t="e">
        <f t="shared" ca="1" si="174"/>
        <v>#VALUE!</v>
      </c>
      <c r="AD803" t="str">
        <f t="shared" ca="1" si="175"/>
        <v>0</v>
      </c>
      <c r="AE803" t="str">
        <f t="shared" ca="1" si="176"/>
        <v/>
      </c>
      <c r="AF803" s="6">
        <f t="shared" ca="1" si="177"/>
        <v>0</v>
      </c>
      <c r="AG803">
        <f t="shared" ca="1" si="172"/>
        <v>0</v>
      </c>
      <c r="AH803">
        <f t="shared" ca="1" si="178"/>
        <v>0</v>
      </c>
      <c r="AI803">
        <f t="shared" ca="1" si="179"/>
        <v>0</v>
      </c>
      <c r="AJ803">
        <f t="shared" ca="1" si="180"/>
        <v>0</v>
      </c>
      <c r="AK803">
        <f t="shared" ca="1" si="181"/>
        <v>0</v>
      </c>
      <c r="AL803">
        <f t="shared" ca="1" si="182"/>
        <v>0</v>
      </c>
    </row>
    <row r="804" spans="1:38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#N/A, OFFSET(data!$A$1, ROW()-1, AA$1-1))</f>
        <v>0</v>
      </c>
      <c r="AB804">
        <f t="shared" ca="1" si="173"/>
        <v>0</v>
      </c>
      <c r="AC804" t="e">
        <f t="shared" ca="1" si="174"/>
        <v>#VALUE!</v>
      </c>
      <c r="AD804" t="str">
        <f t="shared" ca="1" si="175"/>
        <v>0</v>
      </c>
      <c r="AE804" t="str">
        <f t="shared" ca="1" si="176"/>
        <v/>
      </c>
      <c r="AF804" s="6">
        <f t="shared" ca="1" si="177"/>
        <v>0</v>
      </c>
      <c r="AG804">
        <f t="shared" ca="1" si="172"/>
        <v>0</v>
      </c>
      <c r="AH804">
        <f t="shared" ca="1" si="178"/>
        <v>0</v>
      </c>
      <c r="AI804">
        <f t="shared" ca="1" si="179"/>
        <v>0</v>
      </c>
      <c r="AJ804">
        <f t="shared" ca="1" si="180"/>
        <v>0</v>
      </c>
      <c r="AK804">
        <f t="shared" ca="1" si="181"/>
        <v>0</v>
      </c>
      <c r="AL804">
        <f t="shared" ca="1" si="182"/>
        <v>0</v>
      </c>
    </row>
    <row r="805" spans="1:38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#N/A, OFFSET(data!$A$1, ROW()-1, AA$1-1))</f>
        <v>0</v>
      </c>
      <c r="AB805">
        <f t="shared" ca="1" si="173"/>
        <v>0</v>
      </c>
      <c r="AC805" t="e">
        <f t="shared" ca="1" si="174"/>
        <v>#VALUE!</v>
      </c>
      <c r="AD805" t="str">
        <f t="shared" ca="1" si="175"/>
        <v>0</v>
      </c>
      <c r="AE805" t="str">
        <f t="shared" ca="1" si="176"/>
        <v/>
      </c>
      <c r="AF805" s="6">
        <f t="shared" ca="1" si="177"/>
        <v>0</v>
      </c>
      <c r="AG805">
        <f t="shared" ca="1" si="172"/>
        <v>0</v>
      </c>
      <c r="AH805">
        <f t="shared" ca="1" si="178"/>
        <v>0</v>
      </c>
      <c r="AI805">
        <f t="shared" ca="1" si="179"/>
        <v>0</v>
      </c>
      <c r="AJ805">
        <f t="shared" ca="1" si="180"/>
        <v>0</v>
      </c>
      <c r="AK805">
        <f t="shared" ca="1" si="181"/>
        <v>0</v>
      </c>
      <c r="AL805">
        <f t="shared" ca="1" si="182"/>
        <v>0</v>
      </c>
    </row>
    <row r="806" spans="1:38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#N/A, OFFSET(data!$A$1, ROW()-1, AA$1-1))</f>
        <v>0</v>
      </c>
      <c r="AB806">
        <f t="shared" ca="1" si="173"/>
        <v>0</v>
      </c>
      <c r="AC806" t="e">
        <f t="shared" ca="1" si="174"/>
        <v>#VALUE!</v>
      </c>
      <c r="AD806" t="str">
        <f t="shared" ca="1" si="175"/>
        <v>0</v>
      </c>
      <c r="AE806" t="str">
        <f t="shared" ca="1" si="176"/>
        <v/>
      </c>
      <c r="AF806" s="6">
        <f t="shared" ca="1" si="177"/>
        <v>0</v>
      </c>
      <c r="AG806">
        <f t="shared" ca="1" si="172"/>
        <v>0</v>
      </c>
      <c r="AH806">
        <f t="shared" ca="1" si="178"/>
        <v>0</v>
      </c>
      <c r="AI806">
        <f t="shared" ca="1" si="179"/>
        <v>0</v>
      </c>
      <c r="AJ806">
        <f t="shared" ca="1" si="180"/>
        <v>0</v>
      </c>
      <c r="AK806">
        <f t="shared" ca="1" si="181"/>
        <v>0</v>
      </c>
      <c r="AL806">
        <f t="shared" ca="1" si="182"/>
        <v>0</v>
      </c>
    </row>
    <row r="807" spans="1:38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#N/A, OFFSET(data!$A$1, ROW()-1, AA$1-1))</f>
        <v>0</v>
      </c>
      <c r="AB807">
        <f t="shared" ca="1" si="173"/>
        <v>0</v>
      </c>
      <c r="AC807" t="e">
        <f t="shared" ca="1" si="174"/>
        <v>#VALUE!</v>
      </c>
      <c r="AD807" t="str">
        <f t="shared" ca="1" si="175"/>
        <v>0</v>
      </c>
      <c r="AE807" t="str">
        <f t="shared" ca="1" si="176"/>
        <v/>
      </c>
      <c r="AF807" s="6">
        <f t="shared" ca="1" si="177"/>
        <v>0</v>
      </c>
      <c r="AG807">
        <f t="shared" ca="1" si="172"/>
        <v>0</v>
      </c>
      <c r="AH807">
        <f t="shared" ca="1" si="178"/>
        <v>0</v>
      </c>
      <c r="AI807">
        <f t="shared" ca="1" si="179"/>
        <v>0</v>
      </c>
      <c r="AJ807">
        <f t="shared" ca="1" si="180"/>
        <v>0</v>
      </c>
      <c r="AK807">
        <f t="shared" ca="1" si="181"/>
        <v>0</v>
      </c>
      <c r="AL807">
        <f t="shared" ca="1" si="182"/>
        <v>0</v>
      </c>
    </row>
    <row r="808" spans="1:38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#N/A, OFFSET(data!$A$1, ROW()-1, AA$1-1))</f>
        <v>0</v>
      </c>
      <c r="AB808">
        <f t="shared" ca="1" si="173"/>
        <v>0</v>
      </c>
      <c r="AC808" t="e">
        <f t="shared" ca="1" si="174"/>
        <v>#VALUE!</v>
      </c>
      <c r="AD808" t="str">
        <f t="shared" ca="1" si="175"/>
        <v>0</v>
      </c>
      <c r="AE808" t="str">
        <f t="shared" ca="1" si="176"/>
        <v/>
      </c>
      <c r="AF808" s="6">
        <f t="shared" ca="1" si="177"/>
        <v>0</v>
      </c>
      <c r="AG808">
        <f t="shared" ca="1" si="172"/>
        <v>0</v>
      </c>
      <c r="AH808">
        <f t="shared" ca="1" si="178"/>
        <v>0</v>
      </c>
      <c r="AI808">
        <f t="shared" ca="1" si="179"/>
        <v>0</v>
      </c>
      <c r="AJ808">
        <f t="shared" ca="1" si="180"/>
        <v>0</v>
      </c>
      <c r="AK808">
        <f t="shared" ca="1" si="181"/>
        <v>0</v>
      </c>
      <c r="AL808">
        <f t="shared" ca="1" si="182"/>
        <v>0</v>
      </c>
    </row>
    <row r="809" spans="1:38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#N/A, OFFSET(data!$A$1, ROW()-1, AA$1-1))</f>
        <v>0</v>
      </c>
      <c r="AB809">
        <f t="shared" ca="1" si="173"/>
        <v>0</v>
      </c>
      <c r="AC809" t="e">
        <f t="shared" ca="1" si="174"/>
        <v>#VALUE!</v>
      </c>
      <c r="AD809" t="str">
        <f t="shared" ca="1" si="175"/>
        <v>0</v>
      </c>
      <c r="AE809" t="str">
        <f t="shared" ca="1" si="176"/>
        <v/>
      </c>
      <c r="AF809" s="6">
        <f t="shared" ca="1" si="177"/>
        <v>0</v>
      </c>
      <c r="AG809">
        <f t="shared" ca="1" si="172"/>
        <v>0</v>
      </c>
      <c r="AH809">
        <f t="shared" ca="1" si="178"/>
        <v>0</v>
      </c>
      <c r="AI809">
        <f t="shared" ca="1" si="179"/>
        <v>0</v>
      </c>
      <c r="AJ809">
        <f t="shared" ca="1" si="180"/>
        <v>0</v>
      </c>
      <c r="AK809">
        <f t="shared" ca="1" si="181"/>
        <v>0</v>
      </c>
      <c r="AL809">
        <f t="shared" ca="1" si="182"/>
        <v>0</v>
      </c>
    </row>
    <row r="810" spans="1:38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#N/A, OFFSET(data!$A$1, ROW()-1, AA$1-1))</f>
        <v>0</v>
      </c>
      <c r="AB810">
        <f t="shared" ca="1" si="173"/>
        <v>0</v>
      </c>
      <c r="AC810" t="e">
        <f t="shared" ca="1" si="174"/>
        <v>#VALUE!</v>
      </c>
      <c r="AD810" t="str">
        <f t="shared" ca="1" si="175"/>
        <v>0</v>
      </c>
      <c r="AE810" t="str">
        <f t="shared" ca="1" si="176"/>
        <v/>
      </c>
      <c r="AF810" s="6">
        <f t="shared" ca="1" si="177"/>
        <v>0</v>
      </c>
      <c r="AG810">
        <f t="shared" ca="1" si="172"/>
        <v>0</v>
      </c>
      <c r="AH810">
        <f t="shared" ca="1" si="178"/>
        <v>0</v>
      </c>
      <c r="AI810">
        <f t="shared" ca="1" si="179"/>
        <v>0</v>
      </c>
      <c r="AJ810">
        <f t="shared" ca="1" si="180"/>
        <v>0</v>
      </c>
      <c r="AK810">
        <f t="shared" ca="1" si="181"/>
        <v>0</v>
      </c>
      <c r="AL810">
        <f t="shared" ca="1" si="182"/>
        <v>0</v>
      </c>
    </row>
    <row r="811" spans="1:38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#N/A, OFFSET(data!$A$1, ROW()-1, AA$1-1))</f>
        <v>0</v>
      </c>
      <c r="AB811">
        <f t="shared" ca="1" si="173"/>
        <v>0</v>
      </c>
      <c r="AC811" t="e">
        <f t="shared" ca="1" si="174"/>
        <v>#VALUE!</v>
      </c>
      <c r="AD811" t="str">
        <f t="shared" ca="1" si="175"/>
        <v>0</v>
      </c>
      <c r="AE811" t="str">
        <f t="shared" ca="1" si="176"/>
        <v/>
      </c>
      <c r="AF811" s="6">
        <f t="shared" ca="1" si="177"/>
        <v>0</v>
      </c>
      <c r="AG811">
        <f t="shared" ca="1" si="172"/>
        <v>0</v>
      </c>
      <c r="AH811">
        <f t="shared" ca="1" si="178"/>
        <v>0</v>
      </c>
      <c r="AI811">
        <f t="shared" ca="1" si="179"/>
        <v>0</v>
      </c>
      <c r="AJ811">
        <f t="shared" ca="1" si="180"/>
        <v>0</v>
      </c>
      <c r="AK811">
        <f t="shared" ca="1" si="181"/>
        <v>0</v>
      </c>
      <c r="AL811">
        <f t="shared" ca="1" si="182"/>
        <v>0</v>
      </c>
    </row>
    <row r="812" spans="1:38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#N/A, OFFSET(data!$A$1, ROW()-1, AA$1-1))</f>
        <v>0</v>
      </c>
      <c r="AB812">
        <f t="shared" ca="1" si="173"/>
        <v>0</v>
      </c>
      <c r="AC812" t="e">
        <f t="shared" ca="1" si="174"/>
        <v>#VALUE!</v>
      </c>
      <c r="AD812" t="str">
        <f t="shared" ca="1" si="175"/>
        <v>0</v>
      </c>
      <c r="AE812" t="str">
        <f t="shared" ca="1" si="176"/>
        <v/>
      </c>
      <c r="AF812" s="6">
        <f t="shared" ca="1" si="177"/>
        <v>0</v>
      </c>
      <c r="AG812">
        <f t="shared" ca="1" si="172"/>
        <v>0</v>
      </c>
      <c r="AH812">
        <f t="shared" ca="1" si="178"/>
        <v>0</v>
      </c>
      <c r="AI812">
        <f t="shared" ca="1" si="179"/>
        <v>0</v>
      </c>
      <c r="AJ812">
        <f t="shared" ca="1" si="180"/>
        <v>0</v>
      </c>
      <c r="AK812">
        <f t="shared" ca="1" si="181"/>
        <v>0</v>
      </c>
      <c r="AL812">
        <f t="shared" ca="1" si="182"/>
        <v>0</v>
      </c>
    </row>
    <row r="813" spans="1:38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#N/A, OFFSET(data!$A$1, ROW()-1, AA$1-1))</f>
        <v>0</v>
      </c>
      <c r="AB813">
        <f t="shared" ca="1" si="173"/>
        <v>0</v>
      </c>
      <c r="AC813" t="e">
        <f t="shared" ca="1" si="174"/>
        <v>#VALUE!</v>
      </c>
      <c r="AD813" t="str">
        <f t="shared" ca="1" si="175"/>
        <v>0</v>
      </c>
      <c r="AE813" t="str">
        <f t="shared" ca="1" si="176"/>
        <v/>
      </c>
      <c r="AF813" s="6">
        <f t="shared" ca="1" si="177"/>
        <v>0</v>
      </c>
      <c r="AG813">
        <f t="shared" ca="1" si="172"/>
        <v>0</v>
      </c>
      <c r="AH813">
        <f t="shared" ca="1" si="178"/>
        <v>0</v>
      </c>
      <c r="AI813">
        <f t="shared" ca="1" si="179"/>
        <v>0</v>
      </c>
      <c r="AJ813">
        <f t="shared" ca="1" si="180"/>
        <v>0</v>
      </c>
      <c r="AK813">
        <f t="shared" ca="1" si="181"/>
        <v>0</v>
      </c>
      <c r="AL813">
        <f t="shared" ca="1" si="182"/>
        <v>0</v>
      </c>
    </row>
    <row r="814" spans="1:38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#N/A, OFFSET(data!$A$1, ROW()-1, AA$1-1))</f>
        <v>0</v>
      </c>
      <c r="AB814">
        <f t="shared" ca="1" si="173"/>
        <v>0</v>
      </c>
      <c r="AC814" t="e">
        <f t="shared" ca="1" si="174"/>
        <v>#VALUE!</v>
      </c>
      <c r="AD814" t="str">
        <f t="shared" ca="1" si="175"/>
        <v>0</v>
      </c>
      <c r="AE814" t="str">
        <f t="shared" ca="1" si="176"/>
        <v/>
      </c>
      <c r="AF814" s="6">
        <f t="shared" ca="1" si="177"/>
        <v>0</v>
      </c>
      <c r="AG814">
        <f t="shared" ca="1" si="172"/>
        <v>0</v>
      </c>
      <c r="AH814">
        <f t="shared" ca="1" si="178"/>
        <v>0</v>
      </c>
      <c r="AI814">
        <f t="shared" ca="1" si="179"/>
        <v>0</v>
      </c>
      <c r="AJ814">
        <f t="shared" ca="1" si="180"/>
        <v>0</v>
      </c>
      <c r="AK814">
        <f t="shared" ca="1" si="181"/>
        <v>0</v>
      </c>
      <c r="AL814">
        <f t="shared" ca="1" si="182"/>
        <v>0</v>
      </c>
    </row>
    <row r="815" spans="1:38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#N/A, OFFSET(data!$A$1, ROW()-1, AA$1-1))</f>
        <v>0</v>
      </c>
      <c r="AB815">
        <f t="shared" ca="1" si="173"/>
        <v>0</v>
      </c>
      <c r="AC815" t="e">
        <f t="shared" ca="1" si="174"/>
        <v>#VALUE!</v>
      </c>
      <c r="AD815" t="str">
        <f t="shared" ca="1" si="175"/>
        <v>0</v>
      </c>
      <c r="AE815" t="str">
        <f t="shared" ca="1" si="176"/>
        <v/>
      </c>
      <c r="AF815" s="6">
        <f t="shared" ca="1" si="177"/>
        <v>0</v>
      </c>
      <c r="AG815">
        <f t="shared" ca="1" si="172"/>
        <v>0</v>
      </c>
      <c r="AH815">
        <f t="shared" ca="1" si="178"/>
        <v>0</v>
      </c>
      <c r="AI815">
        <f t="shared" ca="1" si="179"/>
        <v>0</v>
      </c>
      <c r="AJ815">
        <f t="shared" ca="1" si="180"/>
        <v>0</v>
      </c>
      <c r="AK815">
        <f t="shared" ca="1" si="181"/>
        <v>0</v>
      </c>
      <c r="AL815">
        <f t="shared" ca="1" si="182"/>
        <v>0</v>
      </c>
    </row>
    <row r="816" spans="1:38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#N/A, OFFSET(data!$A$1, ROW()-1, AA$1-1))</f>
        <v>0</v>
      </c>
      <c r="AB816">
        <f t="shared" ca="1" si="173"/>
        <v>0</v>
      </c>
      <c r="AC816" t="e">
        <f t="shared" ca="1" si="174"/>
        <v>#VALUE!</v>
      </c>
      <c r="AD816" t="str">
        <f t="shared" ca="1" si="175"/>
        <v>0</v>
      </c>
      <c r="AE816" t="str">
        <f t="shared" ca="1" si="176"/>
        <v/>
      </c>
      <c r="AF816" s="6">
        <f t="shared" ca="1" si="177"/>
        <v>0</v>
      </c>
      <c r="AG816">
        <f t="shared" ca="1" si="172"/>
        <v>0</v>
      </c>
      <c r="AH816">
        <f t="shared" ca="1" si="178"/>
        <v>0</v>
      </c>
      <c r="AI816">
        <f t="shared" ca="1" si="179"/>
        <v>0</v>
      </c>
      <c r="AJ816">
        <f t="shared" ca="1" si="180"/>
        <v>0</v>
      </c>
      <c r="AK816">
        <f t="shared" ca="1" si="181"/>
        <v>0</v>
      </c>
      <c r="AL816">
        <f t="shared" ca="1" si="182"/>
        <v>0</v>
      </c>
    </row>
    <row r="817" spans="1:38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#N/A, OFFSET(data!$A$1, ROW()-1, AA$1-1))</f>
        <v>0</v>
      </c>
      <c r="AB817">
        <f t="shared" ca="1" si="173"/>
        <v>0</v>
      </c>
      <c r="AC817" t="e">
        <f t="shared" ca="1" si="174"/>
        <v>#VALUE!</v>
      </c>
      <c r="AD817" t="str">
        <f t="shared" ca="1" si="175"/>
        <v>0</v>
      </c>
      <c r="AE817" t="str">
        <f t="shared" ca="1" si="176"/>
        <v/>
      </c>
      <c r="AF817" s="6">
        <f t="shared" ca="1" si="177"/>
        <v>0</v>
      </c>
      <c r="AG817">
        <f t="shared" ca="1" si="172"/>
        <v>0</v>
      </c>
      <c r="AH817">
        <f t="shared" ca="1" si="178"/>
        <v>0</v>
      </c>
      <c r="AI817">
        <f t="shared" ca="1" si="179"/>
        <v>0</v>
      </c>
      <c r="AJ817">
        <f t="shared" ca="1" si="180"/>
        <v>0</v>
      </c>
      <c r="AK817">
        <f t="shared" ca="1" si="181"/>
        <v>0</v>
      </c>
      <c r="AL817">
        <f t="shared" ca="1" si="182"/>
        <v>0</v>
      </c>
    </row>
    <row r="818" spans="1:38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#N/A, OFFSET(data!$A$1, ROW()-1, AA$1-1))</f>
        <v>0</v>
      </c>
      <c r="AB818">
        <f t="shared" ca="1" si="173"/>
        <v>0</v>
      </c>
      <c r="AC818" t="e">
        <f t="shared" ca="1" si="174"/>
        <v>#VALUE!</v>
      </c>
      <c r="AD818" t="str">
        <f t="shared" ca="1" si="175"/>
        <v>0</v>
      </c>
      <c r="AE818" t="str">
        <f t="shared" ca="1" si="176"/>
        <v/>
      </c>
      <c r="AF818" s="6">
        <f t="shared" ca="1" si="177"/>
        <v>0</v>
      </c>
      <c r="AG818">
        <f t="shared" ca="1" si="172"/>
        <v>0</v>
      </c>
      <c r="AH818">
        <f t="shared" ca="1" si="178"/>
        <v>0</v>
      </c>
      <c r="AI818">
        <f t="shared" ca="1" si="179"/>
        <v>0</v>
      </c>
      <c r="AJ818">
        <f t="shared" ca="1" si="180"/>
        <v>0</v>
      </c>
      <c r="AK818">
        <f t="shared" ca="1" si="181"/>
        <v>0</v>
      </c>
      <c r="AL818">
        <f t="shared" ca="1" si="182"/>
        <v>0</v>
      </c>
    </row>
    <row r="819" spans="1:38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#N/A, OFFSET(data!$A$1, ROW()-1, AA$1-1))</f>
        <v>0</v>
      </c>
      <c r="AB819">
        <f t="shared" ca="1" si="173"/>
        <v>0</v>
      </c>
      <c r="AC819" t="e">
        <f t="shared" ca="1" si="174"/>
        <v>#VALUE!</v>
      </c>
      <c r="AD819" t="str">
        <f t="shared" ca="1" si="175"/>
        <v>0</v>
      </c>
      <c r="AE819" t="str">
        <f t="shared" ca="1" si="176"/>
        <v/>
      </c>
      <c r="AF819" s="6">
        <f t="shared" ca="1" si="177"/>
        <v>0</v>
      </c>
      <c r="AG819">
        <f t="shared" ca="1" si="172"/>
        <v>0</v>
      </c>
      <c r="AH819">
        <f t="shared" ca="1" si="178"/>
        <v>0</v>
      </c>
      <c r="AI819">
        <f t="shared" ca="1" si="179"/>
        <v>0</v>
      </c>
      <c r="AJ819">
        <f t="shared" ca="1" si="180"/>
        <v>0</v>
      </c>
      <c r="AK819">
        <f t="shared" ca="1" si="181"/>
        <v>0</v>
      </c>
      <c r="AL819">
        <f t="shared" ca="1" si="182"/>
        <v>0</v>
      </c>
    </row>
    <row r="820" spans="1:38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#N/A, OFFSET(data!$A$1, ROW()-1, AA$1-1))</f>
        <v>0</v>
      </c>
      <c r="AB820">
        <f t="shared" ca="1" si="173"/>
        <v>0</v>
      </c>
      <c r="AC820" t="e">
        <f t="shared" ca="1" si="174"/>
        <v>#VALUE!</v>
      </c>
      <c r="AD820" t="str">
        <f t="shared" ca="1" si="175"/>
        <v>0</v>
      </c>
      <c r="AE820" t="str">
        <f t="shared" ca="1" si="176"/>
        <v/>
      </c>
      <c r="AF820" s="6">
        <f t="shared" ca="1" si="177"/>
        <v>0</v>
      </c>
      <c r="AG820">
        <f t="shared" ref="AG820:AG883" ca="1" si="183">T820+W820</f>
        <v>0</v>
      </c>
      <c r="AH820">
        <f t="shared" ca="1" si="178"/>
        <v>0</v>
      </c>
      <c r="AI820">
        <f t="shared" ca="1" si="179"/>
        <v>0</v>
      </c>
      <c r="AJ820">
        <f t="shared" ca="1" si="180"/>
        <v>0</v>
      </c>
      <c r="AK820">
        <f t="shared" ca="1" si="181"/>
        <v>0</v>
      </c>
      <c r="AL820">
        <f t="shared" ca="1" si="182"/>
        <v>0</v>
      </c>
    </row>
    <row r="821" spans="1:38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#N/A, OFFSET(data!$A$1, ROW()-1, AA$1-1))</f>
        <v>0</v>
      </c>
      <c r="AB821">
        <f t="shared" ca="1" si="173"/>
        <v>0</v>
      </c>
      <c r="AC821" t="e">
        <f t="shared" ca="1" si="174"/>
        <v>#VALUE!</v>
      </c>
      <c r="AD821" t="str">
        <f t="shared" ca="1" si="175"/>
        <v>0</v>
      </c>
      <c r="AE821" t="str">
        <f t="shared" ca="1" si="176"/>
        <v/>
      </c>
      <c r="AF821" s="6">
        <f t="shared" ca="1" si="177"/>
        <v>0</v>
      </c>
      <c r="AG821">
        <f t="shared" ca="1" si="183"/>
        <v>0</v>
      </c>
      <c r="AH821">
        <f t="shared" ca="1" si="178"/>
        <v>0</v>
      </c>
      <c r="AI821">
        <f t="shared" ca="1" si="179"/>
        <v>0</v>
      </c>
      <c r="AJ821">
        <f t="shared" ca="1" si="180"/>
        <v>0</v>
      </c>
      <c r="AK821">
        <f t="shared" ca="1" si="181"/>
        <v>0</v>
      </c>
      <c r="AL821">
        <f t="shared" ca="1" si="182"/>
        <v>0</v>
      </c>
    </row>
    <row r="822" spans="1:38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#N/A, OFFSET(data!$A$1, ROW()-1, AA$1-1))</f>
        <v>0</v>
      </c>
      <c r="AB822">
        <f t="shared" ca="1" si="173"/>
        <v>0</v>
      </c>
      <c r="AC822" t="e">
        <f t="shared" ca="1" si="174"/>
        <v>#VALUE!</v>
      </c>
      <c r="AD822" t="str">
        <f t="shared" ca="1" si="175"/>
        <v>0</v>
      </c>
      <c r="AE822" t="str">
        <f t="shared" ca="1" si="176"/>
        <v/>
      </c>
      <c r="AF822" s="6">
        <f t="shared" ca="1" si="177"/>
        <v>0</v>
      </c>
      <c r="AG822">
        <f t="shared" ca="1" si="183"/>
        <v>0</v>
      </c>
      <c r="AH822">
        <f t="shared" ca="1" si="178"/>
        <v>0</v>
      </c>
      <c r="AI822">
        <f t="shared" ca="1" si="179"/>
        <v>0</v>
      </c>
      <c r="AJ822">
        <f t="shared" ca="1" si="180"/>
        <v>0</v>
      </c>
      <c r="AK822">
        <f t="shared" ca="1" si="181"/>
        <v>0</v>
      </c>
      <c r="AL822">
        <f t="shared" ca="1" si="182"/>
        <v>0</v>
      </c>
    </row>
    <row r="823" spans="1:38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#N/A, OFFSET(data!$A$1, ROW()-1, AA$1-1))</f>
        <v>0</v>
      </c>
      <c r="AB823">
        <f t="shared" ca="1" si="173"/>
        <v>0</v>
      </c>
      <c r="AC823" t="e">
        <f t="shared" ca="1" si="174"/>
        <v>#VALUE!</v>
      </c>
      <c r="AD823" t="str">
        <f t="shared" ca="1" si="175"/>
        <v>0</v>
      </c>
      <c r="AE823" t="str">
        <f t="shared" ca="1" si="176"/>
        <v/>
      </c>
      <c r="AF823" s="6">
        <f t="shared" ca="1" si="177"/>
        <v>0</v>
      </c>
      <c r="AG823">
        <f t="shared" ca="1" si="183"/>
        <v>0</v>
      </c>
      <c r="AH823">
        <f t="shared" ca="1" si="178"/>
        <v>0</v>
      </c>
      <c r="AI823">
        <f t="shared" ca="1" si="179"/>
        <v>0</v>
      </c>
      <c r="AJ823">
        <f t="shared" ca="1" si="180"/>
        <v>0</v>
      </c>
      <c r="AK823">
        <f t="shared" ca="1" si="181"/>
        <v>0</v>
      </c>
      <c r="AL823">
        <f t="shared" ca="1" si="182"/>
        <v>0</v>
      </c>
    </row>
    <row r="824" spans="1:38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#N/A, OFFSET(data!$A$1, ROW()-1, AA$1-1))</f>
        <v>0</v>
      </c>
      <c r="AB824">
        <f t="shared" ca="1" si="173"/>
        <v>0</v>
      </c>
      <c r="AC824" t="e">
        <f t="shared" ca="1" si="174"/>
        <v>#VALUE!</v>
      </c>
      <c r="AD824" t="str">
        <f t="shared" ca="1" si="175"/>
        <v>0</v>
      </c>
      <c r="AE824" t="str">
        <f t="shared" ca="1" si="176"/>
        <v/>
      </c>
      <c r="AF824" s="6">
        <f t="shared" ca="1" si="177"/>
        <v>0</v>
      </c>
      <c r="AG824">
        <f t="shared" ca="1" si="183"/>
        <v>0</v>
      </c>
      <c r="AH824">
        <f t="shared" ca="1" si="178"/>
        <v>0</v>
      </c>
      <c r="AI824">
        <f t="shared" ca="1" si="179"/>
        <v>0</v>
      </c>
      <c r="AJ824">
        <f t="shared" ca="1" si="180"/>
        <v>0</v>
      </c>
      <c r="AK824">
        <f t="shared" ca="1" si="181"/>
        <v>0</v>
      </c>
      <c r="AL824">
        <f t="shared" ca="1" si="182"/>
        <v>0</v>
      </c>
    </row>
    <row r="825" spans="1:38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#N/A, OFFSET(data!$A$1, ROW()-1, AA$1-1))</f>
        <v>0</v>
      </c>
      <c r="AB825">
        <f t="shared" ca="1" si="173"/>
        <v>0</v>
      </c>
      <c r="AC825" t="e">
        <f t="shared" ca="1" si="174"/>
        <v>#VALUE!</v>
      </c>
      <c r="AD825" t="str">
        <f t="shared" ca="1" si="175"/>
        <v>0</v>
      </c>
      <c r="AE825" t="str">
        <f t="shared" ca="1" si="176"/>
        <v/>
      </c>
      <c r="AF825" s="6">
        <f t="shared" ca="1" si="177"/>
        <v>0</v>
      </c>
      <c r="AG825">
        <f t="shared" ca="1" si="183"/>
        <v>0</v>
      </c>
      <c r="AH825">
        <f t="shared" ca="1" si="178"/>
        <v>0</v>
      </c>
      <c r="AI825">
        <f t="shared" ca="1" si="179"/>
        <v>0</v>
      </c>
      <c r="AJ825">
        <f t="shared" ca="1" si="180"/>
        <v>0</v>
      </c>
      <c r="AK825">
        <f t="shared" ca="1" si="181"/>
        <v>0</v>
      </c>
      <c r="AL825">
        <f t="shared" ca="1" si="182"/>
        <v>0</v>
      </c>
    </row>
    <row r="826" spans="1:38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#N/A, OFFSET(data!$A$1, ROW()-1, AA$1-1))</f>
        <v>0</v>
      </c>
      <c r="AB826">
        <f t="shared" ca="1" si="173"/>
        <v>0</v>
      </c>
      <c r="AC826" t="e">
        <f t="shared" ca="1" si="174"/>
        <v>#VALUE!</v>
      </c>
      <c r="AD826" t="str">
        <f t="shared" ca="1" si="175"/>
        <v>0</v>
      </c>
      <c r="AE826" t="str">
        <f t="shared" ca="1" si="176"/>
        <v/>
      </c>
      <c r="AF826" s="6">
        <f t="shared" ca="1" si="177"/>
        <v>0</v>
      </c>
      <c r="AG826">
        <f t="shared" ca="1" si="183"/>
        <v>0</v>
      </c>
      <c r="AH826">
        <f t="shared" ca="1" si="178"/>
        <v>0</v>
      </c>
      <c r="AI826">
        <f t="shared" ca="1" si="179"/>
        <v>0</v>
      </c>
      <c r="AJ826">
        <f t="shared" ca="1" si="180"/>
        <v>0</v>
      </c>
      <c r="AK826">
        <f t="shared" ca="1" si="181"/>
        <v>0</v>
      </c>
      <c r="AL826">
        <f t="shared" ca="1" si="182"/>
        <v>0</v>
      </c>
    </row>
    <row r="827" spans="1:38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#N/A, OFFSET(data!$A$1, ROW()-1, AA$1-1))</f>
        <v>0</v>
      </c>
      <c r="AB827">
        <f t="shared" ca="1" si="173"/>
        <v>0</v>
      </c>
      <c r="AC827" t="e">
        <f t="shared" ca="1" si="174"/>
        <v>#VALUE!</v>
      </c>
      <c r="AD827" t="str">
        <f t="shared" ca="1" si="175"/>
        <v>0</v>
      </c>
      <c r="AE827" t="str">
        <f t="shared" ca="1" si="176"/>
        <v/>
      </c>
      <c r="AF827" s="6">
        <f t="shared" ca="1" si="177"/>
        <v>0</v>
      </c>
      <c r="AG827">
        <f t="shared" ca="1" si="183"/>
        <v>0</v>
      </c>
      <c r="AH827">
        <f t="shared" ca="1" si="178"/>
        <v>0</v>
      </c>
      <c r="AI827">
        <f t="shared" ca="1" si="179"/>
        <v>0</v>
      </c>
      <c r="AJ827">
        <f t="shared" ca="1" si="180"/>
        <v>0</v>
      </c>
      <c r="AK827">
        <f t="shared" ca="1" si="181"/>
        <v>0</v>
      </c>
      <c r="AL827">
        <f t="shared" ca="1" si="182"/>
        <v>0</v>
      </c>
    </row>
    <row r="828" spans="1:38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#N/A, OFFSET(data!$A$1, ROW()-1, AA$1-1))</f>
        <v>0</v>
      </c>
      <c r="AB828">
        <f t="shared" ca="1" si="173"/>
        <v>0</v>
      </c>
      <c r="AC828" t="e">
        <f t="shared" ca="1" si="174"/>
        <v>#VALUE!</v>
      </c>
      <c r="AD828" t="str">
        <f t="shared" ca="1" si="175"/>
        <v>0</v>
      </c>
      <c r="AE828" t="str">
        <f t="shared" ca="1" si="176"/>
        <v/>
      </c>
      <c r="AF828" s="6">
        <f t="shared" ca="1" si="177"/>
        <v>0</v>
      </c>
      <c r="AG828">
        <f t="shared" ca="1" si="183"/>
        <v>0</v>
      </c>
      <c r="AH828">
        <f t="shared" ca="1" si="178"/>
        <v>0</v>
      </c>
      <c r="AI828">
        <f t="shared" ca="1" si="179"/>
        <v>0</v>
      </c>
      <c r="AJ828">
        <f t="shared" ca="1" si="180"/>
        <v>0</v>
      </c>
      <c r="AK828">
        <f t="shared" ca="1" si="181"/>
        <v>0</v>
      </c>
      <c r="AL828">
        <f t="shared" ca="1" si="182"/>
        <v>0</v>
      </c>
    </row>
    <row r="829" spans="1:38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#N/A, OFFSET(data!$A$1, ROW()-1, AA$1-1))</f>
        <v>0</v>
      </c>
      <c r="AB829">
        <f t="shared" ca="1" si="173"/>
        <v>0</v>
      </c>
      <c r="AC829" t="e">
        <f t="shared" ca="1" si="174"/>
        <v>#VALUE!</v>
      </c>
      <c r="AD829" t="str">
        <f t="shared" ca="1" si="175"/>
        <v>0</v>
      </c>
      <c r="AE829" t="str">
        <f t="shared" ca="1" si="176"/>
        <v/>
      </c>
      <c r="AF829" s="6">
        <f t="shared" ca="1" si="177"/>
        <v>0</v>
      </c>
      <c r="AG829">
        <f t="shared" ca="1" si="183"/>
        <v>0</v>
      </c>
      <c r="AH829">
        <f t="shared" ca="1" si="178"/>
        <v>0</v>
      </c>
      <c r="AI829">
        <f t="shared" ca="1" si="179"/>
        <v>0</v>
      </c>
      <c r="AJ829">
        <f t="shared" ca="1" si="180"/>
        <v>0</v>
      </c>
      <c r="AK829">
        <f t="shared" ca="1" si="181"/>
        <v>0</v>
      </c>
      <c r="AL829">
        <f t="shared" ca="1" si="182"/>
        <v>0</v>
      </c>
    </row>
    <row r="830" spans="1:38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#N/A, OFFSET(data!$A$1, ROW()-1, AA$1-1))</f>
        <v>0</v>
      </c>
      <c r="AB830">
        <f t="shared" ca="1" si="173"/>
        <v>0</v>
      </c>
      <c r="AC830" t="e">
        <f t="shared" ca="1" si="174"/>
        <v>#VALUE!</v>
      </c>
      <c r="AD830" t="str">
        <f t="shared" ca="1" si="175"/>
        <v>0</v>
      </c>
      <c r="AE830" t="str">
        <f t="shared" ca="1" si="176"/>
        <v/>
      </c>
      <c r="AF830" s="6">
        <f t="shared" ca="1" si="177"/>
        <v>0</v>
      </c>
      <c r="AG830">
        <f t="shared" ca="1" si="183"/>
        <v>0</v>
      </c>
      <c r="AH830">
        <f t="shared" ca="1" si="178"/>
        <v>0</v>
      </c>
      <c r="AI830">
        <f t="shared" ca="1" si="179"/>
        <v>0</v>
      </c>
      <c r="AJ830">
        <f t="shared" ca="1" si="180"/>
        <v>0</v>
      </c>
      <c r="AK830">
        <f t="shared" ca="1" si="181"/>
        <v>0</v>
      </c>
      <c r="AL830">
        <f t="shared" ca="1" si="182"/>
        <v>0</v>
      </c>
    </row>
    <row r="831" spans="1:38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#N/A, OFFSET(data!$A$1, ROW()-1, AA$1-1))</f>
        <v>0</v>
      </c>
      <c r="AB831">
        <f t="shared" ca="1" si="173"/>
        <v>0</v>
      </c>
      <c r="AC831" t="e">
        <f t="shared" ca="1" si="174"/>
        <v>#VALUE!</v>
      </c>
      <c r="AD831" t="str">
        <f t="shared" ca="1" si="175"/>
        <v>0</v>
      </c>
      <c r="AE831" t="str">
        <f t="shared" ca="1" si="176"/>
        <v/>
      </c>
      <c r="AF831" s="6">
        <f t="shared" ca="1" si="177"/>
        <v>0</v>
      </c>
      <c r="AG831">
        <f t="shared" ca="1" si="183"/>
        <v>0</v>
      </c>
      <c r="AH831">
        <f t="shared" ca="1" si="178"/>
        <v>0</v>
      </c>
      <c r="AI831">
        <f t="shared" ca="1" si="179"/>
        <v>0</v>
      </c>
      <c r="AJ831">
        <f t="shared" ca="1" si="180"/>
        <v>0</v>
      </c>
      <c r="AK831">
        <f t="shared" ca="1" si="181"/>
        <v>0</v>
      </c>
      <c r="AL831">
        <f t="shared" ca="1" si="182"/>
        <v>0</v>
      </c>
    </row>
    <row r="832" spans="1:38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#N/A, OFFSET(data!$A$1, ROW()-1, AA$1-1))</f>
        <v>0</v>
      </c>
      <c r="AB832">
        <f t="shared" ca="1" si="173"/>
        <v>0</v>
      </c>
      <c r="AC832" t="e">
        <f t="shared" ca="1" si="174"/>
        <v>#VALUE!</v>
      </c>
      <c r="AD832" t="str">
        <f t="shared" ca="1" si="175"/>
        <v>0</v>
      </c>
      <c r="AE832" t="str">
        <f t="shared" ca="1" si="176"/>
        <v/>
      </c>
      <c r="AF832" s="6">
        <f t="shared" ca="1" si="177"/>
        <v>0</v>
      </c>
      <c r="AG832">
        <f t="shared" ca="1" si="183"/>
        <v>0</v>
      </c>
      <c r="AH832">
        <f t="shared" ca="1" si="178"/>
        <v>0</v>
      </c>
      <c r="AI832">
        <f t="shared" ca="1" si="179"/>
        <v>0</v>
      </c>
      <c r="AJ832">
        <f t="shared" ca="1" si="180"/>
        <v>0</v>
      </c>
      <c r="AK832">
        <f t="shared" ca="1" si="181"/>
        <v>0</v>
      </c>
      <c r="AL832">
        <f t="shared" ca="1" si="182"/>
        <v>0</v>
      </c>
    </row>
    <row r="833" spans="1:38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#N/A, OFFSET(data!$A$1, ROW()-1, AA$1-1))</f>
        <v>0</v>
      </c>
      <c r="AB833">
        <f t="shared" ca="1" si="173"/>
        <v>0</v>
      </c>
      <c r="AC833" t="e">
        <f t="shared" ca="1" si="174"/>
        <v>#VALUE!</v>
      </c>
      <c r="AD833" t="str">
        <f t="shared" ca="1" si="175"/>
        <v>0</v>
      </c>
      <c r="AE833" t="str">
        <f t="shared" ca="1" si="176"/>
        <v/>
      </c>
      <c r="AF833" s="6">
        <f t="shared" ca="1" si="177"/>
        <v>0</v>
      </c>
      <c r="AG833">
        <f t="shared" ca="1" si="183"/>
        <v>0</v>
      </c>
      <c r="AH833">
        <f t="shared" ca="1" si="178"/>
        <v>0</v>
      </c>
      <c r="AI833">
        <f t="shared" ca="1" si="179"/>
        <v>0</v>
      </c>
      <c r="AJ833">
        <f t="shared" ca="1" si="180"/>
        <v>0</v>
      </c>
      <c r="AK833">
        <f t="shared" ca="1" si="181"/>
        <v>0</v>
      </c>
      <c r="AL833">
        <f t="shared" ca="1" si="182"/>
        <v>0</v>
      </c>
    </row>
    <row r="834" spans="1:38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#N/A, OFFSET(data!$A$1, ROW()-1, AA$1-1))</f>
        <v>0</v>
      </c>
      <c r="AB834">
        <f t="shared" ca="1" si="173"/>
        <v>0</v>
      </c>
      <c r="AC834" t="e">
        <f t="shared" ca="1" si="174"/>
        <v>#VALUE!</v>
      </c>
      <c r="AD834" t="str">
        <f t="shared" ca="1" si="175"/>
        <v>0</v>
      </c>
      <c r="AE834" t="str">
        <f t="shared" ca="1" si="176"/>
        <v/>
      </c>
      <c r="AF834" s="6">
        <f t="shared" ca="1" si="177"/>
        <v>0</v>
      </c>
      <c r="AG834">
        <f t="shared" ca="1" si="183"/>
        <v>0</v>
      </c>
      <c r="AH834">
        <f t="shared" ca="1" si="178"/>
        <v>0</v>
      </c>
      <c r="AI834">
        <f t="shared" ca="1" si="179"/>
        <v>0</v>
      </c>
      <c r="AJ834">
        <f t="shared" ca="1" si="180"/>
        <v>0</v>
      </c>
      <c r="AK834">
        <f t="shared" ca="1" si="181"/>
        <v>0</v>
      </c>
      <c r="AL834">
        <f t="shared" ca="1" si="182"/>
        <v>0</v>
      </c>
    </row>
    <row r="835" spans="1:38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#N/A, OFFSET(data!$A$1, ROW()-1, AA$1-1))</f>
        <v>0</v>
      </c>
      <c r="AB835">
        <f t="shared" ref="AB835:AB898" ca="1" si="184">VALUE(LEFT(C835, 4))</f>
        <v>0</v>
      </c>
      <c r="AC835" t="e">
        <f t="shared" ref="AC835:AC898" ca="1" si="185">VALUE(MID(C835, 6, 2))</f>
        <v>#VALUE!</v>
      </c>
      <c r="AD835" t="str">
        <f t="shared" ref="AD835:AD898" ca="1" si="186">SUBSTITUTE(MID(C835,6,6)&amp;LEFT(C835,4), "-", "/")</f>
        <v>0</v>
      </c>
      <c r="AE835" t="str">
        <f t="shared" ref="AE835:AE898" ca="1" si="187">IF(RIGHT(C835, 5)="12:00", AD835, "")</f>
        <v/>
      </c>
      <c r="AF835" s="6">
        <f t="shared" ref="AF835:AF898" ca="1" si="188">Z835/1000</f>
        <v>0</v>
      </c>
      <c r="AG835">
        <f t="shared" ca="1" si="183"/>
        <v>0</v>
      </c>
      <c r="AH835">
        <f t="shared" ca="1" si="178"/>
        <v>0</v>
      </c>
      <c r="AI835">
        <f t="shared" ca="1" si="179"/>
        <v>0</v>
      </c>
      <c r="AJ835">
        <f t="shared" ca="1" si="180"/>
        <v>0</v>
      </c>
      <c r="AK835">
        <f t="shared" ca="1" si="181"/>
        <v>0</v>
      </c>
      <c r="AL835">
        <f t="shared" ca="1" si="182"/>
        <v>0</v>
      </c>
    </row>
    <row r="836" spans="1:38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#N/A, OFFSET(data!$A$1, ROW()-1, AA$1-1))</f>
        <v>0</v>
      </c>
      <c r="AB836">
        <f t="shared" ca="1" si="184"/>
        <v>0</v>
      </c>
      <c r="AC836" t="e">
        <f t="shared" ca="1" si="185"/>
        <v>#VALUE!</v>
      </c>
      <c r="AD836" t="str">
        <f t="shared" ca="1" si="186"/>
        <v>0</v>
      </c>
      <c r="AE836" t="str">
        <f t="shared" ca="1" si="187"/>
        <v/>
      </c>
      <c r="AF836" s="6">
        <f t="shared" ca="1" si="188"/>
        <v>0</v>
      </c>
      <c r="AG836">
        <f t="shared" ca="1" si="183"/>
        <v>0</v>
      </c>
      <c r="AH836">
        <f t="shared" ref="AH836:AH899" ca="1" si="189">MAX(S836,Y836)</f>
        <v>0</v>
      </c>
      <c r="AI836">
        <f t="shared" ref="AI836:AI899" ca="1" si="190">MAX(R836,V836)</f>
        <v>0</v>
      </c>
      <c r="AJ836">
        <f t="shared" ref="AJ836:AJ899" ca="1" si="191">K836+N836</f>
        <v>0</v>
      </c>
      <c r="AK836">
        <f t="shared" ref="AK836:AK899" ca="1" si="192">L836+O836</f>
        <v>0</v>
      </c>
      <c r="AL836">
        <f t="shared" ref="AL836:AL899" ca="1" si="193">M836+P836</f>
        <v>0</v>
      </c>
    </row>
    <row r="837" spans="1:38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#N/A, OFFSET(data!$A$1, ROW()-1, AA$1-1))</f>
        <v>0</v>
      </c>
      <c r="AB837">
        <f t="shared" ca="1" si="184"/>
        <v>0</v>
      </c>
      <c r="AC837" t="e">
        <f t="shared" ca="1" si="185"/>
        <v>#VALUE!</v>
      </c>
      <c r="AD837" t="str">
        <f t="shared" ca="1" si="186"/>
        <v>0</v>
      </c>
      <c r="AE837" t="str">
        <f t="shared" ca="1" si="187"/>
        <v/>
      </c>
      <c r="AF837" s="6">
        <f t="shared" ca="1" si="188"/>
        <v>0</v>
      </c>
      <c r="AG837">
        <f t="shared" ca="1" si="183"/>
        <v>0</v>
      </c>
      <c r="AH837">
        <f t="shared" ca="1" si="189"/>
        <v>0</v>
      </c>
      <c r="AI837">
        <f t="shared" ca="1" si="190"/>
        <v>0</v>
      </c>
      <c r="AJ837">
        <f t="shared" ca="1" si="191"/>
        <v>0</v>
      </c>
      <c r="AK837">
        <f t="shared" ca="1" si="192"/>
        <v>0</v>
      </c>
      <c r="AL837">
        <f t="shared" ca="1" si="193"/>
        <v>0</v>
      </c>
    </row>
    <row r="838" spans="1:38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#N/A, OFFSET(data!$A$1, ROW()-1, AA$1-1))</f>
        <v>0</v>
      </c>
      <c r="AB838">
        <f t="shared" ca="1" si="184"/>
        <v>0</v>
      </c>
      <c r="AC838" t="e">
        <f t="shared" ca="1" si="185"/>
        <v>#VALUE!</v>
      </c>
      <c r="AD838" t="str">
        <f t="shared" ca="1" si="186"/>
        <v>0</v>
      </c>
      <c r="AE838" t="str">
        <f t="shared" ca="1" si="187"/>
        <v/>
      </c>
      <c r="AF838" s="6">
        <f t="shared" ca="1" si="188"/>
        <v>0</v>
      </c>
      <c r="AG838">
        <f t="shared" ca="1" si="183"/>
        <v>0</v>
      </c>
      <c r="AH838">
        <f t="shared" ca="1" si="189"/>
        <v>0</v>
      </c>
      <c r="AI838">
        <f t="shared" ca="1" si="190"/>
        <v>0</v>
      </c>
      <c r="AJ838">
        <f t="shared" ca="1" si="191"/>
        <v>0</v>
      </c>
      <c r="AK838">
        <f t="shared" ca="1" si="192"/>
        <v>0</v>
      </c>
      <c r="AL838">
        <f t="shared" ca="1" si="193"/>
        <v>0</v>
      </c>
    </row>
    <row r="839" spans="1:38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#N/A, OFFSET(data!$A$1, ROW()-1, AA$1-1))</f>
        <v>0</v>
      </c>
      <c r="AB839">
        <f t="shared" ca="1" si="184"/>
        <v>0</v>
      </c>
      <c r="AC839" t="e">
        <f t="shared" ca="1" si="185"/>
        <v>#VALUE!</v>
      </c>
      <c r="AD839" t="str">
        <f t="shared" ca="1" si="186"/>
        <v>0</v>
      </c>
      <c r="AE839" t="str">
        <f t="shared" ca="1" si="187"/>
        <v/>
      </c>
      <c r="AF839" s="6">
        <f t="shared" ca="1" si="188"/>
        <v>0</v>
      </c>
      <c r="AG839">
        <f t="shared" ca="1" si="183"/>
        <v>0</v>
      </c>
      <c r="AH839">
        <f t="shared" ca="1" si="189"/>
        <v>0</v>
      </c>
      <c r="AI839">
        <f t="shared" ca="1" si="190"/>
        <v>0</v>
      </c>
      <c r="AJ839">
        <f t="shared" ca="1" si="191"/>
        <v>0</v>
      </c>
      <c r="AK839">
        <f t="shared" ca="1" si="192"/>
        <v>0</v>
      </c>
      <c r="AL839">
        <f t="shared" ca="1" si="193"/>
        <v>0</v>
      </c>
    </row>
    <row r="840" spans="1:38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#N/A, OFFSET(data!$A$1, ROW()-1, AA$1-1))</f>
        <v>0</v>
      </c>
      <c r="AB840">
        <f t="shared" ca="1" si="184"/>
        <v>0</v>
      </c>
      <c r="AC840" t="e">
        <f t="shared" ca="1" si="185"/>
        <v>#VALUE!</v>
      </c>
      <c r="AD840" t="str">
        <f t="shared" ca="1" si="186"/>
        <v>0</v>
      </c>
      <c r="AE840" t="str">
        <f t="shared" ca="1" si="187"/>
        <v/>
      </c>
      <c r="AF840" s="6">
        <f t="shared" ca="1" si="188"/>
        <v>0</v>
      </c>
      <c r="AG840">
        <f t="shared" ca="1" si="183"/>
        <v>0</v>
      </c>
      <c r="AH840">
        <f t="shared" ca="1" si="189"/>
        <v>0</v>
      </c>
      <c r="AI840">
        <f t="shared" ca="1" si="190"/>
        <v>0</v>
      </c>
      <c r="AJ840">
        <f t="shared" ca="1" si="191"/>
        <v>0</v>
      </c>
      <c r="AK840">
        <f t="shared" ca="1" si="192"/>
        <v>0</v>
      </c>
      <c r="AL840">
        <f t="shared" ca="1" si="193"/>
        <v>0</v>
      </c>
    </row>
    <row r="841" spans="1:38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#N/A, OFFSET(data!$A$1, ROW()-1, AA$1-1))</f>
        <v>0</v>
      </c>
      <c r="AB841">
        <f t="shared" ca="1" si="184"/>
        <v>0</v>
      </c>
      <c r="AC841" t="e">
        <f t="shared" ca="1" si="185"/>
        <v>#VALUE!</v>
      </c>
      <c r="AD841" t="str">
        <f t="shared" ca="1" si="186"/>
        <v>0</v>
      </c>
      <c r="AE841" t="str">
        <f t="shared" ca="1" si="187"/>
        <v/>
      </c>
      <c r="AF841" s="6">
        <f t="shared" ca="1" si="188"/>
        <v>0</v>
      </c>
      <c r="AG841">
        <f t="shared" ca="1" si="183"/>
        <v>0</v>
      </c>
      <c r="AH841">
        <f t="shared" ca="1" si="189"/>
        <v>0</v>
      </c>
      <c r="AI841">
        <f t="shared" ca="1" si="190"/>
        <v>0</v>
      </c>
      <c r="AJ841">
        <f t="shared" ca="1" si="191"/>
        <v>0</v>
      </c>
      <c r="AK841">
        <f t="shared" ca="1" si="192"/>
        <v>0</v>
      </c>
      <c r="AL841">
        <f t="shared" ca="1" si="193"/>
        <v>0</v>
      </c>
    </row>
    <row r="842" spans="1:38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#N/A, OFFSET(data!$A$1, ROW()-1, AA$1-1))</f>
        <v>0</v>
      </c>
      <c r="AB842">
        <f t="shared" ca="1" si="184"/>
        <v>0</v>
      </c>
      <c r="AC842" t="e">
        <f t="shared" ca="1" si="185"/>
        <v>#VALUE!</v>
      </c>
      <c r="AD842" t="str">
        <f t="shared" ca="1" si="186"/>
        <v>0</v>
      </c>
      <c r="AE842" t="str">
        <f t="shared" ca="1" si="187"/>
        <v/>
      </c>
      <c r="AF842" s="6">
        <f t="shared" ca="1" si="188"/>
        <v>0</v>
      </c>
      <c r="AG842">
        <f t="shared" ca="1" si="183"/>
        <v>0</v>
      </c>
      <c r="AH842">
        <f t="shared" ca="1" si="189"/>
        <v>0</v>
      </c>
      <c r="AI842">
        <f t="shared" ca="1" si="190"/>
        <v>0</v>
      </c>
      <c r="AJ842">
        <f t="shared" ca="1" si="191"/>
        <v>0</v>
      </c>
      <c r="AK842">
        <f t="shared" ca="1" si="192"/>
        <v>0</v>
      </c>
      <c r="AL842">
        <f t="shared" ca="1" si="193"/>
        <v>0</v>
      </c>
    </row>
    <row r="843" spans="1:38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#N/A, OFFSET(data!$A$1, ROW()-1, AA$1-1))</f>
        <v>0</v>
      </c>
      <c r="AB843">
        <f t="shared" ca="1" si="184"/>
        <v>0</v>
      </c>
      <c r="AC843" t="e">
        <f t="shared" ca="1" si="185"/>
        <v>#VALUE!</v>
      </c>
      <c r="AD843" t="str">
        <f t="shared" ca="1" si="186"/>
        <v>0</v>
      </c>
      <c r="AE843" t="str">
        <f t="shared" ca="1" si="187"/>
        <v/>
      </c>
      <c r="AF843" s="6">
        <f t="shared" ca="1" si="188"/>
        <v>0</v>
      </c>
      <c r="AG843">
        <f t="shared" ca="1" si="183"/>
        <v>0</v>
      </c>
      <c r="AH843">
        <f t="shared" ca="1" si="189"/>
        <v>0</v>
      </c>
      <c r="AI843">
        <f t="shared" ca="1" si="190"/>
        <v>0</v>
      </c>
      <c r="AJ843">
        <f t="shared" ca="1" si="191"/>
        <v>0</v>
      </c>
      <c r="AK843">
        <f t="shared" ca="1" si="192"/>
        <v>0</v>
      </c>
      <c r="AL843">
        <f t="shared" ca="1" si="193"/>
        <v>0</v>
      </c>
    </row>
    <row r="844" spans="1:38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#N/A, OFFSET(data!$A$1, ROW()-1, AA$1-1))</f>
        <v>0</v>
      </c>
      <c r="AB844">
        <f t="shared" ca="1" si="184"/>
        <v>0</v>
      </c>
      <c r="AC844" t="e">
        <f t="shared" ca="1" si="185"/>
        <v>#VALUE!</v>
      </c>
      <c r="AD844" t="str">
        <f t="shared" ca="1" si="186"/>
        <v>0</v>
      </c>
      <c r="AE844" t="str">
        <f t="shared" ca="1" si="187"/>
        <v/>
      </c>
      <c r="AF844" s="6">
        <f t="shared" ca="1" si="188"/>
        <v>0</v>
      </c>
      <c r="AG844">
        <f t="shared" ca="1" si="183"/>
        <v>0</v>
      </c>
      <c r="AH844">
        <f t="shared" ca="1" si="189"/>
        <v>0</v>
      </c>
      <c r="AI844">
        <f t="shared" ca="1" si="190"/>
        <v>0</v>
      </c>
      <c r="AJ844">
        <f t="shared" ca="1" si="191"/>
        <v>0</v>
      </c>
      <c r="AK844">
        <f t="shared" ca="1" si="192"/>
        <v>0</v>
      </c>
      <c r="AL844">
        <f t="shared" ca="1" si="193"/>
        <v>0</v>
      </c>
    </row>
    <row r="845" spans="1:38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#N/A, OFFSET(data!$A$1, ROW()-1, AA$1-1))</f>
        <v>0</v>
      </c>
      <c r="AB845">
        <f t="shared" ca="1" si="184"/>
        <v>0</v>
      </c>
      <c r="AC845" t="e">
        <f t="shared" ca="1" si="185"/>
        <v>#VALUE!</v>
      </c>
      <c r="AD845" t="str">
        <f t="shared" ca="1" si="186"/>
        <v>0</v>
      </c>
      <c r="AE845" t="str">
        <f t="shared" ca="1" si="187"/>
        <v/>
      </c>
      <c r="AF845" s="6">
        <f t="shared" ca="1" si="188"/>
        <v>0</v>
      </c>
      <c r="AG845">
        <f t="shared" ca="1" si="183"/>
        <v>0</v>
      </c>
      <c r="AH845">
        <f t="shared" ca="1" si="189"/>
        <v>0</v>
      </c>
      <c r="AI845">
        <f t="shared" ca="1" si="190"/>
        <v>0</v>
      </c>
      <c r="AJ845">
        <f t="shared" ca="1" si="191"/>
        <v>0</v>
      </c>
      <c r="AK845">
        <f t="shared" ca="1" si="192"/>
        <v>0</v>
      </c>
      <c r="AL845">
        <f t="shared" ca="1" si="193"/>
        <v>0</v>
      </c>
    </row>
    <row r="846" spans="1:38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#N/A, OFFSET(data!$A$1, ROW()-1, AA$1-1))</f>
        <v>0</v>
      </c>
      <c r="AB846">
        <f t="shared" ca="1" si="184"/>
        <v>0</v>
      </c>
      <c r="AC846" t="e">
        <f t="shared" ca="1" si="185"/>
        <v>#VALUE!</v>
      </c>
      <c r="AD846" t="str">
        <f t="shared" ca="1" si="186"/>
        <v>0</v>
      </c>
      <c r="AE846" t="str">
        <f t="shared" ca="1" si="187"/>
        <v/>
      </c>
      <c r="AF846" s="6">
        <f t="shared" ca="1" si="188"/>
        <v>0</v>
      </c>
      <c r="AG846">
        <f t="shared" ca="1" si="183"/>
        <v>0</v>
      </c>
      <c r="AH846">
        <f t="shared" ca="1" si="189"/>
        <v>0</v>
      </c>
      <c r="AI846">
        <f t="shared" ca="1" si="190"/>
        <v>0</v>
      </c>
      <c r="AJ846">
        <f t="shared" ca="1" si="191"/>
        <v>0</v>
      </c>
      <c r="AK846">
        <f t="shared" ca="1" si="192"/>
        <v>0</v>
      </c>
      <c r="AL846">
        <f t="shared" ca="1" si="193"/>
        <v>0</v>
      </c>
    </row>
    <row r="847" spans="1:38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#N/A, OFFSET(data!$A$1, ROW()-1, AA$1-1))</f>
        <v>0</v>
      </c>
      <c r="AB847">
        <f t="shared" ca="1" si="184"/>
        <v>0</v>
      </c>
      <c r="AC847" t="e">
        <f t="shared" ca="1" si="185"/>
        <v>#VALUE!</v>
      </c>
      <c r="AD847" t="str">
        <f t="shared" ca="1" si="186"/>
        <v>0</v>
      </c>
      <c r="AE847" t="str">
        <f t="shared" ca="1" si="187"/>
        <v/>
      </c>
      <c r="AF847" s="6">
        <f t="shared" ca="1" si="188"/>
        <v>0</v>
      </c>
      <c r="AG847">
        <f t="shared" ca="1" si="183"/>
        <v>0</v>
      </c>
      <c r="AH847">
        <f t="shared" ca="1" si="189"/>
        <v>0</v>
      </c>
      <c r="AI847">
        <f t="shared" ca="1" si="190"/>
        <v>0</v>
      </c>
      <c r="AJ847">
        <f t="shared" ca="1" si="191"/>
        <v>0</v>
      </c>
      <c r="AK847">
        <f t="shared" ca="1" si="192"/>
        <v>0</v>
      </c>
      <c r="AL847">
        <f t="shared" ca="1" si="193"/>
        <v>0</v>
      </c>
    </row>
    <row r="848" spans="1:38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#N/A, OFFSET(data!$A$1, ROW()-1, AA$1-1))</f>
        <v>0</v>
      </c>
      <c r="AB848">
        <f t="shared" ca="1" si="184"/>
        <v>0</v>
      </c>
      <c r="AC848" t="e">
        <f t="shared" ca="1" si="185"/>
        <v>#VALUE!</v>
      </c>
      <c r="AD848" t="str">
        <f t="shared" ca="1" si="186"/>
        <v>0</v>
      </c>
      <c r="AE848" t="str">
        <f t="shared" ca="1" si="187"/>
        <v/>
      </c>
      <c r="AF848" s="6">
        <f t="shared" ca="1" si="188"/>
        <v>0</v>
      </c>
      <c r="AG848">
        <f t="shared" ca="1" si="183"/>
        <v>0</v>
      </c>
      <c r="AH848">
        <f t="shared" ca="1" si="189"/>
        <v>0</v>
      </c>
      <c r="AI848">
        <f t="shared" ca="1" si="190"/>
        <v>0</v>
      </c>
      <c r="AJ848">
        <f t="shared" ca="1" si="191"/>
        <v>0</v>
      </c>
      <c r="AK848">
        <f t="shared" ca="1" si="192"/>
        <v>0</v>
      </c>
      <c r="AL848">
        <f t="shared" ca="1" si="193"/>
        <v>0</v>
      </c>
    </row>
    <row r="849" spans="1:38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#N/A, OFFSET(data!$A$1, ROW()-1, AA$1-1))</f>
        <v>0</v>
      </c>
      <c r="AB849">
        <f t="shared" ca="1" si="184"/>
        <v>0</v>
      </c>
      <c r="AC849" t="e">
        <f t="shared" ca="1" si="185"/>
        <v>#VALUE!</v>
      </c>
      <c r="AD849" t="str">
        <f t="shared" ca="1" si="186"/>
        <v>0</v>
      </c>
      <c r="AE849" t="str">
        <f t="shared" ca="1" si="187"/>
        <v/>
      </c>
      <c r="AF849" s="6">
        <f t="shared" ca="1" si="188"/>
        <v>0</v>
      </c>
      <c r="AG849">
        <f t="shared" ca="1" si="183"/>
        <v>0</v>
      </c>
      <c r="AH849">
        <f t="shared" ca="1" si="189"/>
        <v>0</v>
      </c>
      <c r="AI849">
        <f t="shared" ca="1" si="190"/>
        <v>0</v>
      </c>
      <c r="AJ849">
        <f t="shared" ca="1" si="191"/>
        <v>0</v>
      </c>
      <c r="AK849">
        <f t="shared" ca="1" si="192"/>
        <v>0</v>
      </c>
      <c r="AL849">
        <f t="shared" ca="1" si="193"/>
        <v>0</v>
      </c>
    </row>
    <row r="850" spans="1:38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#N/A, OFFSET(data!$A$1, ROW()-1, AA$1-1))</f>
        <v>0</v>
      </c>
      <c r="AB850">
        <f t="shared" ca="1" si="184"/>
        <v>0</v>
      </c>
      <c r="AC850" t="e">
        <f t="shared" ca="1" si="185"/>
        <v>#VALUE!</v>
      </c>
      <c r="AD850" t="str">
        <f t="shared" ca="1" si="186"/>
        <v>0</v>
      </c>
      <c r="AE850" t="str">
        <f t="shared" ca="1" si="187"/>
        <v/>
      </c>
      <c r="AF850" s="6">
        <f t="shared" ca="1" si="188"/>
        <v>0</v>
      </c>
      <c r="AG850">
        <f t="shared" ca="1" si="183"/>
        <v>0</v>
      </c>
      <c r="AH850">
        <f t="shared" ca="1" si="189"/>
        <v>0</v>
      </c>
      <c r="AI850">
        <f t="shared" ca="1" si="190"/>
        <v>0</v>
      </c>
      <c r="AJ850">
        <f t="shared" ca="1" si="191"/>
        <v>0</v>
      </c>
      <c r="AK850">
        <f t="shared" ca="1" si="192"/>
        <v>0</v>
      </c>
      <c r="AL850">
        <f t="shared" ca="1" si="193"/>
        <v>0</v>
      </c>
    </row>
    <row r="851" spans="1:38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#N/A, OFFSET(data!$A$1, ROW()-1, AA$1-1))</f>
        <v>0</v>
      </c>
      <c r="AB851">
        <f t="shared" ca="1" si="184"/>
        <v>0</v>
      </c>
      <c r="AC851" t="e">
        <f t="shared" ca="1" si="185"/>
        <v>#VALUE!</v>
      </c>
      <c r="AD851" t="str">
        <f t="shared" ca="1" si="186"/>
        <v>0</v>
      </c>
      <c r="AE851" t="str">
        <f t="shared" ca="1" si="187"/>
        <v/>
      </c>
      <c r="AF851" s="6">
        <f t="shared" ca="1" si="188"/>
        <v>0</v>
      </c>
      <c r="AG851">
        <f t="shared" ca="1" si="183"/>
        <v>0</v>
      </c>
      <c r="AH851">
        <f t="shared" ca="1" si="189"/>
        <v>0</v>
      </c>
      <c r="AI851">
        <f t="shared" ca="1" si="190"/>
        <v>0</v>
      </c>
      <c r="AJ851">
        <f t="shared" ca="1" si="191"/>
        <v>0</v>
      </c>
      <c r="AK851">
        <f t="shared" ca="1" si="192"/>
        <v>0</v>
      </c>
      <c r="AL851">
        <f t="shared" ca="1" si="193"/>
        <v>0</v>
      </c>
    </row>
    <row r="852" spans="1:38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#N/A, OFFSET(data!$A$1, ROW()-1, AA$1-1))</f>
        <v>0</v>
      </c>
      <c r="AB852">
        <f t="shared" ca="1" si="184"/>
        <v>0</v>
      </c>
      <c r="AC852" t="e">
        <f t="shared" ca="1" si="185"/>
        <v>#VALUE!</v>
      </c>
      <c r="AD852" t="str">
        <f t="shared" ca="1" si="186"/>
        <v>0</v>
      </c>
      <c r="AE852" t="str">
        <f t="shared" ca="1" si="187"/>
        <v/>
      </c>
      <c r="AF852" s="6">
        <f t="shared" ca="1" si="188"/>
        <v>0</v>
      </c>
      <c r="AG852">
        <f t="shared" ca="1" si="183"/>
        <v>0</v>
      </c>
      <c r="AH852">
        <f t="shared" ca="1" si="189"/>
        <v>0</v>
      </c>
      <c r="AI852">
        <f t="shared" ca="1" si="190"/>
        <v>0</v>
      </c>
      <c r="AJ852">
        <f t="shared" ca="1" si="191"/>
        <v>0</v>
      </c>
      <c r="AK852">
        <f t="shared" ca="1" si="192"/>
        <v>0</v>
      </c>
      <c r="AL852">
        <f t="shared" ca="1" si="193"/>
        <v>0</v>
      </c>
    </row>
    <row r="853" spans="1:38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#N/A, OFFSET(data!$A$1, ROW()-1, AA$1-1))</f>
        <v>0</v>
      </c>
      <c r="AB853">
        <f t="shared" ca="1" si="184"/>
        <v>0</v>
      </c>
      <c r="AC853" t="e">
        <f t="shared" ca="1" si="185"/>
        <v>#VALUE!</v>
      </c>
      <c r="AD853" t="str">
        <f t="shared" ca="1" si="186"/>
        <v>0</v>
      </c>
      <c r="AE853" t="str">
        <f t="shared" ca="1" si="187"/>
        <v/>
      </c>
      <c r="AF853" s="6">
        <f t="shared" ca="1" si="188"/>
        <v>0</v>
      </c>
      <c r="AG853">
        <f t="shared" ca="1" si="183"/>
        <v>0</v>
      </c>
      <c r="AH853">
        <f t="shared" ca="1" si="189"/>
        <v>0</v>
      </c>
      <c r="AI853">
        <f t="shared" ca="1" si="190"/>
        <v>0</v>
      </c>
      <c r="AJ853">
        <f t="shared" ca="1" si="191"/>
        <v>0</v>
      </c>
      <c r="AK853">
        <f t="shared" ca="1" si="192"/>
        <v>0</v>
      </c>
      <c r="AL853">
        <f t="shared" ca="1" si="193"/>
        <v>0</v>
      </c>
    </row>
    <row r="854" spans="1:38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#N/A, OFFSET(data!$A$1, ROW()-1, AA$1-1))</f>
        <v>0</v>
      </c>
      <c r="AB854">
        <f t="shared" ca="1" si="184"/>
        <v>0</v>
      </c>
      <c r="AC854" t="e">
        <f t="shared" ca="1" si="185"/>
        <v>#VALUE!</v>
      </c>
      <c r="AD854" t="str">
        <f t="shared" ca="1" si="186"/>
        <v>0</v>
      </c>
      <c r="AE854" t="str">
        <f t="shared" ca="1" si="187"/>
        <v/>
      </c>
      <c r="AF854" s="6">
        <f t="shared" ca="1" si="188"/>
        <v>0</v>
      </c>
      <c r="AG854">
        <f t="shared" ca="1" si="183"/>
        <v>0</v>
      </c>
      <c r="AH854">
        <f t="shared" ca="1" si="189"/>
        <v>0</v>
      </c>
      <c r="AI854">
        <f t="shared" ca="1" si="190"/>
        <v>0</v>
      </c>
      <c r="AJ854">
        <f t="shared" ca="1" si="191"/>
        <v>0</v>
      </c>
      <c r="AK854">
        <f t="shared" ca="1" si="192"/>
        <v>0</v>
      </c>
      <c r="AL854">
        <f t="shared" ca="1" si="193"/>
        <v>0</v>
      </c>
    </row>
    <row r="855" spans="1:38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#N/A, OFFSET(data!$A$1, ROW()-1, AA$1-1))</f>
        <v>0</v>
      </c>
      <c r="AB855">
        <f t="shared" ca="1" si="184"/>
        <v>0</v>
      </c>
      <c r="AC855" t="e">
        <f t="shared" ca="1" si="185"/>
        <v>#VALUE!</v>
      </c>
      <c r="AD855" t="str">
        <f t="shared" ca="1" si="186"/>
        <v>0</v>
      </c>
      <c r="AE855" t="str">
        <f t="shared" ca="1" si="187"/>
        <v/>
      </c>
      <c r="AF855" s="6">
        <f t="shared" ca="1" si="188"/>
        <v>0</v>
      </c>
      <c r="AG855">
        <f t="shared" ca="1" si="183"/>
        <v>0</v>
      </c>
      <c r="AH855">
        <f t="shared" ca="1" si="189"/>
        <v>0</v>
      </c>
      <c r="AI855">
        <f t="shared" ca="1" si="190"/>
        <v>0</v>
      </c>
      <c r="AJ855">
        <f t="shared" ca="1" si="191"/>
        <v>0</v>
      </c>
      <c r="AK855">
        <f t="shared" ca="1" si="192"/>
        <v>0</v>
      </c>
      <c r="AL855">
        <f t="shared" ca="1" si="193"/>
        <v>0</v>
      </c>
    </row>
    <row r="856" spans="1:38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#N/A, OFFSET(data!$A$1, ROW()-1, AA$1-1))</f>
        <v>0</v>
      </c>
      <c r="AB856">
        <f t="shared" ca="1" si="184"/>
        <v>0</v>
      </c>
      <c r="AC856" t="e">
        <f t="shared" ca="1" si="185"/>
        <v>#VALUE!</v>
      </c>
      <c r="AD856" t="str">
        <f t="shared" ca="1" si="186"/>
        <v>0</v>
      </c>
      <c r="AE856" t="str">
        <f t="shared" ca="1" si="187"/>
        <v/>
      </c>
      <c r="AF856" s="6">
        <f t="shared" ca="1" si="188"/>
        <v>0</v>
      </c>
      <c r="AG856">
        <f t="shared" ca="1" si="183"/>
        <v>0</v>
      </c>
      <c r="AH856">
        <f t="shared" ca="1" si="189"/>
        <v>0</v>
      </c>
      <c r="AI856">
        <f t="shared" ca="1" si="190"/>
        <v>0</v>
      </c>
      <c r="AJ856">
        <f t="shared" ca="1" si="191"/>
        <v>0</v>
      </c>
      <c r="AK856">
        <f t="shared" ca="1" si="192"/>
        <v>0</v>
      </c>
      <c r="AL856">
        <f t="shared" ca="1" si="193"/>
        <v>0</v>
      </c>
    </row>
    <row r="857" spans="1:38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#N/A, OFFSET(data!$A$1, ROW()-1, AA$1-1))</f>
        <v>0</v>
      </c>
      <c r="AB857">
        <f t="shared" ca="1" si="184"/>
        <v>0</v>
      </c>
      <c r="AC857" t="e">
        <f t="shared" ca="1" si="185"/>
        <v>#VALUE!</v>
      </c>
      <c r="AD857" t="str">
        <f t="shared" ca="1" si="186"/>
        <v>0</v>
      </c>
      <c r="AE857" t="str">
        <f t="shared" ca="1" si="187"/>
        <v/>
      </c>
      <c r="AF857" s="6">
        <f t="shared" ca="1" si="188"/>
        <v>0</v>
      </c>
      <c r="AG857">
        <f t="shared" ca="1" si="183"/>
        <v>0</v>
      </c>
      <c r="AH857">
        <f t="shared" ca="1" si="189"/>
        <v>0</v>
      </c>
      <c r="AI857">
        <f t="shared" ca="1" si="190"/>
        <v>0</v>
      </c>
      <c r="AJ857">
        <f t="shared" ca="1" si="191"/>
        <v>0</v>
      </c>
      <c r="AK857">
        <f t="shared" ca="1" si="192"/>
        <v>0</v>
      </c>
      <c r="AL857">
        <f t="shared" ca="1" si="193"/>
        <v>0</v>
      </c>
    </row>
    <row r="858" spans="1:38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#N/A, OFFSET(data!$A$1, ROW()-1, AA$1-1))</f>
        <v>0</v>
      </c>
      <c r="AB858">
        <f t="shared" ca="1" si="184"/>
        <v>0</v>
      </c>
      <c r="AC858" t="e">
        <f t="shared" ca="1" si="185"/>
        <v>#VALUE!</v>
      </c>
      <c r="AD858" t="str">
        <f t="shared" ca="1" si="186"/>
        <v>0</v>
      </c>
      <c r="AE858" t="str">
        <f t="shared" ca="1" si="187"/>
        <v/>
      </c>
      <c r="AF858" s="6">
        <f t="shared" ca="1" si="188"/>
        <v>0</v>
      </c>
      <c r="AG858">
        <f t="shared" ca="1" si="183"/>
        <v>0</v>
      </c>
      <c r="AH858">
        <f t="shared" ca="1" si="189"/>
        <v>0</v>
      </c>
      <c r="AI858">
        <f t="shared" ca="1" si="190"/>
        <v>0</v>
      </c>
      <c r="AJ858">
        <f t="shared" ca="1" si="191"/>
        <v>0</v>
      </c>
      <c r="AK858">
        <f t="shared" ca="1" si="192"/>
        <v>0</v>
      </c>
      <c r="AL858">
        <f t="shared" ca="1" si="193"/>
        <v>0</v>
      </c>
    </row>
    <row r="859" spans="1:38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#N/A, OFFSET(data!$A$1, ROW()-1, AA$1-1))</f>
        <v>0</v>
      </c>
      <c r="AB859">
        <f t="shared" ca="1" si="184"/>
        <v>0</v>
      </c>
      <c r="AC859" t="e">
        <f t="shared" ca="1" si="185"/>
        <v>#VALUE!</v>
      </c>
      <c r="AD859" t="str">
        <f t="shared" ca="1" si="186"/>
        <v>0</v>
      </c>
      <c r="AE859" t="str">
        <f t="shared" ca="1" si="187"/>
        <v/>
      </c>
      <c r="AF859" s="6">
        <f t="shared" ca="1" si="188"/>
        <v>0</v>
      </c>
      <c r="AG859">
        <f t="shared" ca="1" si="183"/>
        <v>0</v>
      </c>
      <c r="AH859">
        <f t="shared" ca="1" si="189"/>
        <v>0</v>
      </c>
      <c r="AI859">
        <f t="shared" ca="1" si="190"/>
        <v>0</v>
      </c>
      <c r="AJ859">
        <f t="shared" ca="1" si="191"/>
        <v>0</v>
      </c>
      <c r="AK859">
        <f t="shared" ca="1" si="192"/>
        <v>0</v>
      </c>
      <c r="AL859">
        <f t="shared" ca="1" si="193"/>
        <v>0</v>
      </c>
    </row>
    <row r="860" spans="1:38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#N/A, OFFSET(data!$A$1, ROW()-1, AA$1-1))</f>
        <v>0</v>
      </c>
      <c r="AB860">
        <f t="shared" ca="1" si="184"/>
        <v>0</v>
      </c>
      <c r="AC860" t="e">
        <f t="shared" ca="1" si="185"/>
        <v>#VALUE!</v>
      </c>
      <c r="AD860" t="str">
        <f t="shared" ca="1" si="186"/>
        <v>0</v>
      </c>
      <c r="AE860" t="str">
        <f t="shared" ca="1" si="187"/>
        <v/>
      </c>
      <c r="AF860" s="6">
        <f t="shared" ca="1" si="188"/>
        <v>0</v>
      </c>
      <c r="AG860">
        <f t="shared" ca="1" si="183"/>
        <v>0</v>
      </c>
      <c r="AH860">
        <f t="shared" ca="1" si="189"/>
        <v>0</v>
      </c>
      <c r="AI860">
        <f t="shared" ca="1" si="190"/>
        <v>0</v>
      </c>
      <c r="AJ860">
        <f t="shared" ca="1" si="191"/>
        <v>0</v>
      </c>
      <c r="AK860">
        <f t="shared" ca="1" si="192"/>
        <v>0</v>
      </c>
      <c r="AL860">
        <f t="shared" ca="1" si="193"/>
        <v>0</v>
      </c>
    </row>
    <row r="861" spans="1:38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#N/A, OFFSET(data!$A$1, ROW()-1, AA$1-1))</f>
        <v>0</v>
      </c>
      <c r="AB861">
        <f t="shared" ca="1" si="184"/>
        <v>0</v>
      </c>
      <c r="AC861" t="e">
        <f t="shared" ca="1" si="185"/>
        <v>#VALUE!</v>
      </c>
      <c r="AD861" t="str">
        <f t="shared" ca="1" si="186"/>
        <v>0</v>
      </c>
      <c r="AE861" t="str">
        <f t="shared" ca="1" si="187"/>
        <v/>
      </c>
      <c r="AF861" s="6">
        <f t="shared" ca="1" si="188"/>
        <v>0</v>
      </c>
      <c r="AG861">
        <f t="shared" ca="1" si="183"/>
        <v>0</v>
      </c>
      <c r="AH861">
        <f t="shared" ca="1" si="189"/>
        <v>0</v>
      </c>
      <c r="AI861">
        <f t="shared" ca="1" si="190"/>
        <v>0</v>
      </c>
      <c r="AJ861">
        <f t="shared" ca="1" si="191"/>
        <v>0</v>
      </c>
      <c r="AK861">
        <f t="shared" ca="1" si="192"/>
        <v>0</v>
      </c>
      <c r="AL861">
        <f t="shared" ca="1" si="193"/>
        <v>0</v>
      </c>
    </row>
    <row r="862" spans="1:38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#N/A, OFFSET(data!$A$1, ROW()-1, AA$1-1))</f>
        <v>0</v>
      </c>
      <c r="AB862">
        <f t="shared" ca="1" si="184"/>
        <v>0</v>
      </c>
      <c r="AC862" t="e">
        <f t="shared" ca="1" si="185"/>
        <v>#VALUE!</v>
      </c>
      <c r="AD862" t="str">
        <f t="shared" ca="1" si="186"/>
        <v>0</v>
      </c>
      <c r="AE862" t="str">
        <f t="shared" ca="1" si="187"/>
        <v/>
      </c>
      <c r="AF862" s="6">
        <f t="shared" ca="1" si="188"/>
        <v>0</v>
      </c>
      <c r="AG862">
        <f t="shared" ca="1" si="183"/>
        <v>0</v>
      </c>
      <c r="AH862">
        <f t="shared" ca="1" si="189"/>
        <v>0</v>
      </c>
      <c r="AI862">
        <f t="shared" ca="1" si="190"/>
        <v>0</v>
      </c>
      <c r="AJ862">
        <f t="shared" ca="1" si="191"/>
        <v>0</v>
      </c>
      <c r="AK862">
        <f t="shared" ca="1" si="192"/>
        <v>0</v>
      </c>
      <c r="AL862">
        <f t="shared" ca="1" si="193"/>
        <v>0</v>
      </c>
    </row>
    <row r="863" spans="1:38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#N/A, OFFSET(data!$A$1, ROW()-1, AA$1-1))</f>
        <v>0</v>
      </c>
      <c r="AB863">
        <f t="shared" ca="1" si="184"/>
        <v>0</v>
      </c>
      <c r="AC863" t="e">
        <f t="shared" ca="1" si="185"/>
        <v>#VALUE!</v>
      </c>
      <c r="AD863" t="str">
        <f t="shared" ca="1" si="186"/>
        <v>0</v>
      </c>
      <c r="AE863" t="str">
        <f t="shared" ca="1" si="187"/>
        <v/>
      </c>
      <c r="AF863" s="6">
        <f t="shared" ca="1" si="188"/>
        <v>0</v>
      </c>
      <c r="AG863">
        <f t="shared" ca="1" si="183"/>
        <v>0</v>
      </c>
      <c r="AH863">
        <f t="shared" ca="1" si="189"/>
        <v>0</v>
      </c>
      <c r="AI863">
        <f t="shared" ca="1" si="190"/>
        <v>0</v>
      </c>
      <c r="AJ863">
        <f t="shared" ca="1" si="191"/>
        <v>0</v>
      </c>
      <c r="AK863">
        <f t="shared" ca="1" si="192"/>
        <v>0</v>
      </c>
      <c r="AL863">
        <f t="shared" ca="1" si="193"/>
        <v>0</v>
      </c>
    </row>
    <row r="864" spans="1:38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#N/A, OFFSET(data!$A$1, ROW()-1, AA$1-1))</f>
        <v>0</v>
      </c>
      <c r="AB864">
        <f t="shared" ca="1" si="184"/>
        <v>0</v>
      </c>
      <c r="AC864" t="e">
        <f t="shared" ca="1" si="185"/>
        <v>#VALUE!</v>
      </c>
      <c r="AD864" t="str">
        <f t="shared" ca="1" si="186"/>
        <v>0</v>
      </c>
      <c r="AE864" t="str">
        <f t="shared" ca="1" si="187"/>
        <v/>
      </c>
      <c r="AF864" s="6">
        <f t="shared" ca="1" si="188"/>
        <v>0</v>
      </c>
      <c r="AG864">
        <f t="shared" ca="1" si="183"/>
        <v>0</v>
      </c>
      <c r="AH864">
        <f t="shared" ca="1" si="189"/>
        <v>0</v>
      </c>
      <c r="AI864">
        <f t="shared" ca="1" si="190"/>
        <v>0</v>
      </c>
      <c r="AJ864">
        <f t="shared" ca="1" si="191"/>
        <v>0</v>
      </c>
      <c r="AK864">
        <f t="shared" ca="1" si="192"/>
        <v>0</v>
      </c>
      <c r="AL864">
        <f t="shared" ca="1" si="193"/>
        <v>0</v>
      </c>
    </row>
    <row r="865" spans="1:38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#N/A, OFFSET(data!$A$1, ROW()-1, AA$1-1))</f>
        <v>0</v>
      </c>
      <c r="AB865">
        <f t="shared" ca="1" si="184"/>
        <v>0</v>
      </c>
      <c r="AC865" t="e">
        <f t="shared" ca="1" si="185"/>
        <v>#VALUE!</v>
      </c>
      <c r="AD865" t="str">
        <f t="shared" ca="1" si="186"/>
        <v>0</v>
      </c>
      <c r="AE865" t="str">
        <f t="shared" ca="1" si="187"/>
        <v/>
      </c>
      <c r="AF865" s="6">
        <f t="shared" ca="1" si="188"/>
        <v>0</v>
      </c>
      <c r="AG865">
        <f t="shared" ca="1" si="183"/>
        <v>0</v>
      </c>
      <c r="AH865">
        <f t="shared" ca="1" si="189"/>
        <v>0</v>
      </c>
      <c r="AI865">
        <f t="shared" ca="1" si="190"/>
        <v>0</v>
      </c>
      <c r="AJ865">
        <f t="shared" ca="1" si="191"/>
        <v>0</v>
      </c>
      <c r="AK865">
        <f t="shared" ca="1" si="192"/>
        <v>0</v>
      </c>
      <c r="AL865">
        <f t="shared" ca="1" si="193"/>
        <v>0</v>
      </c>
    </row>
    <row r="866" spans="1:38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#N/A, OFFSET(data!$A$1, ROW()-1, AA$1-1))</f>
        <v>0</v>
      </c>
      <c r="AB866">
        <f t="shared" ca="1" si="184"/>
        <v>0</v>
      </c>
      <c r="AC866" t="e">
        <f t="shared" ca="1" si="185"/>
        <v>#VALUE!</v>
      </c>
      <c r="AD866" t="str">
        <f t="shared" ca="1" si="186"/>
        <v>0</v>
      </c>
      <c r="AE866" t="str">
        <f t="shared" ca="1" si="187"/>
        <v/>
      </c>
      <c r="AF866" s="6">
        <f t="shared" ca="1" si="188"/>
        <v>0</v>
      </c>
      <c r="AG866">
        <f t="shared" ca="1" si="183"/>
        <v>0</v>
      </c>
      <c r="AH866">
        <f t="shared" ca="1" si="189"/>
        <v>0</v>
      </c>
      <c r="AI866">
        <f t="shared" ca="1" si="190"/>
        <v>0</v>
      </c>
      <c r="AJ866">
        <f t="shared" ca="1" si="191"/>
        <v>0</v>
      </c>
      <c r="AK866">
        <f t="shared" ca="1" si="192"/>
        <v>0</v>
      </c>
      <c r="AL866">
        <f t="shared" ca="1" si="193"/>
        <v>0</v>
      </c>
    </row>
    <row r="867" spans="1:38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#N/A, OFFSET(data!$A$1, ROW()-1, AA$1-1))</f>
        <v>0</v>
      </c>
      <c r="AB867">
        <f t="shared" ca="1" si="184"/>
        <v>0</v>
      </c>
      <c r="AC867" t="e">
        <f t="shared" ca="1" si="185"/>
        <v>#VALUE!</v>
      </c>
      <c r="AD867" t="str">
        <f t="shared" ca="1" si="186"/>
        <v>0</v>
      </c>
      <c r="AE867" t="str">
        <f t="shared" ca="1" si="187"/>
        <v/>
      </c>
      <c r="AF867" s="6">
        <f t="shared" ca="1" si="188"/>
        <v>0</v>
      </c>
      <c r="AG867">
        <f t="shared" ca="1" si="183"/>
        <v>0</v>
      </c>
      <c r="AH867">
        <f t="shared" ca="1" si="189"/>
        <v>0</v>
      </c>
      <c r="AI867">
        <f t="shared" ca="1" si="190"/>
        <v>0</v>
      </c>
      <c r="AJ867">
        <f t="shared" ca="1" si="191"/>
        <v>0</v>
      </c>
      <c r="AK867">
        <f t="shared" ca="1" si="192"/>
        <v>0</v>
      </c>
      <c r="AL867">
        <f t="shared" ca="1" si="193"/>
        <v>0</v>
      </c>
    </row>
    <row r="868" spans="1:38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#N/A, OFFSET(data!$A$1, ROW()-1, AA$1-1))</f>
        <v>0</v>
      </c>
      <c r="AB868">
        <f t="shared" ca="1" si="184"/>
        <v>0</v>
      </c>
      <c r="AC868" t="e">
        <f t="shared" ca="1" si="185"/>
        <v>#VALUE!</v>
      </c>
      <c r="AD868" t="str">
        <f t="shared" ca="1" si="186"/>
        <v>0</v>
      </c>
      <c r="AE868" t="str">
        <f t="shared" ca="1" si="187"/>
        <v/>
      </c>
      <c r="AF868" s="6">
        <f t="shared" ca="1" si="188"/>
        <v>0</v>
      </c>
      <c r="AG868">
        <f t="shared" ca="1" si="183"/>
        <v>0</v>
      </c>
      <c r="AH868">
        <f t="shared" ca="1" si="189"/>
        <v>0</v>
      </c>
      <c r="AI868">
        <f t="shared" ca="1" si="190"/>
        <v>0</v>
      </c>
      <c r="AJ868">
        <f t="shared" ca="1" si="191"/>
        <v>0</v>
      </c>
      <c r="AK868">
        <f t="shared" ca="1" si="192"/>
        <v>0</v>
      </c>
      <c r="AL868">
        <f t="shared" ca="1" si="193"/>
        <v>0</v>
      </c>
    </row>
    <row r="869" spans="1:38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#N/A, OFFSET(data!$A$1, ROW()-1, AA$1-1))</f>
        <v>0</v>
      </c>
      <c r="AB869">
        <f t="shared" ca="1" si="184"/>
        <v>0</v>
      </c>
      <c r="AC869" t="e">
        <f t="shared" ca="1" si="185"/>
        <v>#VALUE!</v>
      </c>
      <c r="AD869" t="str">
        <f t="shared" ca="1" si="186"/>
        <v>0</v>
      </c>
      <c r="AE869" t="str">
        <f t="shared" ca="1" si="187"/>
        <v/>
      </c>
      <c r="AF869" s="6">
        <f t="shared" ca="1" si="188"/>
        <v>0</v>
      </c>
      <c r="AG869">
        <f t="shared" ca="1" si="183"/>
        <v>0</v>
      </c>
      <c r="AH869">
        <f t="shared" ca="1" si="189"/>
        <v>0</v>
      </c>
      <c r="AI869">
        <f t="shared" ca="1" si="190"/>
        <v>0</v>
      </c>
      <c r="AJ869">
        <f t="shared" ca="1" si="191"/>
        <v>0</v>
      </c>
      <c r="AK869">
        <f t="shared" ca="1" si="192"/>
        <v>0</v>
      </c>
      <c r="AL869">
        <f t="shared" ca="1" si="193"/>
        <v>0</v>
      </c>
    </row>
    <row r="870" spans="1:38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#N/A, OFFSET(data!$A$1, ROW()-1, AA$1-1))</f>
        <v>0</v>
      </c>
      <c r="AB870">
        <f t="shared" ca="1" si="184"/>
        <v>0</v>
      </c>
      <c r="AC870" t="e">
        <f t="shared" ca="1" si="185"/>
        <v>#VALUE!</v>
      </c>
      <c r="AD870" t="str">
        <f t="shared" ca="1" si="186"/>
        <v>0</v>
      </c>
      <c r="AE870" t="str">
        <f t="shared" ca="1" si="187"/>
        <v/>
      </c>
      <c r="AF870" s="6">
        <f t="shared" ca="1" si="188"/>
        <v>0</v>
      </c>
      <c r="AG870">
        <f t="shared" ca="1" si="183"/>
        <v>0</v>
      </c>
      <c r="AH870">
        <f t="shared" ca="1" si="189"/>
        <v>0</v>
      </c>
      <c r="AI870">
        <f t="shared" ca="1" si="190"/>
        <v>0</v>
      </c>
      <c r="AJ870">
        <f t="shared" ca="1" si="191"/>
        <v>0</v>
      </c>
      <c r="AK870">
        <f t="shared" ca="1" si="192"/>
        <v>0</v>
      </c>
      <c r="AL870">
        <f t="shared" ca="1" si="193"/>
        <v>0</v>
      </c>
    </row>
    <row r="871" spans="1:38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#N/A, OFFSET(data!$A$1, ROW()-1, AA$1-1))</f>
        <v>0</v>
      </c>
      <c r="AB871">
        <f t="shared" ca="1" si="184"/>
        <v>0</v>
      </c>
      <c r="AC871" t="e">
        <f t="shared" ca="1" si="185"/>
        <v>#VALUE!</v>
      </c>
      <c r="AD871" t="str">
        <f t="shared" ca="1" si="186"/>
        <v>0</v>
      </c>
      <c r="AE871" t="str">
        <f t="shared" ca="1" si="187"/>
        <v/>
      </c>
      <c r="AF871" s="6">
        <f t="shared" ca="1" si="188"/>
        <v>0</v>
      </c>
      <c r="AG871">
        <f t="shared" ca="1" si="183"/>
        <v>0</v>
      </c>
      <c r="AH871">
        <f t="shared" ca="1" si="189"/>
        <v>0</v>
      </c>
      <c r="AI871">
        <f t="shared" ca="1" si="190"/>
        <v>0</v>
      </c>
      <c r="AJ871">
        <f t="shared" ca="1" si="191"/>
        <v>0</v>
      </c>
      <c r="AK871">
        <f t="shared" ca="1" si="192"/>
        <v>0</v>
      </c>
      <c r="AL871">
        <f t="shared" ca="1" si="193"/>
        <v>0</v>
      </c>
    </row>
    <row r="872" spans="1:38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#N/A, OFFSET(data!$A$1, ROW()-1, AA$1-1))</f>
        <v>0</v>
      </c>
      <c r="AB872">
        <f t="shared" ca="1" si="184"/>
        <v>0</v>
      </c>
      <c r="AC872" t="e">
        <f t="shared" ca="1" si="185"/>
        <v>#VALUE!</v>
      </c>
      <c r="AD872" t="str">
        <f t="shared" ca="1" si="186"/>
        <v>0</v>
      </c>
      <c r="AE872" t="str">
        <f t="shared" ca="1" si="187"/>
        <v/>
      </c>
      <c r="AF872" s="6">
        <f t="shared" ca="1" si="188"/>
        <v>0</v>
      </c>
      <c r="AG872">
        <f t="shared" ca="1" si="183"/>
        <v>0</v>
      </c>
      <c r="AH872">
        <f t="shared" ca="1" si="189"/>
        <v>0</v>
      </c>
      <c r="AI872">
        <f t="shared" ca="1" si="190"/>
        <v>0</v>
      </c>
      <c r="AJ872">
        <f t="shared" ca="1" si="191"/>
        <v>0</v>
      </c>
      <c r="AK872">
        <f t="shared" ca="1" si="192"/>
        <v>0</v>
      </c>
      <c r="AL872">
        <f t="shared" ca="1" si="193"/>
        <v>0</v>
      </c>
    </row>
    <row r="873" spans="1:38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#N/A, OFFSET(data!$A$1, ROW()-1, AA$1-1))</f>
        <v>0</v>
      </c>
      <c r="AB873">
        <f t="shared" ca="1" si="184"/>
        <v>0</v>
      </c>
      <c r="AC873" t="e">
        <f t="shared" ca="1" si="185"/>
        <v>#VALUE!</v>
      </c>
      <c r="AD873" t="str">
        <f t="shared" ca="1" si="186"/>
        <v>0</v>
      </c>
      <c r="AE873" t="str">
        <f t="shared" ca="1" si="187"/>
        <v/>
      </c>
      <c r="AF873" s="6">
        <f t="shared" ca="1" si="188"/>
        <v>0</v>
      </c>
      <c r="AG873">
        <f t="shared" ca="1" si="183"/>
        <v>0</v>
      </c>
      <c r="AH873">
        <f t="shared" ca="1" si="189"/>
        <v>0</v>
      </c>
      <c r="AI873">
        <f t="shared" ca="1" si="190"/>
        <v>0</v>
      </c>
      <c r="AJ873">
        <f t="shared" ca="1" si="191"/>
        <v>0</v>
      </c>
      <c r="AK873">
        <f t="shared" ca="1" si="192"/>
        <v>0</v>
      </c>
      <c r="AL873">
        <f t="shared" ca="1" si="193"/>
        <v>0</v>
      </c>
    </row>
    <row r="874" spans="1:38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#N/A, OFFSET(data!$A$1, ROW()-1, AA$1-1))</f>
        <v>0</v>
      </c>
      <c r="AB874">
        <f t="shared" ca="1" si="184"/>
        <v>0</v>
      </c>
      <c r="AC874" t="e">
        <f t="shared" ca="1" si="185"/>
        <v>#VALUE!</v>
      </c>
      <c r="AD874" t="str">
        <f t="shared" ca="1" si="186"/>
        <v>0</v>
      </c>
      <c r="AE874" t="str">
        <f t="shared" ca="1" si="187"/>
        <v/>
      </c>
      <c r="AF874" s="6">
        <f t="shared" ca="1" si="188"/>
        <v>0</v>
      </c>
      <c r="AG874">
        <f t="shared" ca="1" si="183"/>
        <v>0</v>
      </c>
      <c r="AH874">
        <f t="shared" ca="1" si="189"/>
        <v>0</v>
      </c>
      <c r="AI874">
        <f t="shared" ca="1" si="190"/>
        <v>0</v>
      </c>
      <c r="AJ874">
        <f t="shared" ca="1" si="191"/>
        <v>0</v>
      </c>
      <c r="AK874">
        <f t="shared" ca="1" si="192"/>
        <v>0</v>
      </c>
      <c r="AL874">
        <f t="shared" ca="1" si="193"/>
        <v>0</v>
      </c>
    </row>
    <row r="875" spans="1:38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#N/A, OFFSET(data!$A$1, ROW()-1, AA$1-1))</f>
        <v>0</v>
      </c>
      <c r="AB875">
        <f t="shared" ca="1" si="184"/>
        <v>0</v>
      </c>
      <c r="AC875" t="e">
        <f t="shared" ca="1" si="185"/>
        <v>#VALUE!</v>
      </c>
      <c r="AD875" t="str">
        <f t="shared" ca="1" si="186"/>
        <v>0</v>
      </c>
      <c r="AE875" t="str">
        <f t="shared" ca="1" si="187"/>
        <v/>
      </c>
      <c r="AF875" s="6">
        <f t="shared" ca="1" si="188"/>
        <v>0</v>
      </c>
      <c r="AG875">
        <f t="shared" ca="1" si="183"/>
        <v>0</v>
      </c>
      <c r="AH875">
        <f t="shared" ca="1" si="189"/>
        <v>0</v>
      </c>
      <c r="AI875">
        <f t="shared" ca="1" si="190"/>
        <v>0</v>
      </c>
      <c r="AJ875">
        <f t="shared" ca="1" si="191"/>
        <v>0</v>
      </c>
      <c r="AK875">
        <f t="shared" ca="1" si="192"/>
        <v>0</v>
      </c>
      <c r="AL875">
        <f t="shared" ca="1" si="193"/>
        <v>0</v>
      </c>
    </row>
    <row r="876" spans="1:38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#N/A, OFFSET(data!$A$1, ROW()-1, AA$1-1))</f>
        <v>0</v>
      </c>
      <c r="AB876">
        <f t="shared" ca="1" si="184"/>
        <v>0</v>
      </c>
      <c r="AC876" t="e">
        <f t="shared" ca="1" si="185"/>
        <v>#VALUE!</v>
      </c>
      <c r="AD876" t="str">
        <f t="shared" ca="1" si="186"/>
        <v>0</v>
      </c>
      <c r="AE876" t="str">
        <f t="shared" ca="1" si="187"/>
        <v/>
      </c>
      <c r="AF876" s="6">
        <f t="shared" ca="1" si="188"/>
        <v>0</v>
      </c>
      <c r="AG876">
        <f t="shared" ca="1" si="183"/>
        <v>0</v>
      </c>
      <c r="AH876">
        <f t="shared" ca="1" si="189"/>
        <v>0</v>
      </c>
      <c r="AI876">
        <f t="shared" ca="1" si="190"/>
        <v>0</v>
      </c>
      <c r="AJ876">
        <f t="shared" ca="1" si="191"/>
        <v>0</v>
      </c>
      <c r="AK876">
        <f t="shared" ca="1" si="192"/>
        <v>0</v>
      </c>
      <c r="AL876">
        <f t="shared" ca="1" si="193"/>
        <v>0</v>
      </c>
    </row>
    <row r="877" spans="1:38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#N/A, OFFSET(data!$A$1, ROW()-1, AA$1-1))</f>
        <v>0</v>
      </c>
      <c r="AB877">
        <f t="shared" ca="1" si="184"/>
        <v>0</v>
      </c>
      <c r="AC877" t="e">
        <f t="shared" ca="1" si="185"/>
        <v>#VALUE!</v>
      </c>
      <c r="AD877" t="str">
        <f t="shared" ca="1" si="186"/>
        <v>0</v>
      </c>
      <c r="AE877" t="str">
        <f t="shared" ca="1" si="187"/>
        <v/>
      </c>
      <c r="AF877" s="6">
        <f t="shared" ca="1" si="188"/>
        <v>0</v>
      </c>
      <c r="AG877">
        <f t="shared" ca="1" si="183"/>
        <v>0</v>
      </c>
      <c r="AH877">
        <f t="shared" ca="1" si="189"/>
        <v>0</v>
      </c>
      <c r="AI877">
        <f t="shared" ca="1" si="190"/>
        <v>0</v>
      </c>
      <c r="AJ877">
        <f t="shared" ca="1" si="191"/>
        <v>0</v>
      </c>
      <c r="AK877">
        <f t="shared" ca="1" si="192"/>
        <v>0</v>
      </c>
      <c r="AL877">
        <f t="shared" ca="1" si="193"/>
        <v>0</v>
      </c>
    </row>
    <row r="878" spans="1:38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#N/A, OFFSET(data!$A$1, ROW()-1, AA$1-1))</f>
        <v>0</v>
      </c>
      <c r="AB878">
        <f t="shared" ca="1" si="184"/>
        <v>0</v>
      </c>
      <c r="AC878" t="e">
        <f t="shared" ca="1" si="185"/>
        <v>#VALUE!</v>
      </c>
      <c r="AD878" t="str">
        <f t="shared" ca="1" si="186"/>
        <v>0</v>
      </c>
      <c r="AE878" t="str">
        <f t="shared" ca="1" si="187"/>
        <v/>
      </c>
      <c r="AF878" s="6">
        <f t="shared" ca="1" si="188"/>
        <v>0</v>
      </c>
      <c r="AG878">
        <f t="shared" ca="1" si="183"/>
        <v>0</v>
      </c>
      <c r="AH878">
        <f t="shared" ca="1" si="189"/>
        <v>0</v>
      </c>
      <c r="AI878">
        <f t="shared" ca="1" si="190"/>
        <v>0</v>
      </c>
      <c r="AJ878">
        <f t="shared" ca="1" si="191"/>
        <v>0</v>
      </c>
      <c r="AK878">
        <f t="shared" ca="1" si="192"/>
        <v>0</v>
      </c>
      <c r="AL878">
        <f t="shared" ca="1" si="193"/>
        <v>0</v>
      </c>
    </row>
    <row r="879" spans="1:38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#N/A, OFFSET(data!$A$1, ROW()-1, AA$1-1))</f>
        <v>0</v>
      </c>
      <c r="AB879">
        <f t="shared" ca="1" si="184"/>
        <v>0</v>
      </c>
      <c r="AC879" t="e">
        <f t="shared" ca="1" si="185"/>
        <v>#VALUE!</v>
      </c>
      <c r="AD879" t="str">
        <f t="shared" ca="1" si="186"/>
        <v>0</v>
      </c>
      <c r="AE879" t="str">
        <f t="shared" ca="1" si="187"/>
        <v/>
      </c>
      <c r="AF879" s="6">
        <f t="shared" ca="1" si="188"/>
        <v>0</v>
      </c>
      <c r="AG879">
        <f t="shared" ca="1" si="183"/>
        <v>0</v>
      </c>
      <c r="AH879">
        <f t="shared" ca="1" si="189"/>
        <v>0</v>
      </c>
      <c r="AI879">
        <f t="shared" ca="1" si="190"/>
        <v>0</v>
      </c>
      <c r="AJ879">
        <f t="shared" ca="1" si="191"/>
        <v>0</v>
      </c>
      <c r="AK879">
        <f t="shared" ca="1" si="192"/>
        <v>0</v>
      </c>
      <c r="AL879">
        <f t="shared" ca="1" si="193"/>
        <v>0</v>
      </c>
    </row>
    <row r="880" spans="1:38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#N/A, OFFSET(data!$A$1, ROW()-1, AA$1-1))</f>
        <v>0</v>
      </c>
      <c r="AB880">
        <f t="shared" ca="1" si="184"/>
        <v>0</v>
      </c>
      <c r="AC880" t="e">
        <f t="shared" ca="1" si="185"/>
        <v>#VALUE!</v>
      </c>
      <c r="AD880" t="str">
        <f t="shared" ca="1" si="186"/>
        <v>0</v>
      </c>
      <c r="AE880" t="str">
        <f t="shared" ca="1" si="187"/>
        <v/>
      </c>
      <c r="AF880" s="6">
        <f t="shared" ca="1" si="188"/>
        <v>0</v>
      </c>
      <c r="AG880">
        <f t="shared" ca="1" si="183"/>
        <v>0</v>
      </c>
      <c r="AH880">
        <f t="shared" ca="1" si="189"/>
        <v>0</v>
      </c>
      <c r="AI880">
        <f t="shared" ca="1" si="190"/>
        <v>0</v>
      </c>
      <c r="AJ880">
        <f t="shared" ca="1" si="191"/>
        <v>0</v>
      </c>
      <c r="AK880">
        <f t="shared" ca="1" si="192"/>
        <v>0</v>
      </c>
      <c r="AL880">
        <f t="shared" ca="1" si="193"/>
        <v>0</v>
      </c>
    </row>
    <row r="881" spans="1:38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#N/A, OFFSET(data!$A$1, ROW()-1, AA$1-1))</f>
        <v>0</v>
      </c>
      <c r="AB881">
        <f t="shared" ca="1" si="184"/>
        <v>0</v>
      </c>
      <c r="AC881" t="e">
        <f t="shared" ca="1" si="185"/>
        <v>#VALUE!</v>
      </c>
      <c r="AD881" t="str">
        <f t="shared" ca="1" si="186"/>
        <v>0</v>
      </c>
      <c r="AE881" t="str">
        <f t="shared" ca="1" si="187"/>
        <v/>
      </c>
      <c r="AF881" s="6">
        <f t="shared" ca="1" si="188"/>
        <v>0</v>
      </c>
      <c r="AG881">
        <f t="shared" ca="1" si="183"/>
        <v>0</v>
      </c>
      <c r="AH881">
        <f t="shared" ca="1" si="189"/>
        <v>0</v>
      </c>
      <c r="AI881">
        <f t="shared" ca="1" si="190"/>
        <v>0</v>
      </c>
      <c r="AJ881">
        <f t="shared" ca="1" si="191"/>
        <v>0</v>
      </c>
      <c r="AK881">
        <f t="shared" ca="1" si="192"/>
        <v>0</v>
      </c>
      <c r="AL881">
        <f t="shared" ca="1" si="193"/>
        <v>0</v>
      </c>
    </row>
    <row r="882" spans="1:38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#N/A, OFFSET(data!$A$1, ROW()-1, AA$1-1))</f>
        <v>0</v>
      </c>
      <c r="AB882">
        <f t="shared" ca="1" si="184"/>
        <v>0</v>
      </c>
      <c r="AC882" t="e">
        <f t="shared" ca="1" si="185"/>
        <v>#VALUE!</v>
      </c>
      <c r="AD882" t="str">
        <f t="shared" ca="1" si="186"/>
        <v>0</v>
      </c>
      <c r="AE882" t="str">
        <f t="shared" ca="1" si="187"/>
        <v/>
      </c>
      <c r="AF882" s="6">
        <f t="shared" ca="1" si="188"/>
        <v>0</v>
      </c>
      <c r="AG882">
        <f t="shared" ca="1" si="183"/>
        <v>0</v>
      </c>
      <c r="AH882">
        <f t="shared" ca="1" si="189"/>
        <v>0</v>
      </c>
      <c r="AI882">
        <f t="shared" ca="1" si="190"/>
        <v>0</v>
      </c>
      <c r="AJ882">
        <f t="shared" ca="1" si="191"/>
        <v>0</v>
      </c>
      <c r="AK882">
        <f t="shared" ca="1" si="192"/>
        <v>0</v>
      </c>
      <c r="AL882">
        <f t="shared" ca="1" si="193"/>
        <v>0</v>
      </c>
    </row>
    <row r="883" spans="1:38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#N/A, OFFSET(data!$A$1, ROW()-1, AA$1-1))</f>
        <v>0</v>
      </c>
      <c r="AB883">
        <f t="shared" ca="1" si="184"/>
        <v>0</v>
      </c>
      <c r="AC883" t="e">
        <f t="shared" ca="1" si="185"/>
        <v>#VALUE!</v>
      </c>
      <c r="AD883" t="str">
        <f t="shared" ca="1" si="186"/>
        <v>0</v>
      </c>
      <c r="AE883" t="str">
        <f t="shared" ca="1" si="187"/>
        <v/>
      </c>
      <c r="AF883" s="6">
        <f t="shared" ca="1" si="188"/>
        <v>0</v>
      </c>
      <c r="AG883">
        <f t="shared" ca="1" si="183"/>
        <v>0</v>
      </c>
      <c r="AH883">
        <f t="shared" ca="1" si="189"/>
        <v>0</v>
      </c>
      <c r="AI883">
        <f t="shared" ca="1" si="190"/>
        <v>0</v>
      </c>
      <c r="AJ883">
        <f t="shared" ca="1" si="191"/>
        <v>0</v>
      </c>
      <c r="AK883">
        <f t="shared" ca="1" si="192"/>
        <v>0</v>
      </c>
      <c r="AL883">
        <f t="shared" ca="1" si="193"/>
        <v>0</v>
      </c>
    </row>
    <row r="884" spans="1:38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#N/A, OFFSET(data!$A$1, ROW()-1, AA$1-1))</f>
        <v>0</v>
      </c>
      <c r="AB884">
        <f t="shared" ca="1" si="184"/>
        <v>0</v>
      </c>
      <c r="AC884" t="e">
        <f t="shared" ca="1" si="185"/>
        <v>#VALUE!</v>
      </c>
      <c r="AD884" t="str">
        <f t="shared" ca="1" si="186"/>
        <v>0</v>
      </c>
      <c r="AE884" t="str">
        <f t="shared" ca="1" si="187"/>
        <v/>
      </c>
      <c r="AF884" s="6">
        <f t="shared" ca="1" si="188"/>
        <v>0</v>
      </c>
      <c r="AG884">
        <f t="shared" ref="AG884:AG947" ca="1" si="194">T884+W884</f>
        <v>0</v>
      </c>
      <c r="AH884">
        <f t="shared" ca="1" si="189"/>
        <v>0</v>
      </c>
      <c r="AI884">
        <f t="shared" ca="1" si="190"/>
        <v>0</v>
      </c>
      <c r="AJ884">
        <f t="shared" ca="1" si="191"/>
        <v>0</v>
      </c>
      <c r="AK884">
        <f t="shared" ca="1" si="192"/>
        <v>0</v>
      </c>
      <c r="AL884">
        <f t="shared" ca="1" si="193"/>
        <v>0</v>
      </c>
    </row>
    <row r="885" spans="1:38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#N/A, OFFSET(data!$A$1, ROW()-1, AA$1-1))</f>
        <v>0</v>
      </c>
      <c r="AB885">
        <f t="shared" ca="1" si="184"/>
        <v>0</v>
      </c>
      <c r="AC885" t="e">
        <f t="shared" ca="1" si="185"/>
        <v>#VALUE!</v>
      </c>
      <c r="AD885" t="str">
        <f t="shared" ca="1" si="186"/>
        <v>0</v>
      </c>
      <c r="AE885" t="str">
        <f t="shared" ca="1" si="187"/>
        <v/>
      </c>
      <c r="AF885" s="6">
        <f t="shared" ca="1" si="188"/>
        <v>0</v>
      </c>
      <c r="AG885">
        <f t="shared" ca="1" si="194"/>
        <v>0</v>
      </c>
      <c r="AH885">
        <f t="shared" ca="1" si="189"/>
        <v>0</v>
      </c>
      <c r="AI885">
        <f t="shared" ca="1" si="190"/>
        <v>0</v>
      </c>
      <c r="AJ885">
        <f t="shared" ca="1" si="191"/>
        <v>0</v>
      </c>
      <c r="AK885">
        <f t="shared" ca="1" si="192"/>
        <v>0</v>
      </c>
      <c r="AL885">
        <f t="shared" ca="1" si="193"/>
        <v>0</v>
      </c>
    </row>
    <row r="886" spans="1:38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#N/A, OFFSET(data!$A$1, ROW()-1, AA$1-1))</f>
        <v>0</v>
      </c>
      <c r="AB886">
        <f t="shared" ca="1" si="184"/>
        <v>0</v>
      </c>
      <c r="AC886" t="e">
        <f t="shared" ca="1" si="185"/>
        <v>#VALUE!</v>
      </c>
      <c r="AD886" t="str">
        <f t="shared" ca="1" si="186"/>
        <v>0</v>
      </c>
      <c r="AE886" t="str">
        <f t="shared" ca="1" si="187"/>
        <v/>
      </c>
      <c r="AF886" s="6">
        <f t="shared" ca="1" si="188"/>
        <v>0</v>
      </c>
      <c r="AG886">
        <f t="shared" ca="1" si="194"/>
        <v>0</v>
      </c>
      <c r="AH886">
        <f t="shared" ca="1" si="189"/>
        <v>0</v>
      </c>
      <c r="AI886">
        <f t="shared" ca="1" si="190"/>
        <v>0</v>
      </c>
      <c r="AJ886">
        <f t="shared" ca="1" si="191"/>
        <v>0</v>
      </c>
      <c r="AK886">
        <f t="shared" ca="1" si="192"/>
        <v>0</v>
      </c>
      <c r="AL886">
        <f t="shared" ca="1" si="193"/>
        <v>0</v>
      </c>
    </row>
    <row r="887" spans="1:38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#N/A, OFFSET(data!$A$1, ROW()-1, AA$1-1))</f>
        <v>0</v>
      </c>
      <c r="AB887">
        <f t="shared" ca="1" si="184"/>
        <v>0</v>
      </c>
      <c r="AC887" t="e">
        <f t="shared" ca="1" si="185"/>
        <v>#VALUE!</v>
      </c>
      <c r="AD887" t="str">
        <f t="shared" ca="1" si="186"/>
        <v>0</v>
      </c>
      <c r="AE887" t="str">
        <f t="shared" ca="1" si="187"/>
        <v/>
      </c>
      <c r="AF887" s="6">
        <f t="shared" ca="1" si="188"/>
        <v>0</v>
      </c>
      <c r="AG887">
        <f t="shared" ca="1" si="194"/>
        <v>0</v>
      </c>
      <c r="AH887">
        <f t="shared" ca="1" si="189"/>
        <v>0</v>
      </c>
      <c r="AI887">
        <f t="shared" ca="1" si="190"/>
        <v>0</v>
      </c>
      <c r="AJ887">
        <f t="shared" ca="1" si="191"/>
        <v>0</v>
      </c>
      <c r="AK887">
        <f t="shared" ca="1" si="192"/>
        <v>0</v>
      </c>
      <c r="AL887">
        <f t="shared" ca="1" si="193"/>
        <v>0</v>
      </c>
    </row>
    <row r="888" spans="1:38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#N/A, OFFSET(data!$A$1, ROW()-1, AA$1-1))</f>
        <v>0</v>
      </c>
      <c r="AB888">
        <f t="shared" ca="1" si="184"/>
        <v>0</v>
      </c>
      <c r="AC888" t="e">
        <f t="shared" ca="1" si="185"/>
        <v>#VALUE!</v>
      </c>
      <c r="AD888" t="str">
        <f t="shared" ca="1" si="186"/>
        <v>0</v>
      </c>
      <c r="AE888" t="str">
        <f t="shared" ca="1" si="187"/>
        <v/>
      </c>
      <c r="AF888" s="6">
        <f t="shared" ca="1" si="188"/>
        <v>0</v>
      </c>
      <c r="AG888">
        <f t="shared" ca="1" si="194"/>
        <v>0</v>
      </c>
      <c r="AH888">
        <f t="shared" ca="1" si="189"/>
        <v>0</v>
      </c>
      <c r="AI888">
        <f t="shared" ca="1" si="190"/>
        <v>0</v>
      </c>
      <c r="AJ888">
        <f t="shared" ca="1" si="191"/>
        <v>0</v>
      </c>
      <c r="AK888">
        <f t="shared" ca="1" si="192"/>
        <v>0</v>
      </c>
      <c r="AL888">
        <f t="shared" ca="1" si="193"/>
        <v>0</v>
      </c>
    </row>
    <row r="889" spans="1:38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#N/A, OFFSET(data!$A$1, ROW()-1, AA$1-1))</f>
        <v>0</v>
      </c>
      <c r="AB889">
        <f t="shared" ca="1" si="184"/>
        <v>0</v>
      </c>
      <c r="AC889" t="e">
        <f t="shared" ca="1" si="185"/>
        <v>#VALUE!</v>
      </c>
      <c r="AD889" t="str">
        <f t="shared" ca="1" si="186"/>
        <v>0</v>
      </c>
      <c r="AE889" t="str">
        <f t="shared" ca="1" si="187"/>
        <v/>
      </c>
      <c r="AF889" s="6">
        <f t="shared" ca="1" si="188"/>
        <v>0</v>
      </c>
      <c r="AG889">
        <f t="shared" ca="1" si="194"/>
        <v>0</v>
      </c>
      <c r="AH889">
        <f t="shared" ca="1" si="189"/>
        <v>0</v>
      </c>
      <c r="AI889">
        <f t="shared" ca="1" si="190"/>
        <v>0</v>
      </c>
      <c r="AJ889">
        <f t="shared" ca="1" si="191"/>
        <v>0</v>
      </c>
      <c r="AK889">
        <f t="shared" ca="1" si="192"/>
        <v>0</v>
      </c>
      <c r="AL889">
        <f t="shared" ca="1" si="193"/>
        <v>0</v>
      </c>
    </row>
    <row r="890" spans="1:38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#N/A, OFFSET(data!$A$1, ROW()-1, AA$1-1))</f>
        <v>0</v>
      </c>
      <c r="AB890">
        <f t="shared" ca="1" si="184"/>
        <v>0</v>
      </c>
      <c r="AC890" t="e">
        <f t="shared" ca="1" si="185"/>
        <v>#VALUE!</v>
      </c>
      <c r="AD890" t="str">
        <f t="shared" ca="1" si="186"/>
        <v>0</v>
      </c>
      <c r="AE890" t="str">
        <f t="shared" ca="1" si="187"/>
        <v/>
      </c>
      <c r="AF890" s="6">
        <f t="shared" ca="1" si="188"/>
        <v>0</v>
      </c>
      <c r="AG890">
        <f t="shared" ca="1" si="194"/>
        <v>0</v>
      </c>
      <c r="AH890">
        <f t="shared" ca="1" si="189"/>
        <v>0</v>
      </c>
      <c r="AI890">
        <f t="shared" ca="1" si="190"/>
        <v>0</v>
      </c>
      <c r="AJ890">
        <f t="shared" ca="1" si="191"/>
        <v>0</v>
      </c>
      <c r="AK890">
        <f t="shared" ca="1" si="192"/>
        <v>0</v>
      </c>
      <c r="AL890">
        <f t="shared" ca="1" si="193"/>
        <v>0</v>
      </c>
    </row>
    <row r="891" spans="1:38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#N/A, OFFSET(data!$A$1, ROW()-1, AA$1-1))</f>
        <v>0</v>
      </c>
      <c r="AB891">
        <f t="shared" ca="1" si="184"/>
        <v>0</v>
      </c>
      <c r="AC891" t="e">
        <f t="shared" ca="1" si="185"/>
        <v>#VALUE!</v>
      </c>
      <c r="AD891" t="str">
        <f t="shared" ca="1" si="186"/>
        <v>0</v>
      </c>
      <c r="AE891" t="str">
        <f t="shared" ca="1" si="187"/>
        <v/>
      </c>
      <c r="AF891" s="6">
        <f t="shared" ca="1" si="188"/>
        <v>0</v>
      </c>
      <c r="AG891">
        <f t="shared" ca="1" si="194"/>
        <v>0</v>
      </c>
      <c r="AH891">
        <f t="shared" ca="1" si="189"/>
        <v>0</v>
      </c>
      <c r="AI891">
        <f t="shared" ca="1" si="190"/>
        <v>0</v>
      </c>
      <c r="AJ891">
        <f t="shared" ca="1" si="191"/>
        <v>0</v>
      </c>
      <c r="AK891">
        <f t="shared" ca="1" si="192"/>
        <v>0</v>
      </c>
      <c r="AL891">
        <f t="shared" ca="1" si="193"/>
        <v>0</v>
      </c>
    </row>
    <row r="892" spans="1:38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#N/A, OFFSET(data!$A$1, ROW()-1, AA$1-1))</f>
        <v>0</v>
      </c>
      <c r="AB892">
        <f t="shared" ca="1" si="184"/>
        <v>0</v>
      </c>
      <c r="AC892" t="e">
        <f t="shared" ca="1" si="185"/>
        <v>#VALUE!</v>
      </c>
      <c r="AD892" t="str">
        <f t="shared" ca="1" si="186"/>
        <v>0</v>
      </c>
      <c r="AE892" t="str">
        <f t="shared" ca="1" si="187"/>
        <v/>
      </c>
      <c r="AF892" s="6">
        <f t="shared" ca="1" si="188"/>
        <v>0</v>
      </c>
      <c r="AG892">
        <f t="shared" ca="1" si="194"/>
        <v>0</v>
      </c>
      <c r="AH892">
        <f t="shared" ca="1" si="189"/>
        <v>0</v>
      </c>
      <c r="AI892">
        <f t="shared" ca="1" si="190"/>
        <v>0</v>
      </c>
      <c r="AJ892">
        <f t="shared" ca="1" si="191"/>
        <v>0</v>
      </c>
      <c r="AK892">
        <f t="shared" ca="1" si="192"/>
        <v>0</v>
      </c>
      <c r="AL892">
        <f t="shared" ca="1" si="193"/>
        <v>0</v>
      </c>
    </row>
    <row r="893" spans="1:38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#N/A, OFFSET(data!$A$1, ROW()-1, AA$1-1))</f>
        <v>0</v>
      </c>
      <c r="AB893">
        <f t="shared" ca="1" si="184"/>
        <v>0</v>
      </c>
      <c r="AC893" t="e">
        <f t="shared" ca="1" si="185"/>
        <v>#VALUE!</v>
      </c>
      <c r="AD893" t="str">
        <f t="shared" ca="1" si="186"/>
        <v>0</v>
      </c>
      <c r="AE893" t="str">
        <f t="shared" ca="1" si="187"/>
        <v/>
      </c>
      <c r="AF893" s="6">
        <f t="shared" ca="1" si="188"/>
        <v>0</v>
      </c>
      <c r="AG893">
        <f t="shared" ca="1" si="194"/>
        <v>0</v>
      </c>
      <c r="AH893">
        <f t="shared" ca="1" si="189"/>
        <v>0</v>
      </c>
      <c r="AI893">
        <f t="shared" ca="1" si="190"/>
        <v>0</v>
      </c>
      <c r="AJ893">
        <f t="shared" ca="1" si="191"/>
        <v>0</v>
      </c>
      <c r="AK893">
        <f t="shared" ca="1" si="192"/>
        <v>0</v>
      </c>
      <c r="AL893">
        <f t="shared" ca="1" si="193"/>
        <v>0</v>
      </c>
    </row>
    <row r="894" spans="1:38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#N/A, OFFSET(data!$A$1, ROW()-1, AA$1-1))</f>
        <v>0</v>
      </c>
      <c r="AB894">
        <f t="shared" ca="1" si="184"/>
        <v>0</v>
      </c>
      <c r="AC894" t="e">
        <f t="shared" ca="1" si="185"/>
        <v>#VALUE!</v>
      </c>
      <c r="AD894" t="str">
        <f t="shared" ca="1" si="186"/>
        <v>0</v>
      </c>
      <c r="AE894" t="str">
        <f t="shared" ca="1" si="187"/>
        <v/>
      </c>
      <c r="AF894" s="6">
        <f t="shared" ca="1" si="188"/>
        <v>0</v>
      </c>
      <c r="AG894">
        <f t="shared" ca="1" si="194"/>
        <v>0</v>
      </c>
      <c r="AH894">
        <f t="shared" ca="1" si="189"/>
        <v>0</v>
      </c>
      <c r="AI894">
        <f t="shared" ca="1" si="190"/>
        <v>0</v>
      </c>
      <c r="AJ894">
        <f t="shared" ca="1" si="191"/>
        <v>0</v>
      </c>
      <c r="AK894">
        <f t="shared" ca="1" si="192"/>
        <v>0</v>
      </c>
      <c r="AL894">
        <f t="shared" ca="1" si="193"/>
        <v>0</v>
      </c>
    </row>
    <row r="895" spans="1:38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#N/A, OFFSET(data!$A$1, ROW()-1, AA$1-1))</f>
        <v>0</v>
      </c>
      <c r="AB895">
        <f t="shared" ca="1" si="184"/>
        <v>0</v>
      </c>
      <c r="AC895" t="e">
        <f t="shared" ca="1" si="185"/>
        <v>#VALUE!</v>
      </c>
      <c r="AD895" t="str">
        <f t="shared" ca="1" si="186"/>
        <v>0</v>
      </c>
      <c r="AE895" t="str">
        <f t="shared" ca="1" si="187"/>
        <v/>
      </c>
      <c r="AF895" s="6">
        <f t="shared" ca="1" si="188"/>
        <v>0</v>
      </c>
      <c r="AG895">
        <f t="shared" ca="1" si="194"/>
        <v>0</v>
      </c>
      <c r="AH895">
        <f t="shared" ca="1" si="189"/>
        <v>0</v>
      </c>
      <c r="AI895">
        <f t="shared" ca="1" si="190"/>
        <v>0</v>
      </c>
      <c r="AJ895">
        <f t="shared" ca="1" si="191"/>
        <v>0</v>
      </c>
      <c r="AK895">
        <f t="shared" ca="1" si="192"/>
        <v>0</v>
      </c>
      <c r="AL895">
        <f t="shared" ca="1" si="193"/>
        <v>0</v>
      </c>
    </row>
    <row r="896" spans="1:38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#N/A, OFFSET(data!$A$1, ROW()-1, AA$1-1))</f>
        <v>0</v>
      </c>
      <c r="AB896">
        <f t="shared" ca="1" si="184"/>
        <v>0</v>
      </c>
      <c r="AC896" t="e">
        <f t="shared" ca="1" si="185"/>
        <v>#VALUE!</v>
      </c>
      <c r="AD896" t="str">
        <f t="shared" ca="1" si="186"/>
        <v>0</v>
      </c>
      <c r="AE896" t="str">
        <f t="shared" ca="1" si="187"/>
        <v/>
      </c>
      <c r="AF896" s="6">
        <f t="shared" ca="1" si="188"/>
        <v>0</v>
      </c>
      <c r="AG896">
        <f t="shared" ca="1" si="194"/>
        <v>0</v>
      </c>
      <c r="AH896">
        <f t="shared" ca="1" si="189"/>
        <v>0</v>
      </c>
      <c r="AI896">
        <f t="shared" ca="1" si="190"/>
        <v>0</v>
      </c>
      <c r="AJ896">
        <f t="shared" ca="1" si="191"/>
        <v>0</v>
      </c>
      <c r="AK896">
        <f t="shared" ca="1" si="192"/>
        <v>0</v>
      </c>
      <c r="AL896">
        <f t="shared" ca="1" si="193"/>
        <v>0</v>
      </c>
    </row>
    <row r="897" spans="1:38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#N/A, OFFSET(data!$A$1, ROW()-1, AA$1-1))</f>
        <v>0</v>
      </c>
      <c r="AB897">
        <f t="shared" ca="1" si="184"/>
        <v>0</v>
      </c>
      <c r="AC897" t="e">
        <f t="shared" ca="1" si="185"/>
        <v>#VALUE!</v>
      </c>
      <c r="AD897" t="str">
        <f t="shared" ca="1" si="186"/>
        <v>0</v>
      </c>
      <c r="AE897" t="str">
        <f t="shared" ca="1" si="187"/>
        <v/>
      </c>
      <c r="AF897" s="6">
        <f t="shared" ca="1" si="188"/>
        <v>0</v>
      </c>
      <c r="AG897">
        <f t="shared" ca="1" si="194"/>
        <v>0</v>
      </c>
      <c r="AH897">
        <f t="shared" ca="1" si="189"/>
        <v>0</v>
      </c>
      <c r="AI897">
        <f t="shared" ca="1" si="190"/>
        <v>0</v>
      </c>
      <c r="AJ897">
        <f t="shared" ca="1" si="191"/>
        <v>0</v>
      </c>
      <c r="AK897">
        <f t="shared" ca="1" si="192"/>
        <v>0</v>
      </c>
      <c r="AL897">
        <f t="shared" ca="1" si="193"/>
        <v>0</v>
      </c>
    </row>
    <row r="898" spans="1:38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#N/A, OFFSET(data!$A$1, ROW()-1, AA$1-1))</f>
        <v>0</v>
      </c>
      <c r="AB898">
        <f t="shared" ca="1" si="184"/>
        <v>0</v>
      </c>
      <c r="AC898" t="e">
        <f t="shared" ca="1" si="185"/>
        <v>#VALUE!</v>
      </c>
      <c r="AD898" t="str">
        <f t="shared" ca="1" si="186"/>
        <v>0</v>
      </c>
      <c r="AE898" t="str">
        <f t="shared" ca="1" si="187"/>
        <v/>
      </c>
      <c r="AF898" s="6">
        <f t="shared" ca="1" si="188"/>
        <v>0</v>
      </c>
      <c r="AG898">
        <f t="shared" ca="1" si="194"/>
        <v>0</v>
      </c>
      <c r="AH898">
        <f t="shared" ca="1" si="189"/>
        <v>0</v>
      </c>
      <c r="AI898">
        <f t="shared" ca="1" si="190"/>
        <v>0</v>
      </c>
      <c r="AJ898">
        <f t="shared" ca="1" si="191"/>
        <v>0</v>
      </c>
      <c r="AK898">
        <f t="shared" ca="1" si="192"/>
        <v>0</v>
      </c>
      <c r="AL898">
        <f t="shared" ca="1" si="193"/>
        <v>0</v>
      </c>
    </row>
    <row r="899" spans="1:38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#N/A, OFFSET(data!$A$1, ROW()-1, AA$1-1))</f>
        <v>0</v>
      </c>
      <c r="AB899">
        <f t="shared" ref="AB899:AB962" ca="1" si="195">VALUE(LEFT(C899, 4))</f>
        <v>0</v>
      </c>
      <c r="AC899" t="e">
        <f t="shared" ref="AC899:AC962" ca="1" si="196">VALUE(MID(C899, 6, 2))</f>
        <v>#VALUE!</v>
      </c>
      <c r="AD899" t="str">
        <f t="shared" ref="AD899:AD962" ca="1" si="197">SUBSTITUTE(MID(C899,6,6)&amp;LEFT(C899,4), "-", "/")</f>
        <v>0</v>
      </c>
      <c r="AE899" t="str">
        <f t="shared" ref="AE899:AE962" ca="1" si="198">IF(RIGHT(C899, 5)="12:00", AD899, "")</f>
        <v/>
      </c>
      <c r="AF899" s="6">
        <f t="shared" ref="AF899:AF962" ca="1" si="199">Z899/1000</f>
        <v>0</v>
      </c>
      <c r="AG899">
        <f t="shared" ca="1" si="194"/>
        <v>0</v>
      </c>
      <c r="AH899">
        <f t="shared" ca="1" si="189"/>
        <v>0</v>
      </c>
      <c r="AI899">
        <f t="shared" ca="1" si="190"/>
        <v>0</v>
      </c>
      <c r="AJ899">
        <f t="shared" ca="1" si="191"/>
        <v>0</v>
      </c>
      <c r="AK899">
        <f t="shared" ca="1" si="192"/>
        <v>0</v>
      </c>
      <c r="AL899">
        <f t="shared" ca="1" si="193"/>
        <v>0</v>
      </c>
    </row>
    <row r="900" spans="1:38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#N/A, OFFSET(data!$A$1, ROW()-1, AA$1-1))</f>
        <v>0</v>
      </c>
      <c r="AB900">
        <f t="shared" ca="1" si="195"/>
        <v>0</v>
      </c>
      <c r="AC900" t="e">
        <f t="shared" ca="1" si="196"/>
        <v>#VALUE!</v>
      </c>
      <c r="AD900" t="str">
        <f t="shared" ca="1" si="197"/>
        <v>0</v>
      </c>
      <c r="AE900" t="str">
        <f t="shared" ca="1" si="198"/>
        <v/>
      </c>
      <c r="AF900" s="6">
        <f t="shared" ca="1" si="199"/>
        <v>0</v>
      </c>
      <c r="AG900">
        <f t="shared" ca="1" si="194"/>
        <v>0</v>
      </c>
      <c r="AH900">
        <f t="shared" ref="AH900:AH963" ca="1" si="200">MAX(S900,Y900)</f>
        <v>0</v>
      </c>
      <c r="AI900">
        <f t="shared" ref="AI900:AI963" ca="1" si="201">MAX(R900,V900)</f>
        <v>0</v>
      </c>
      <c r="AJ900">
        <f t="shared" ref="AJ900:AJ963" ca="1" si="202">K900+N900</f>
        <v>0</v>
      </c>
      <c r="AK900">
        <f t="shared" ref="AK900:AK963" ca="1" si="203">L900+O900</f>
        <v>0</v>
      </c>
      <c r="AL900">
        <f t="shared" ref="AL900:AL963" ca="1" si="204">M900+P900</f>
        <v>0</v>
      </c>
    </row>
    <row r="901" spans="1:38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#N/A, OFFSET(data!$A$1, ROW()-1, AA$1-1))</f>
        <v>0</v>
      </c>
      <c r="AB901">
        <f t="shared" ca="1" si="195"/>
        <v>0</v>
      </c>
      <c r="AC901" t="e">
        <f t="shared" ca="1" si="196"/>
        <v>#VALUE!</v>
      </c>
      <c r="AD901" t="str">
        <f t="shared" ca="1" si="197"/>
        <v>0</v>
      </c>
      <c r="AE901" t="str">
        <f t="shared" ca="1" si="198"/>
        <v/>
      </c>
      <c r="AF901" s="6">
        <f t="shared" ca="1" si="199"/>
        <v>0</v>
      </c>
      <c r="AG901">
        <f t="shared" ca="1" si="194"/>
        <v>0</v>
      </c>
      <c r="AH901">
        <f t="shared" ca="1" si="200"/>
        <v>0</v>
      </c>
      <c r="AI901">
        <f t="shared" ca="1" si="201"/>
        <v>0</v>
      </c>
      <c r="AJ901">
        <f t="shared" ca="1" si="202"/>
        <v>0</v>
      </c>
      <c r="AK901">
        <f t="shared" ca="1" si="203"/>
        <v>0</v>
      </c>
      <c r="AL901">
        <f t="shared" ca="1" si="204"/>
        <v>0</v>
      </c>
    </row>
    <row r="902" spans="1:38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#N/A, OFFSET(data!$A$1, ROW()-1, AA$1-1))</f>
        <v>0</v>
      </c>
      <c r="AB902">
        <f t="shared" ca="1" si="195"/>
        <v>0</v>
      </c>
      <c r="AC902" t="e">
        <f t="shared" ca="1" si="196"/>
        <v>#VALUE!</v>
      </c>
      <c r="AD902" t="str">
        <f t="shared" ca="1" si="197"/>
        <v>0</v>
      </c>
      <c r="AE902" t="str">
        <f t="shared" ca="1" si="198"/>
        <v/>
      </c>
      <c r="AF902" s="6">
        <f t="shared" ca="1" si="199"/>
        <v>0</v>
      </c>
      <c r="AG902">
        <f t="shared" ca="1" si="194"/>
        <v>0</v>
      </c>
      <c r="AH902">
        <f t="shared" ca="1" si="200"/>
        <v>0</v>
      </c>
      <c r="AI902">
        <f t="shared" ca="1" si="201"/>
        <v>0</v>
      </c>
      <c r="AJ902">
        <f t="shared" ca="1" si="202"/>
        <v>0</v>
      </c>
      <c r="AK902">
        <f t="shared" ca="1" si="203"/>
        <v>0</v>
      </c>
      <c r="AL902">
        <f t="shared" ca="1" si="204"/>
        <v>0</v>
      </c>
    </row>
    <row r="903" spans="1:38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#N/A, OFFSET(data!$A$1, ROW()-1, AA$1-1))</f>
        <v>0</v>
      </c>
      <c r="AB903">
        <f t="shared" ca="1" si="195"/>
        <v>0</v>
      </c>
      <c r="AC903" t="e">
        <f t="shared" ca="1" si="196"/>
        <v>#VALUE!</v>
      </c>
      <c r="AD903" t="str">
        <f t="shared" ca="1" si="197"/>
        <v>0</v>
      </c>
      <c r="AE903" t="str">
        <f t="shared" ca="1" si="198"/>
        <v/>
      </c>
      <c r="AF903" s="6">
        <f t="shared" ca="1" si="199"/>
        <v>0</v>
      </c>
      <c r="AG903">
        <f t="shared" ca="1" si="194"/>
        <v>0</v>
      </c>
      <c r="AH903">
        <f t="shared" ca="1" si="200"/>
        <v>0</v>
      </c>
      <c r="AI903">
        <f t="shared" ca="1" si="201"/>
        <v>0</v>
      </c>
      <c r="AJ903">
        <f t="shared" ca="1" si="202"/>
        <v>0</v>
      </c>
      <c r="AK903">
        <f t="shared" ca="1" si="203"/>
        <v>0</v>
      </c>
      <c r="AL903">
        <f t="shared" ca="1" si="204"/>
        <v>0</v>
      </c>
    </row>
    <row r="904" spans="1:38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#N/A, OFFSET(data!$A$1, ROW()-1, AA$1-1))</f>
        <v>0</v>
      </c>
      <c r="AB904">
        <f t="shared" ca="1" si="195"/>
        <v>0</v>
      </c>
      <c r="AC904" t="e">
        <f t="shared" ca="1" si="196"/>
        <v>#VALUE!</v>
      </c>
      <c r="AD904" t="str">
        <f t="shared" ca="1" si="197"/>
        <v>0</v>
      </c>
      <c r="AE904" t="str">
        <f t="shared" ca="1" si="198"/>
        <v/>
      </c>
      <c r="AF904" s="6">
        <f t="shared" ca="1" si="199"/>
        <v>0</v>
      </c>
      <c r="AG904">
        <f t="shared" ca="1" si="194"/>
        <v>0</v>
      </c>
      <c r="AH904">
        <f t="shared" ca="1" si="200"/>
        <v>0</v>
      </c>
      <c r="AI904">
        <f t="shared" ca="1" si="201"/>
        <v>0</v>
      </c>
      <c r="AJ904">
        <f t="shared" ca="1" si="202"/>
        <v>0</v>
      </c>
      <c r="AK904">
        <f t="shared" ca="1" si="203"/>
        <v>0</v>
      </c>
      <c r="AL904">
        <f t="shared" ca="1" si="204"/>
        <v>0</v>
      </c>
    </row>
    <row r="905" spans="1:38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#N/A, OFFSET(data!$A$1, ROW()-1, AA$1-1))</f>
        <v>0</v>
      </c>
      <c r="AB905">
        <f t="shared" ca="1" si="195"/>
        <v>0</v>
      </c>
      <c r="AC905" t="e">
        <f t="shared" ca="1" si="196"/>
        <v>#VALUE!</v>
      </c>
      <c r="AD905" t="str">
        <f t="shared" ca="1" si="197"/>
        <v>0</v>
      </c>
      <c r="AE905" t="str">
        <f t="shared" ca="1" si="198"/>
        <v/>
      </c>
      <c r="AF905" s="6">
        <f t="shared" ca="1" si="199"/>
        <v>0</v>
      </c>
      <c r="AG905">
        <f t="shared" ca="1" si="194"/>
        <v>0</v>
      </c>
      <c r="AH905">
        <f t="shared" ca="1" si="200"/>
        <v>0</v>
      </c>
      <c r="AI905">
        <f t="shared" ca="1" si="201"/>
        <v>0</v>
      </c>
      <c r="AJ905">
        <f t="shared" ca="1" si="202"/>
        <v>0</v>
      </c>
      <c r="AK905">
        <f t="shared" ca="1" si="203"/>
        <v>0</v>
      </c>
      <c r="AL905">
        <f t="shared" ca="1" si="204"/>
        <v>0</v>
      </c>
    </row>
    <row r="906" spans="1:38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#N/A, OFFSET(data!$A$1, ROW()-1, AA$1-1))</f>
        <v>0</v>
      </c>
      <c r="AB906">
        <f t="shared" ca="1" si="195"/>
        <v>0</v>
      </c>
      <c r="AC906" t="e">
        <f t="shared" ca="1" si="196"/>
        <v>#VALUE!</v>
      </c>
      <c r="AD906" t="str">
        <f t="shared" ca="1" si="197"/>
        <v>0</v>
      </c>
      <c r="AE906" t="str">
        <f t="shared" ca="1" si="198"/>
        <v/>
      </c>
      <c r="AF906" s="6">
        <f t="shared" ca="1" si="199"/>
        <v>0</v>
      </c>
      <c r="AG906">
        <f t="shared" ca="1" si="194"/>
        <v>0</v>
      </c>
      <c r="AH906">
        <f t="shared" ca="1" si="200"/>
        <v>0</v>
      </c>
      <c r="AI906">
        <f t="shared" ca="1" si="201"/>
        <v>0</v>
      </c>
      <c r="AJ906">
        <f t="shared" ca="1" si="202"/>
        <v>0</v>
      </c>
      <c r="AK906">
        <f t="shared" ca="1" si="203"/>
        <v>0</v>
      </c>
      <c r="AL906">
        <f t="shared" ca="1" si="204"/>
        <v>0</v>
      </c>
    </row>
    <row r="907" spans="1:38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#N/A, OFFSET(data!$A$1, ROW()-1, AA$1-1))</f>
        <v>0</v>
      </c>
      <c r="AB907">
        <f t="shared" ca="1" si="195"/>
        <v>0</v>
      </c>
      <c r="AC907" t="e">
        <f t="shared" ca="1" si="196"/>
        <v>#VALUE!</v>
      </c>
      <c r="AD907" t="str">
        <f t="shared" ca="1" si="197"/>
        <v>0</v>
      </c>
      <c r="AE907" t="str">
        <f t="shared" ca="1" si="198"/>
        <v/>
      </c>
      <c r="AF907" s="6">
        <f t="shared" ca="1" si="199"/>
        <v>0</v>
      </c>
      <c r="AG907">
        <f t="shared" ca="1" si="194"/>
        <v>0</v>
      </c>
      <c r="AH907">
        <f t="shared" ca="1" si="200"/>
        <v>0</v>
      </c>
      <c r="AI907">
        <f t="shared" ca="1" si="201"/>
        <v>0</v>
      </c>
      <c r="AJ907">
        <f t="shared" ca="1" si="202"/>
        <v>0</v>
      </c>
      <c r="AK907">
        <f t="shared" ca="1" si="203"/>
        <v>0</v>
      </c>
      <c r="AL907">
        <f t="shared" ca="1" si="204"/>
        <v>0</v>
      </c>
    </row>
    <row r="908" spans="1:38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#N/A, OFFSET(data!$A$1, ROW()-1, AA$1-1))</f>
        <v>0</v>
      </c>
      <c r="AB908">
        <f t="shared" ca="1" si="195"/>
        <v>0</v>
      </c>
      <c r="AC908" t="e">
        <f t="shared" ca="1" si="196"/>
        <v>#VALUE!</v>
      </c>
      <c r="AD908" t="str">
        <f t="shared" ca="1" si="197"/>
        <v>0</v>
      </c>
      <c r="AE908" t="str">
        <f t="shared" ca="1" si="198"/>
        <v/>
      </c>
      <c r="AF908" s="6">
        <f t="shared" ca="1" si="199"/>
        <v>0</v>
      </c>
      <c r="AG908">
        <f t="shared" ca="1" si="194"/>
        <v>0</v>
      </c>
      <c r="AH908">
        <f t="shared" ca="1" si="200"/>
        <v>0</v>
      </c>
      <c r="AI908">
        <f t="shared" ca="1" si="201"/>
        <v>0</v>
      </c>
      <c r="AJ908">
        <f t="shared" ca="1" si="202"/>
        <v>0</v>
      </c>
      <c r="AK908">
        <f t="shared" ca="1" si="203"/>
        <v>0</v>
      </c>
      <c r="AL908">
        <f t="shared" ca="1" si="204"/>
        <v>0</v>
      </c>
    </row>
    <row r="909" spans="1:38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#N/A, OFFSET(data!$A$1, ROW()-1, AA$1-1))</f>
        <v>0</v>
      </c>
      <c r="AB909">
        <f t="shared" ca="1" si="195"/>
        <v>0</v>
      </c>
      <c r="AC909" t="e">
        <f t="shared" ca="1" si="196"/>
        <v>#VALUE!</v>
      </c>
      <c r="AD909" t="str">
        <f t="shared" ca="1" si="197"/>
        <v>0</v>
      </c>
      <c r="AE909" t="str">
        <f t="shared" ca="1" si="198"/>
        <v/>
      </c>
      <c r="AF909" s="6">
        <f t="shared" ca="1" si="199"/>
        <v>0</v>
      </c>
      <c r="AG909">
        <f t="shared" ca="1" si="194"/>
        <v>0</v>
      </c>
      <c r="AH909">
        <f t="shared" ca="1" si="200"/>
        <v>0</v>
      </c>
      <c r="AI909">
        <f t="shared" ca="1" si="201"/>
        <v>0</v>
      </c>
      <c r="AJ909">
        <f t="shared" ca="1" si="202"/>
        <v>0</v>
      </c>
      <c r="AK909">
        <f t="shared" ca="1" si="203"/>
        <v>0</v>
      </c>
      <c r="AL909">
        <f t="shared" ca="1" si="204"/>
        <v>0</v>
      </c>
    </row>
    <row r="910" spans="1:38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#N/A, OFFSET(data!$A$1, ROW()-1, AA$1-1))</f>
        <v>0</v>
      </c>
      <c r="AB910">
        <f t="shared" ca="1" si="195"/>
        <v>0</v>
      </c>
      <c r="AC910" t="e">
        <f t="shared" ca="1" si="196"/>
        <v>#VALUE!</v>
      </c>
      <c r="AD910" t="str">
        <f t="shared" ca="1" si="197"/>
        <v>0</v>
      </c>
      <c r="AE910" t="str">
        <f t="shared" ca="1" si="198"/>
        <v/>
      </c>
      <c r="AF910" s="6">
        <f t="shared" ca="1" si="199"/>
        <v>0</v>
      </c>
      <c r="AG910">
        <f t="shared" ca="1" si="194"/>
        <v>0</v>
      </c>
      <c r="AH910">
        <f t="shared" ca="1" si="200"/>
        <v>0</v>
      </c>
      <c r="AI910">
        <f t="shared" ca="1" si="201"/>
        <v>0</v>
      </c>
      <c r="AJ910">
        <f t="shared" ca="1" si="202"/>
        <v>0</v>
      </c>
      <c r="AK910">
        <f t="shared" ca="1" si="203"/>
        <v>0</v>
      </c>
      <c r="AL910">
        <f t="shared" ca="1" si="204"/>
        <v>0</v>
      </c>
    </row>
    <row r="911" spans="1:38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#N/A, OFFSET(data!$A$1, ROW()-1, AA$1-1))</f>
        <v>0</v>
      </c>
      <c r="AB911">
        <f t="shared" ca="1" si="195"/>
        <v>0</v>
      </c>
      <c r="AC911" t="e">
        <f t="shared" ca="1" si="196"/>
        <v>#VALUE!</v>
      </c>
      <c r="AD911" t="str">
        <f t="shared" ca="1" si="197"/>
        <v>0</v>
      </c>
      <c r="AE911" t="str">
        <f t="shared" ca="1" si="198"/>
        <v/>
      </c>
      <c r="AF911" s="6">
        <f t="shared" ca="1" si="199"/>
        <v>0</v>
      </c>
      <c r="AG911">
        <f t="shared" ca="1" si="194"/>
        <v>0</v>
      </c>
      <c r="AH911">
        <f t="shared" ca="1" si="200"/>
        <v>0</v>
      </c>
      <c r="AI911">
        <f t="shared" ca="1" si="201"/>
        <v>0</v>
      </c>
      <c r="AJ911">
        <f t="shared" ca="1" si="202"/>
        <v>0</v>
      </c>
      <c r="AK911">
        <f t="shared" ca="1" si="203"/>
        <v>0</v>
      </c>
      <c r="AL911">
        <f t="shared" ca="1" si="204"/>
        <v>0</v>
      </c>
    </row>
    <row r="912" spans="1:38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#N/A, OFFSET(data!$A$1, ROW()-1, AA$1-1))</f>
        <v>0</v>
      </c>
      <c r="AB912">
        <f t="shared" ca="1" si="195"/>
        <v>0</v>
      </c>
      <c r="AC912" t="e">
        <f t="shared" ca="1" si="196"/>
        <v>#VALUE!</v>
      </c>
      <c r="AD912" t="str">
        <f t="shared" ca="1" si="197"/>
        <v>0</v>
      </c>
      <c r="AE912" t="str">
        <f t="shared" ca="1" si="198"/>
        <v/>
      </c>
      <c r="AF912" s="6">
        <f t="shared" ca="1" si="199"/>
        <v>0</v>
      </c>
      <c r="AG912">
        <f t="shared" ca="1" si="194"/>
        <v>0</v>
      </c>
      <c r="AH912">
        <f t="shared" ca="1" si="200"/>
        <v>0</v>
      </c>
      <c r="AI912">
        <f t="shared" ca="1" si="201"/>
        <v>0</v>
      </c>
      <c r="AJ912">
        <f t="shared" ca="1" si="202"/>
        <v>0</v>
      </c>
      <c r="AK912">
        <f t="shared" ca="1" si="203"/>
        <v>0</v>
      </c>
      <c r="AL912">
        <f t="shared" ca="1" si="204"/>
        <v>0</v>
      </c>
    </row>
    <row r="913" spans="1:38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#N/A, OFFSET(data!$A$1, ROW()-1, AA$1-1))</f>
        <v>0</v>
      </c>
      <c r="AB913">
        <f t="shared" ca="1" si="195"/>
        <v>0</v>
      </c>
      <c r="AC913" t="e">
        <f t="shared" ca="1" si="196"/>
        <v>#VALUE!</v>
      </c>
      <c r="AD913" t="str">
        <f t="shared" ca="1" si="197"/>
        <v>0</v>
      </c>
      <c r="AE913" t="str">
        <f t="shared" ca="1" si="198"/>
        <v/>
      </c>
      <c r="AF913" s="6">
        <f t="shared" ca="1" si="199"/>
        <v>0</v>
      </c>
      <c r="AG913">
        <f t="shared" ca="1" si="194"/>
        <v>0</v>
      </c>
      <c r="AH913">
        <f t="shared" ca="1" si="200"/>
        <v>0</v>
      </c>
      <c r="AI913">
        <f t="shared" ca="1" si="201"/>
        <v>0</v>
      </c>
      <c r="AJ913">
        <f t="shared" ca="1" si="202"/>
        <v>0</v>
      </c>
      <c r="AK913">
        <f t="shared" ca="1" si="203"/>
        <v>0</v>
      </c>
      <c r="AL913">
        <f t="shared" ca="1" si="204"/>
        <v>0</v>
      </c>
    </row>
    <row r="914" spans="1:38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#N/A, OFFSET(data!$A$1, ROW()-1, AA$1-1))</f>
        <v>0</v>
      </c>
      <c r="AB914">
        <f t="shared" ca="1" si="195"/>
        <v>0</v>
      </c>
      <c r="AC914" t="e">
        <f t="shared" ca="1" si="196"/>
        <v>#VALUE!</v>
      </c>
      <c r="AD914" t="str">
        <f t="shared" ca="1" si="197"/>
        <v>0</v>
      </c>
      <c r="AE914" t="str">
        <f t="shared" ca="1" si="198"/>
        <v/>
      </c>
      <c r="AF914" s="6">
        <f t="shared" ca="1" si="199"/>
        <v>0</v>
      </c>
      <c r="AG914">
        <f t="shared" ca="1" si="194"/>
        <v>0</v>
      </c>
      <c r="AH914">
        <f t="shared" ca="1" si="200"/>
        <v>0</v>
      </c>
      <c r="AI914">
        <f t="shared" ca="1" si="201"/>
        <v>0</v>
      </c>
      <c r="AJ914">
        <f t="shared" ca="1" si="202"/>
        <v>0</v>
      </c>
      <c r="AK914">
        <f t="shared" ca="1" si="203"/>
        <v>0</v>
      </c>
      <c r="AL914">
        <f t="shared" ca="1" si="204"/>
        <v>0</v>
      </c>
    </row>
    <row r="915" spans="1:38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#N/A, OFFSET(data!$A$1, ROW()-1, AA$1-1))</f>
        <v>0</v>
      </c>
      <c r="AB915">
        <f t="shared" ca="1" si="195"/>
        <v>0</v>
      </c>
      <c r="AC915" t="e">
        <f t="shared" ca="1" si="196"/>
        <v>#VALUE!</v>
      </c>
      <c r="AD915" t="str">
        <f t="shared" ca="1" si="197"/>
        <v>0</v>
      </c>
      <c r="AE915" t="str">
        <f t="shared" ca="1" si="198"/>
        <v/>
      </c>
      <c r="AF915" s="6">
        <f t="shared" ca="1" si="199"/>
        <v>0</v>
      </c>
      <c r="AG915">
        <f t="shared" ca="1" si="194"/>
        <v>0</v>
      </c>
      <c r="AH915">
        <f t="shared" ca="1" si="200"/>
        <v>0</v>
      </c>
      <c r="AI915">
        <f t="shared" ca="1" si="201"/>
        <v>0</v>
      </c>
      <c r="AJ915">
        <f t="shared" ca="1" si="202"/>
        <v>0</v>
      </c>
      <c r="AK915">
        <f t="shared" ca="1" si="203"/>
        <v>0</v>
      </c>
      <c r="AL915">
        <f t="shared" ca="1" si="204"/>
        <v>0</v>
      </c>
    </row>
    <row r="916" spans="1:38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#N/A, OFFSET(data!$A$1, ROW()-1, AA$1-1))</f>
        <v>0</v>
      </c>
      <c r="AB916">
        <f t="shared" ca="1" si="195"/>
        <v>0</v>
      </c>
      <c r="AC916" t="e">
        <f t="shared" ca="1" si="196"/>
        <v>#VALUE!</v>
      </c>
      <c r="AD916" t="str">
        <f t="shared" ca="1" si="197"/>
        <v>0</v>
      </c>
      <c r="AE916" t="str">
        <f t="shared" ca="1" si="198"/>
        <v/>
      </c>
      <c r="AF916" s="6">
        <f t="shared" ca="1" si="199"/>
        <v>0</v>
      </c>
      <c r="AG916">
        <f t="shared" ca="1" si="194"/>
        <v>0</v>
      </c>
      <c r="AH916">
        <f t="shared" ca="1" si="200"/>
        <v>0</v>
      </c>
      <c r="AI916">
        <f t="shared" ca="1" si="201"/>
        <v>0</v>
      </c>
      <c r="AJ916">
        <f t="shared" ca="1" si="202"/>
        <v>0</v>
      </c>
      <c r="AK916">
        <f t="shared" ca="1" si="203"/>
        <v>0</v>
      </c>
      <c r="AL916">
        <f t="shared" ca="1" si="204"/>
        <v>0</v>
      </c>
    </row>
    <row r="917" spans="1:38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#N/A, OFFSET(data!$A$1, ROW()-1, AA$1-1))</f>
        <v>0</v>
      </c>
      <c r="AB917">
        <f t="shared" ca="1" si="195"/>
        <v>0</v>
      </c>
      <c r="AC917" t="e">
        <f t="shared" ca="1" si="196"/>
        <v>#VALUE!</v>
      </c>
      <c r="AD917" t="str">
        <f t="shared" ca="1" si="197"/>
        <v>0</v>
      </c>
      <c r="AE917" t="str">
        <f t="shared" ca="1" si="198"/>
        <v/>
      </c>
      <c r="AF917" s="6">
        <f t="shared" ca="1" si="199"/>
        <v>0</v>
      </c>
      <c r="AG917">
        <f t="shared" ca="1" si="194"/>
        <v>0</v>
      </c>
      <c r="AH917">
        <f t="shared" ca="1" si="200"/>
        <v>0</v>
      </c>
      <c r="AI917">
        <f t="shared" ca="1" si="201"/>
        <v>0</v>
      </c>
      <c r="AJ917">
        <f t="shared" ca="1" si="202"/>
        <v>0</v>
      </c>
      <c r="AK917">
        <f t="shared" ca="1" si="203"/>
        <v>0</v>
      </c>
      <c r="AL917">
        <f t="shared" ca="1" si="204"/>
        <v>0</v>
      </c>
    </row>
    <row r="918" spans="1:38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#N/A, OFFSET(data!$A$1, ROW()-1, AA$1-1))</f>
        <v>0</v>
      </c>
      <c r="AB918">
        <f t="shared" ca="1" si="195"/>
        <v>0</v>
      </c>
      <c r="AC918" t="e">
        <f t="shared" ca="1" si="196"/>
        <v>#VALUE!</v>
      </c>
      <c r="AD918" t="str">
        <f t="shared" ca="1" si="197"/>
        <v>0</v>
      </c>
      <c r="AE918" t="str">
        <f t="shared" ca="1" si="198"/>
        <v/>
      </c>
      <c r="AF918" s="6">
        <f t="shared" ca="1" si="199"/>
        <v>0</v>
      </c>
      <c r="AG918">
        <f t="shared" ca="1" si="194"/>
        <v>0</v>
      </c>
      <c r="AH918">
        <f t="shared" ca="1" si="200"/>
        <v>0</v>
      </c>
      <c r="AI918">
        <f t="shared" ca="1" si="201"/>
        <v>0</v>
      </c>
      <c r="AJ918">
        <f t="shared" ca="1" si="202"/>
        <v>0</v>
      </c>
      <c r="AK918">
        <f t="shared" ca="1" si="203"/>
        <v>0</v>
      </c>
      <c r="AL918">
        <f t="shared" ca="1" si="204"/>
        <v>0</v>
      </c>
    </row>
    <row r="919" spans="1:38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#N/A, OFFSET(data!$A$1, ROW()-1, AA$1-1))</f>
        <v>0</v>
      </c>
      <c r="AB919">
        <f t="shared" ca="1" si="195"/>
        <v>0</v>
      </c>
      <c r="AC919" t="e">
        <f t="shared" ca="1" si="196"/>
        <v>#VALUE!</v>
      </c>
      <c r="AD919" t="str">
        <f t="shared" ca="1" si="197"/>
        <v>0</v>
      </c>
      <c r="AE919" t="str">
        <f t="shared" ca="1" si="198"/>
        <v/>
      </c>
      <c r="AF919" s="6">
        <f t="shared" ca="1" si="199"/>
        <v>0</v>
      </c>
      <c r="AG919">
        <f t="shared" ca="1" si="194"/>
        <v>0</v>
      </c>
      <c r="AH919">
        <f t="shared" ca="1" si="200"/>
        <v>0</v>
      </c>
      <c r="AI919">
        <f t="shared" ca="1" si="201"/>
        <v>0</v>
      </c>
      <c r="AJ919">
        <f t="shared" ca="1" si="202"/>
        <v>0</v>
      </c>
      <c r="AK919">
        <f t="shared" ca="1" si="203"/>
        <v>0</v>
      </c>
      <c r="AL919">
        <f t="shared" ca="1" si="204"/>
        <v>0</v>
      </c>
    </row>
    <row r="920" spans="1:38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#N/A, OFFSET(data!$A$1, ROW()-1, AA$1-1))</f>
        <v>0</v>
      </c>
      <c r="AB920">
        <f t="shared" ca="1" si="195"/>
        <v>0</v>
      </c>
      <c r="AC920" t="e">
        <f t="shared" ca="1" si="196"/>
        <v>#VALUE!</v>
      </c>
      <c r="AD920" t="str">
        <f t="shared" ca="1" si="197"/>
        <v>0</v>
      </c>
      <c r="AE920" t="str">
        <f t="shared" ca="1" si="198"/>
        <v/>
      </c>
      <c r="AF920" s="6">
        <f t="shared" ca="1" si="199"/>
        <v>0</v>
      </c>
      <c r="AG920">
        <f t="shared" ca="1" si="194"/>
        <v>0</v>
      </c>
      <c r="AH920">
        <f t="shared" ca="1" si="200"/>
        <v>0</v>
      </c>
      <c r="AI920">
        <f t="shared" ca="1" si="201"/>
        <v>0</v>
      </c>
      <c r="AJ920">
        <f t="shared" ca="1" si="202"/>
        <v>0</v>
      </c>
      <c r="AK920">
        <f t="shared" ca="1" si="203"/>
        <v>0</v>
      </c>
      <c r="AL920">
        <f t="shared" ca="1" si="204"/>
        <v>0</v>
      </c>
    </row>
    <row r="921" spans="1:38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#N/A, OFFSET(data!$A$1, ROW()-1, AA$1-1))</f>
        <v>0</v>
      </c>
      <c r="AB921">
        <f t="shared" ca="1" si="195"/>
        <v>0</v>
      </c>
      <c r="AC921" t="e">
        <f t="shared" ca="1" si="196"/>
        <v>#VALUE!</v>
      </c>
      <c r="AD921" t="str">
        <f t="shared" ca="1" si="197"/>
        <v>0</v>
      </c>
      <c r="AE921" t="str">
        <f t="shared" ca="1" si="198"/>
        <v/>
      </c>
      <c r="AF921" s="6">
        <f t="shared" ca="1" si="199"/>
        <v>0</v>
      </c>
      <c r="AG921">
        <f t="shared" ca="1" si="194"/>
        <v>0</v>
      </c>
      <c r="AH921">
        <f t="shared" ca="1" si="200"/>
        <v>0</v>
      </c>
      <c r="AI921">
        <f t="shared" ca="1" si="201"/>
        <v>0</v>
      </c>
      <c r="AJ921">
        <f t="shared" ca="1" si="202"/>
        <v>0</v>
      </c>
      <c r="AK921">
        <f t="shared" ca="1" si="203"/>
        <v>0</v>
      </c>
      <c r="AL921">
        <f t="shared" ca="1" si="204"/>
        <v>0</v>
      </c>
    </row>
    <row r="922" spans="1:38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#N/A, OFFSET(data!$A$1, ROW()-1, AA$1-1))</f>
        <v>0</v>
      </c>
      <c r="AB922">
        <f t="shared" ca="1" si="195"/>
        <v>0</v>
      </c>
      <c r="AC922" t="e">
        <f t="shared" ca="1" si="196"/>
        <v>#VALUE!</v>
      </c>
      <c r="AD922" t="str">
        <f t="shared" ca="1" si="197"/>
        <v>0</v>
      </c>
      <c r="AE922" t="str">
        <f t="shared" ca="1" si="198"/>
        <v/>
      </c>
      <c r="AF922" s="6">
        <f t="shared" ca="1" si="199"/>
        <v>0</v>
      </c>
      <c r="AG922">
        <f t="shared" ca="1" si="194"/>
        <v>0</v>
      </c>
      <c r="AH922">
        <f t="shared" ca="1" si="200"/>
        <v>0</v>
      </c>
      <c r="AI922">
        <f t="shared" ca="1" si="201"/>
        <v>0</v>
      </c>
      <c r="AJ922">
        <f t="shared" ca="1" si="202"/>
        <v>0</v>
      </c>
      <c r="AK922">
        <f t="shared" ca="1" si="203"/>
        <v>0</v>
      </c>
      <c r="AL922">
        <f t="shared" ca="1" si="204"/>
        <v>0</v>
      </c>
    </row>
    <row r="923" spans="1:38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#N/A, OFFSET(data!$A$1, ROW()-1, AA$1-1))</f>
        <v>0</v>
      </c>
      <c r="AB923">
        <f t="shared" ca="1" si="195"/>
        <v>0</v>
      </c>
      <c r="AC923" t="e">
        <f t="shared" ca="1" si="196"/>
        <v>#VALUE!</v>
      </c>
      <c r="AD923" t="str">
        <f t="shared" ca="1" si="197"/>
        <v>0</v>
      </c>
      <c r="AE923" t="str">
        <f t="shared" ca="1" si="198"/>
        <v/>
      </c>
      <c r="AF923" s="6">
        <f t="shared" ca="1" si="199"/>
        <v>0</v>
      </c>
      <c r="AG923">
        <f t="shared" ca="1" si="194"/>
        <v>0</v>
      </c>
      <c r="AH923">
        <f t="shared" ca="1" si="200"/>
        <v>0</v>
      </c>
      <c r="AI923">
        <f t="shared" ca="1" si="201"/>
        <v>0</v>
      </c>
      <c r="AJ923">
        <f t="shared" ca="1" si="202"/>
        <v>0</v>
      </c>
      <c r="AK923">
        <f t="shared" ca="1" si="203"/>
        <v>0</v>
      </c>
      <c r="AL923">
        <f t="shared" ca="1" si="204"/>
        <v>0</v>
      </c>
    </row>
    <row r="924" spans="1:38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#N/A, OFFSET(data!$A$1, ROW()-1, AA$1-1))</f>
        <v>0</v>
      </c>
      <c r="AB924">
        <f t="shared" ca="1" si="195"/>
        <v>0</v>
      </c>
      <c r="AC924" t="e">
        <f t="shared" ca="1" si="196"/>
        <v>#VALUE!</v>
      </c>
      <c r="AD924" t="str">
        <f t="shared" ca="1" si="197"/>
        <v>0</v>
      </c>
      <c r="AE924" t="str">
        <f t="shared" ca="1" si="198"/>
        <v/>
      </c>
      <c r="AF924" s="6">
        <f t="shared" ca="1" si="199"/>
        <v>0</v>
      </c>
      <c r="AG924">
        <f t="shared" ca="1" si="194"/>
        <v>0</v>
      </c>
      <c r="AH924">
        <f t="shared" ca="1" si="200"/>
        <v>0</v>
      </c>
      <c r="AI924">
        <f t="shared" ca="1" si="201"/>
        <v>0</v>
      </c>
      <c r="AJ924">
        <f t="shared" ca="1" si="202"/>
        <v>0</v>
      </c>
      <c r="AK924">
        <f t="shared" ca="1" si="203"/>
        <v>0</v>
      </c>
      <c r="AL924">
        <f t="shared" ca="1" si="204"/>
        <v>0</v>
      </c>
    </row>
    <row r="925" spans="1:38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#N/A, OFFSET(data!$A$1, ROW()-1, AA$1-1))</f>
        <v>0</v>
      </c>
      <c r="AB925">
        <f t="shared" ca="1" si="195"/>
        <v>0</v>
      </c>
      <c r="AC925" t="e">
        <f t="shared" ca="1" si="196"/>
        <v>#VALUE!</v>
      </c>
      <c r="AD925" t="str">
        <f t="shared" ca="1" si="197"/>
        <v>0</v>
      </c>
      <c r="AE925" t="str">
        <f t="shared" ca="1" si="198"/>
        <v/>
      </c>
      <c r="AF925" s="6">
        <f t="shared" ca="1" si="199"/>
        <v>0</v>
      </c>
      <c r="AG925">
        <f t="shared" ca="1" si="194"/>
        <v>0</v>
      </c>
      <c r="AH925">
        <f t="shared" ca="1" si="200"/>
        <v>0</v>
      </c>
      <c r="AI925">
        <f t="shared" ca="1" si="201"/>
        <v>0</v>
      </c>
      <c r="AJ925">
        <f t="shared" ca="1" si="202"/>
        <v>0</v>
      </c>
      <c r="AK925">
        <f t="shared" ca="1" si="203"/>
        <v>0</v>
      </c>
      <c r="AL925">
        <f t="shared" ca="1" si="204"/>
        <v>0</v>
      </c>
    </row>
    <row r="926" spans="1:38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#N/A, OFFSET(data!$A$1, ROW()-1, AA$1-1))</f>
        <v>0</v>
      </c>
      <c r="AB926">
        <f t="shared" ca="1" si="195"/>
        <v>0</v>
      </c>
      <c r="AC926" t="e">
        <f t="shared" ca="1" si="196"/>
        <v>#VALUE!</v>
      </c>
      <c r="AD926" t="str">
        <f t="shared" ca="1" si="197"/>
        <v>0</v>
      </c>
      <c r="AE926" t="str">
        <f t="shared" ca="1" si="198"/>
        <v/>
      </c>
      <c r="AF926" s="6">
        <f t="shared" ca="1" si="199"/>
        <v>0</v>
      </c>
      <c r="AG926">
        <f t="shared" ca="1" si="194"/>
        <v>0</v>
      </c>
      <c r="AH926">
        <f t="shared" ca="1" si="200"/>
        <v>0</v>
      </c>
      <c r="AI926">
        <f t="shared" ca="1" si="201"/>
        <v>0</v>
      </c>
      <c r="AJ926">
        <f t="shared" ca="1" si="202"/>
        <v>0</v>
      </c>
      <c r="AK926">
        <f t="shared" ca="1" si="203"/>
        <v>0</v>
      </c>
      <c r="AL926">
        <f t="shared" ca="1" si="204"/>
        <v>0</v>
      </c>
    </row>
    <row r="927" spans="1:38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#N/A, OFFSET(data!$A$1, ROW()-1, AA$1-1))</f>
        <v>0</v>
      </c>
      <c r="AB927">
        <f t="shared" ca="1" si="195"/>
        <v>0</v>
      </c>
      <c r="AC927" t="e">
        <f t="shared" ca="1" si="196"/>
        <v>#VALUE!</v>
      </c>
      <c r="AD927" t="str">
        <f t="shared" ca="1" si="197"/>
        <v>0</v>
      </c>
      <c r="AE927" t="str">
        <f t="shared" ca="1" si="198"/>
        <v/>
      </c>
      <c r="AF927" s="6">
        <f t="shared" ca="1" si="199"/>
        <v>0</v>
      </c>
      <c r="AG927">
        <f t="shared" ca="1" si="194"/>
        <v>0</v>
      </c>
      <c r="AH927">
        <f t="shared" ca="1" si="200"/>
        <v>0</v>
      </c>
      <c r="AI927">
        <f t="shared" ca="1" si="201"/>
        <v>0</v>
      </c>
      <c r="AJ927">
        <f t="shared" ca="1" si="202"/>
        <v>0</v>
      </c>
      <c r="AK927">
        <f t="shared" ca="1" si="203"/>
        <v>0</v>
      </c>
      <c r="AL927">
        <f t="shared" ca="1" si="204"/>
        <v>0</v>
      </c>
    </row>
    <row r="928" spans="1:38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#N/A, OFFSET(data!$A$1, ROW()-1, AA$1-1))</f>
        <v>0</v>
      </c>
      <c r="AB928">
        <f t="shared" ca="1" si="195"/>
        <v>0</v>
      </c>
      <c r="AC928" t="e">
        <f t="shared" ca="1" si="196"/>
        <v>#VALUE!</v>
      </c>
      <c r="AD928" t="str">
        <f t="shared" ca="1" si="197"/>
        <v>0</v>
      </c>
      <c r="AE928" t="str">
        <f t="shared" ca="1" si="198"/>
        <v/>
      </c>
      <c r="AF928" s="6">
        <f t="shared" ca="1" si="199"/>
        <v>0</v>
      </c>
      <c r="AG928">
        <f t="shared" ca="1" si="194"/>
        <v>0</v>
      </c>
      <c r="AH928">
        <f t="shared" ca="1" si="200"/>
        <v>0</v>
      </c>
      <c r="AI928">
        <f t="shared" ca="1" si="201"/>
        <v>0</v>
      </c>
      <c r="AJ928">
        <f t="shared" ca="1" si="202"/>
        <v>0</v>
      </c>
      <c r="AK928">
        <f t="shared" ca="1" si="203"/>
        <v>0</v>
      </c>
      <c r="AL928">
        <f t="shared" ca="1" si="204"/>
        <v>0</v>
      </c>
    </row>
    <row r="929" spans="1:38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#N/A, OFFSET(data!$A$1, ROW()-1, AA$1-1))</f>
        <v>0</v>
      </c>
      <c r="AB929">
        <f t="shared" ca="1" si="195"/>
        <v>0</v>
      </c>
      <c r="AC929" t="e">
        <f t="shared" ca="1" si="196"/>
        <v>#VALUE!</v>
      </c>
      <c r="AD929" t="str">
        <f t="shared" ca="1" si="197"/>
        <v>0</v>
      </c>
      <c r="AE929" t="str">
        <f t="shared" ca="1" si="198"/>
        <v/>
      </c>
      <c r="AF929" s="6">
        <f t="shared" ca="1" si="199"/>
        <v>0</v>
      </c>
      <c r="AG929">
        <f t="shared" ca="1" si="194"/>
        <v>0</v>
      </c>
      <c r="AH929">
        <f t="shared" ca="1" si="200"/>
        <v>0</v>
      </c>
      <c r="AI929">
        <f t="shared" ca="1" si="201"/>
        <v>0</v>
      </c>
      <c r="AJ929">
        <f t="shared" ca="1" si="202"/>
        <v>0</v>
      </c>
      <c r="AK929">
        <f t="shared" ca="1" si="203"/>
        <v>0</v>
      </c>
      <c r="AL929">
        <f t="shared" ca="1" si="204"/>
        <v>0</v>
      </c>
    </row>
    <row r="930" spans="1:38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#N/A, OFFSET(data!$A$1, ROW()-1, AA$1-1))</f>
        <v>0</v>
      </c>
      <c r="AB930">
        <f t="shared" ca="1" si="195"/>
        <v>0</v>
      </c>
      <c r="AC930" t="e">
        <f t="shared" ca="1" si="196"/>
        <v>#VALUE!</v>
      </c>
      <c r="AD930" t="str">
        <f t="shared" ca="1" si="197"/>
        <v>0</v>
      </c>
      <c r="AE930" t="str">
        <f t="shared" ca="1" si="198"/>
        <v/>
      </c>
      <c r="AF930" s="6">
        <f t="shared" ca="1" si="199"/>
        <v>0</v>
      </c>
      <c r="AG930">
        <f t="shared" ca="1" si="194"/>
        <v>0</v>
      </c>
      <c r="AH930">
        <f t="shared" ca="1" si="200"/>
        <v>0</v>
      </c>
      <c r="AI930">
        <f t="shared" ca="1" si="201"/>
        <v>0</v>
      </c>
      <c r="AJ930">
        <f t="shared" ca="1" si="202"/>
        <v>0</v>
      </c>
      <c r="AK930">
        <f t="shared" ca="1" si="203"/>
        <v>0</v>
      </c>
      <c r="AL930">
        <f t="shared" ca="1" si="204"/>
        <v>0</v>
      </c>
    </row>
    <row r="931" spans="1:38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#N/A, OFFSET(data!$A$1, ROW()-1, AA$1-1))</f>
        <v>0</v>
      </c>
      <c r="AB931">
        <f t="shared" ca="1" si="195"/>
        <v>0</v>
      </c>
      <c r="AC931" t="e">
        <f t="shared" ca="1" si="196"/>
        <v>#VALUE!</v>
      </c>
      <c r="AD931" t="str">
        <f t="shared" ca="1" si="197"/>
        <v>0</v>
      </c>
      <c r="AE931" t="str">
        <f t="shared" ca="1" si="198"/>
        <v/>
      </c>
      <c r="AF931" s="6">
        <f t="shared" ca="1" si="199"/>
        <v>0</v>
      </c>
      <c r="AG931">
        <f t="shared" ca="1" si="194"/>
        <v>0</v>
      </c>
      <c r="AH931">
        <f t="shared" ca="1" si="200"/>
        <v>0</v>
      </c>
      <c r="AI931">
        <f t="shared" ca="1" si="201"/>
        <v>0</v>
      </c>
      <c r="AJ931">
        <f t="shared" ca="1" si="202"/>
        <v>0</v>
      </c>
      <c r="AK931">
        <f t="shared" ca="1" si="203"/>
        <v>0</v>
      </c>
      <c r="AL931">
        <f t="shared" ca="1" si="204"/>
        <v>0</v>
      </c>
    </row>
    <row r="932" spans="1:38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#N/A, OFFSET(data!$A$1, ROW()-1, AA$1-1))</f>
        <v>0</v>
      </c>
      <c r="AB932">
        <f t="shared" ca="1" si="195"/>
        <v>0</v>
      </c>
      <c r="AC932" t="e">
        <f t="shared" ca="1" si="196"/>
        <v>#VALUE!</v>
      </c>
      <c r="AD932" t="str">
        <f t="shared" ca="1" si="197"/>
        <v>0</v>
      </c>
      <c r="AE932" t="str">
        <f t="shared" ca="1" si="198"/>
        <v/>
      </c>
      <c r="AF932" s="6">
        <f t="shared" ca="1" si="199"/>
        <v>0</v>
      </c>
      <c r="AG932">
        <f t="shared" ca="1" si="194"/>
        <v>0</v>
      </c>
      <c r="AH932">
        <f t="shared" ca="1" si="200"/>
        <v>0</v>
      </c>
      <c r="AI932">
        <f t="shared" ca="1" si="201"/>
        <v>0</v>
      </c>
      <c r="AJ932">
        <f t="shared" ca="1" si="202"/>
        <v>0</v>
      </c>
      <c r="AK932">
        <f t="shared" ca="1" si="203"/>
        <v>0</v>
      </c>
      <c r="AL932">
        <f t="shared" ca="1" si="204"/>
        <v>0</v>
      </c>
    </row>
    <row r="933" spans="1:38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#N/A, OFFSET(data!$A$1, ROW()-1, AA$1-1))</f>
        <v>0</v>
      </c>
      <c r="AB933">
        <f t="shared" ca="1" si="195"/>
        <v>0</v>
      </c>
      <c r="AC933" t="e">
        <f t="shared" ca="1" si="196"/>
        <v>#VALUE!</v>
      </c>
      <c r="AD933" t="str">
        <f t="shared" ca="1" si="197"/>
        <v>0</v>
      </c>
      <c r="AE933" t="str">
        <f t="shared" ca="1" si="198"/>
        <v/>
      </c>
      <c r="AF933" s="6">
        <f t="shared" ca="1" si="199"/>
        <v>0</v>
      </c>
      <c r="AG933">
        <f t="shared" ca="1" si="194"/>
        <v>0</v>
      </c>
      <c r="AH933">
        <f t="shared" ca="1" si="200"/>
        <v>0</v>
      </c>
      <c r="AI933">
        <f t="shared" ca="1" si="201"/>
        <v>0</v>
      </c>
      <c r="AJ933">
        <f t="shared" ca="1" si="202"/>
        <v>0</v>
      </c>
      <c r="AK933">
        <f t="shared" ca="1" si="203"/>
        <v>0</v>
      </c>
      <c r="AL933">
        <f t="shared" ca="1" si="204"/>
        <v>0</v>
      </c>
    </row>
    <row r="934" spans="1:38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#N/A, OFFSET(data!$A$1, ROW()-1, AA$1-1))</f>
        <v>0</v>
      </c>
      <c r="AB934">
        <f t="shared" ca="1" si="195"/>
        <v>0</v>
      </c>
      <c r="AC934" t="e">
        <f t="shared" ca="1" si="196"/>
        <v>#VALUE!</v>
      </c>
      <c r="AD934" t="str">
        <f t="shared" ca="1" si="197"/>
        <v>0</v>
      </c>
      <c r="AE934" t="str">
        <f t="shared" ca="1" si="198"/>
        <v/>
      </c>
      <c r="AF934" s="6">
        <f t="shared" ca="1" si="199"/>
        <v>0</v>
      </c>
      <c r="AG934">
        <f t="shared" ca="1" si="194"/>
        <v>0</v>
      </c>
      <c r="AH934">
        <f t="shared" ca="1" si="200"/>
        <v>0</v>
      </c>
      <c r="AI934">
        <f t="shared" ca="1" si="201"/>
        <v>0</v>
      </c>
      <c r="AJ934">
        <f t="shared" ca="1" si="202"/>
        <v>0</v>
      </c>
      <c r="AK934">
        <f t="shared" ca="1" si="203"/>
        <v>0</v>
      </c>
      <c r="AL934">
        <f t="shared" ca="1" si="204"/>
        <v>0</v>
      </c>
    </row>
    <row r="935" spans="1:38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#N/A, OFFSET(data!$A$1, ROW()-1, AA$1-1))</f>
        <v>0</v>
      </c>
      <c r="AB935">
        <f t="shared" ca="1" si="195"/>
        <v>0</v>
      </c>
      <c r="AC935" t="e">
        <f t="shared" ca="1" si="196"/>
        <v>#VALUE!</v>
      </c>
      <c r="AD935" t="str">
        <f t="shared" ca="1" si="197"/>
        <v>0</v>
      </c>
      <c r="AE935" t="str">
        <f t="shared" ca="1" si="198"/>
        <v/>
      </c>
      <c r="AF935" s="6">
        <f t="shared" ca="1" si="199"/>
        <v>0</v>
      </c>
      <c r="AG935">
        <f t="shared" ca="1" si="194"/>
        <v>0</v>
      </c>
      <c r="AH935">
        <f t="shared" ca="1" si="200"/>
        <v>0</v>
      </c>
      <c r="AI935">
        <f t="shared" ca="1" si="201"/>
        <v>0</v>
      </c>
      <c r="AJ935">
        <f t="shared" ca="1" si="202"/>
        <v>0</v>
      </c>
      <c r="AK935">
        <f t="shared" ca="1" si="203"/>
        <v>0</v>
      </c>
      <c r="AL935">
        <f t="shared" ca="1" si="204"/>
        <v>0</v>
      </c>
    </row>
    <row r="936" spans="1:38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#N/A, OFFSET(data!$A$1, ROW()-1, AA$1-1))</f>
        <v>0</v>
      </c>
      <c r="AB936">
        <f t="shared" ca="1" si="195"/>
        <v>0</v>
      </c>
      <c r="AC936" t="e">
        <f t="shared" ca="1" si="196"/>
        <v>#VALUE!</v>
      </c>
      <c r="AD936" t="str">
        <f t="shared" ca="1" si="197"/>
        <v>0</v>
      </c>
      <c r="AE936" t="str">
        <f t="shared" ca="1" si="198"/>
        <v/>
      </c>
      <c r="AF936" s="6">
        <f t="shared" ca="1" si="199"/>
        <v>0</v>
      </c>
      <c r="AG936">
        <f t="shared" ca="1" si="194"/>
        <v>0</v>
      </c>
      <c r="AH936">
        <f t="shared" ca="1" si="200"/>
        <v>0</v>
      </c>
      <c r="AI936">
        <f t="shared" ca="1" si="201"/>
        <v>0</v>
      </c>
      <c r="AJ936">
        <f t="shared" ca="1" si="202"/>
        <v>0</v>
      </c>
      <c r="AK936">
        <f t="shared" ca="1" si="203"/>
        <v>0</v>
      </c>
      <c r="AL936">
        <f t="shared" ca="1" si="204"/>
        <v>0</v>
      </c>
    </row>
    <row r="937" spans="1:38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#N/A, OFFSET(data!$A$1, ROW()-1, AA$1-1))</f>
        <v>0</v>
      </c>
      <c r="AB937">
        <f t="shared" ca="1" si="195"/>
        <v>0</v>
      </c>
      <c r="AC937" t="e">
        <f t="shared" ca="1" si="196"/>
        <v>#VALUE!</v>
      </c>
      <c r="AD937" t="str">
        <f t="shared" ca="1" si="197"/>
        <v>0</v>
      </c>
      <c r="AE937" t="str">
        <f t="shared" ca="1" si="198"/>
        <v/>
      </c>
      <c r="AF937" s="6">
        <f t="shared" ca="1" si="199"/>
        <v>0</v>
      </c>
      <c r="AG937">
        <f t="shared" ca="1" si="194"/>
        <v>0</v>
      </c>
      <c r="AH937">
        <f t="shared" ca="1" si="200"/>
        <v>0</v>
      </c>
      <c r="AI937">
        <f t="shared" ca="1" si="201"/>
        <v>0</v>
      </c>
      <c r="AJ937">
        <f t="shared" ca="1" si="202"/>
        <v>0</v>
      </c>
      <c r="AK937">
        <f t="shared" ca="1" si="203"/>
        <v>0</v>
      </c>
      <c r="AL937">
        <f t="shared" ca="1" si="204"/>
        <v>0</v>
      </c>
    </row>
    <row r="938" spans="1:38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#N/A, OFFSET(data!$A$1, ROW()-1, AA$1-1))</f>
        <v>0</v>
      </c>
      <c r="AB938">
        <f t="shared" ca="1" si="195"/>
        <v>0</v>
      </c>
      <c r="AC938" t="e">
        <f t="shared" ca="1" si="196"/>
        <v>#VALUE!</v>
      </c>
      <c r="AD938" t="str">
        <f t="shared" ca="1" si="197"/>
        <v>0</v>
      </c>
      <c r="AE938" t="str">
        <f t="shared" ca="1" si="198"/>
        <v/>
      </c>
      <c r="AF938" s="6">
        <f t="shared" ca="1" si="199"/>
        <v>0</v>
      </c>
      <c r="AG938">
        <f t="shared" ca="1" si="194"/>
        <v>0</v>
      </c>
      <c r="AH938">
        <f t="shared" ca="1" si="200"/>
        <v>0</v>
      </c>
      <c r="AI938">
        <f t="shared" ca="1" si="201"/>
        <v>0</v>
      </c>
      <c r="AJ938">
        <f t="shared" ca="1" si="202"/>
        <v>0</v>
      </c>
      <c r="AK938">
        <f t="shared" ca="1" si="203"/>
        <v>0</v>
      </c>
      <c r="AL938">
        <f t="shared" ca="1" si="204"/>
        <v>0</v>
      </c>
    </row>
    <row r="939" spans="1:38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#N/A, OFFSET(data!$A$1, ROW()-1, AA$1-1))</f>
        <v>0</v>
      </c>
      <c r="AB939">
        <f t="shared" ca="1" si="195"/>
        <v>0</v>
      </c>
      <c r="AC939" t="e">
        <f t="shared" ca="1" si="196"/>
        <v>#VALUE!</v>
      </c>
      <c r="AD939" t="str">
        <f t="shared" ca="1" si="197"/>
        <v>0</v>
      </c>
      <c r="AE939" t="str">
        <f t="shared" ca="1" si="198"/>
        <v/>
      </c>
      <c r="AF939" s="6">
        <f t="shared" ca="1" si="199"/>
        <v>0</v>
      </c>
      <c r="AG939">
        <f t="shared" ca="1" si="194"/>
        <v>0</v>
      </c>
      <c r="AH939">
        <f t="shared" ca="1" si="200"/>
        <v>0</v>
      </c>
      <c r="AI939">
        <f t="shared" ca="1" si="201"/>
        <v>0</v>
      </c>
      <c r="AJ939">
        <f t="shared" ca="1" si="202"/>
        <v>0</v>
      </c>
      <c r="AK939">
        <f t="shared" ca="1" si="203"/>
        <v>0</v>
      </c>
      <c r="AL939">
        <f t="shared" ca="1" si="204"/>
        <v>0</v>
      </c>
    </row>
    <row r="940" spans="1:38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#N/A, OFFSET(data!$A$1, ROW()-1, AA$1-1))</f>
        <v>0</v>
      </c>
      <c r="AB940">
        <f t="shared" ca="1" si="195"/>
        <v>0</v>
      </c>
      <c r="AC940" t="e">
        <f t="shared" ca="1" si="196"/>
        <v>#VALUE!</v>
      </c>
      <c r="AD940" t="str">
        <f t="shared" ca="1" si="197"/>
        <v>0</v>
      </c>
      <c r="AE940" t="str">
        <f t="shared" ca="1" si="198"/>
        <v/>
      </c>
      <c r="AF940" s="6">
        <f t="shared" ca="1" si="199"/>
        <v>0</v>
      </c>
      <c r="AG940">
        <f t="shared" ca="1" si="194"/>
        <v>0</v>
      </c>
      <c r="AH940">
        <f t="shared" ca="1" si="200"/>
        <v>0</v>
      </c>
      <c r="AI940">
        <f t="shared" ca="1" si="201"/>
        <v>0</v>
      </c>
      <c r="AJ940">
        <f t="shared" ca="1" si="202"/>
        <v>0</v>
      </c>
      <c r="AK940">
        <f t="shared" ca="1" si="203"/>
        <v>0</v>
      </c>
      <c r="AL940">
        <f t="shared" ca="1" si="204"/>
        <v>0</v>
      </c>
    </row>
    <row r="941" spans="1:38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#N/A, OFFSET(data!$A$1, ROW()-1, AA$1-1))</f>
        <v>0</v>
      </c>
      <c r="AB941">
        <f t="shared" ca="1" si="195"/>
        <v>0</v>
      </c>
      <c r="AC941" t="e">
        <f t="shared" ca="1" si="196"/>
        <v>#VALUE!</v>
      </c>
      <c r="AD941" t="str">
        <f t="shared" ca="1" si="197"/>
        <v>0</v>
      </c>
      <c r="AE941" t="str">
        <f t="shared" ca="1" si="198"/>
        <v/>
      </c>
      <c r="AF941" s="6">
        <f t="shared" ca="1" si="199"/>
        <v>0</v>
      </c>
      <c r="AG941">
        <f t="shared" ca="1" si="194"/>
        <v>0</v>
      </c>
      <c r="AH941">
        <f t="shared" ca="1" si="200"/>
        <v>0</v>
      </c>
      <c r="AI941">
        <f t="shared" ca="1" si="201"/>
        <v>0</v>
      </c>
      <c r="AJ941">
        <f t="shared" ca="1" si="202"/>
        <v>0</v>
      </c>
      <c r="AK941">
        <f t="shared" ca="1" si="203"/>
        <v>0</v>
      </c>
      <c r="AL941">
        <f t="shared" ca="1" si="204"/>
        <v>0</v>
      </c>
    </row>
    <row r="942" spans="1:38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#N/A, OFFSET(data!$A$1, ROW()-1, AA$1-1))</f>
        <v>0</v>
      </c>
      <c r="AB942">
        <f t="shared" ca="1" si="195"/>
        <v>0</v>
      </c>
      <c r="AC942" t="e">
        <f t="shared" ca="1" si="196"/>
        <v>#VALUE!</v>
      </c>
      <c r="AD942" t="str">
        <f t="shared" ca="1" si="197"/>
        <v>0</v>
      </c>
      <c r="AE942" t="str">
        <f t="shared" ca="1" si="198"/>
        <v/>
      </c>
      <c r="AF942" s="6">
        <f t="shared" ca="1" si="199"/>
        <v>0</v>
      </c>
      <c r="AG942">
        <f t="shared" ca="1" si="194"/>
        <v>0</v>
      </c>
      <c r="AH942">
        <f t="shared" ca="1" si="200"/>
        <v>0</v>
      </c>
      <c r="AI942">
        <f t="shared" ca="1" si="201"/>
        <v>0</v>
      </c>
      <c r="AJ942">
        <f t="shared" ca="1" si="202"/>
        <v>0</v>
      </c>
      <c r="AK942">
        <f t="shared" ca="1" si="203"/>
        <v>0</v>
      </c>
      <c r="AL942">
        <f t="shared" ca="1" si="204"/>
        <v>0</v>
      </c>
    </row>
    <row r="943" spans="1:38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#N/A, OFFSET(data!$A$1, ROW()-1, AA$1-1))</f>
        <v>0</v>
      </c>
      <c r="AB943">
        <f t="shared" ca="1" si="195"/>
        <v>0</v>
      </c>
      <c r="AC943" t="e">
        <f t="shared" ca="1" si="196"/>
        <v>#VALUE!</v>
      </c>
      <c r="AD943" t="str">
        <f t="shared" ca="1" si="197"/>
        <v>0</v>
      </c>
      <c r="AE943" t="str">
        <f t="shared" ca="1" si="198"/>
        <v/>
      </c>
      <c r="AF943" s="6">
        <f t="shared" ca="1" si="199"/>
        <v>0</v>
      </c>
      <c r="AG943">
        <f t="shared" ca="1" si="194"/>
        <v>0</v>
      </c>
      <c r="AH943">
        <f t="shared" ca="1" si="200"/>
        <v>0</v>
      </c>
      <c r="AI943">
        <f t="shared" ca="1" si="201"/>
        <v>0</v>
      </c>
      <c r="AJ943">
        <f t="shared" ca="1" si="202"/>
        <v>0</v>
      </c>
      <c r="AK943">
        <f t="shared" ca="1" si="203"/>
        <v>0</v>
      </c>
      <c r="AL943">
        <f t="shared" ca="1" si="204"/>
        <v>0</v>
      </c>
    </row>
    <row r="944" spans="1:38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#N/A, OFFSET(data!$A$1, ROW()-1, AA$1-1))</f>
        <v>0</v>
      </c>
      <c r="AB944">
        <f t="shared" ca="1" si="195"/>
        <v>0</v>
      </c>
      <c r="AC944" t="e">
        <f t="shared" ca="1" si="196"/>
        <v>#VALUE!</v>
      </c>
      <c r="AD944" t="str">
        <f t="shared" ca="1" si="197"/>
        <v>0</v>
      </c>
      <c r="AE944" t="str">
        <f t="shared" ca="1" si="198"/>
        <v/>
      </c>
      <c r="AF944" s="6">
        <f t="shared" ca="1" si="199"/>
        <v>0</v>
      </c>
      <c r="AG944">
        <f t="shared" ca="1" si="194"/>
        <v>0</v>
      </c>
      <c r="AH944">
        <f t="shared" ca="1" si="200"/>
        <v>0</v>
      </c>
      <c r="AI944">
        <f t="shared" ca="1" si="201"/>
        <v>0</v>
      </c>
      <c r="AJ944">
        <f t="shared" ca="1" si="202"/>
        <v>0</v>
      </c>
      <c r="AK944">
        <f t="shared" ca="1" si="203"/>
        <v>0</v>
      </c>
      <c r="AL944">
        <f t="shared" ca="1" si="204"/>
        <v>0</v>
      </c>
    </row>
    <row r="945" spans="1:38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#N/A, OFFSET(data!$A$1, ROW()-1, AA$1-1))</f>
        <v>0</v>
      </c>
      <c r="AB945">
        <f t="shared" ca="1" si="195"/>
        <v>0</v>
      </c>
      <c r="AC945" t="e">
        <f t="shared" ca="1" si="196"/>
        <v>#VALUE!</v>
      </c>
      <c r="AD945" t="str">
        <f t="shared" ca="1" si="197"/>
        <v>0</v>
      </c>
      <c r="AE945" t="str">
        <f t="shared" ca="1" si="198"/>
        <v/>
      </c>
      <c r="AF945" s="6">
        <f t="shared" ca="1" si="199"/>
        <v>0</v>
      </c>
      <c r="AG945">
        <f t="shared" ca="1" si="194"/>
        <v>0</v>
      </c>
      <c r="AH945">
        <f t="shared" ca="1" si="200"/>
        <v>0</v>
      </c>
      <c r="AI945">
        <f t="shared" ca="1" si="201"/>
        <v>0</v>
      </c>
      <c r="AJ945">
        <f t="shared" ca="1" si="202"/>
        <v>0</v>
      </c>
      <c r="AK945">
        <f t="shared" ca="1" si="203"/>
        <v>0</v>
      </c>
      <c r="AL945">
        <f t="shared" ca="1" si="204"/>
        <v>0</v>
      </c>
    </row>
    <row r="946" spans="1:38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#N/A, OFFSET(data!$A$1, ROW()-1, AA$1-1))</f>
        <v>0</v>
      </c>
      <c r="AB946">
        <f t="shared" ca="1" si="195"/>
        <v>0</v>
      </c>
      <c r="AC946" t="e">
        <f t="shared" ca="1" si="196"/>
        <v>#VALUE!</v>
      </c>
      <c r="AD946" t="str">
        <f t="shared" ca="1" si="197"/>
        <v>0</v>
      </c>
      <c r="AE946" t="str">
        <f t="shared" ca="1" si="198"/>
        <v/>
      </c>
      <c r="AF946" s="6">
        <f t="shared" ca="1" si="199"/>
        <v>0</v>
      </c>
      <c r="AG946">
        <f t="shared" ca="1" si="194"/>
        <v>0</v>
      </c>
      <c r="AH946">
        <f t="shared" ca="1" si="200"/>
        <v>0</v>
      </c>
      <c r="AI946">
        <f t="shared" ca="1" si="201"/>
        <v>0</v>
      </c>
      <c r="AJ946">
        <f t="shared" ca="1" si="202"/>
        <v>0</v>
      </c>
      <c r="AK946">
        <f t="shared" ca="1" si="203"/>
        <v>0</v>
      </c>
      <c r="AL946">
        <f t="shared" ca="1" si="204"/>
        <v>0</v>
      </c>
    </row>
    <row r="947" spans="1:38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#N/A, OFFSET(data!$A$1, ROW()-1, AA$1-1))</f>
        <v>0</v>
      </c>
      <c r="AB947">
        <f t="shared" ca="1" si="195"/>
        <v>0</v>
      </c>
      <c r="AC947" t="e">
        <f t="shared" ca="1" si="196"/>
        <v>#VALUE!</v>
      </c>
      <c r="AD947" t="str">
        <f t="shared" ca="1" si="197"/>
        <v>0</v>
      </c>
      <c r="AE947" t="str">
        <f t="shared" ca="1" si="198"/>
        <v/>
      </c>
      <c r="AF947" s="6">
        <f t="shared" ca="1" si="199"/>
        <v>0</v>
      </c>
      <c r="AG947">
        <f t="shared" ca="1" si="194"/>
        <v>0</v>
      </c>
      <c r="AH947">
        <f t="shared" ca="1" si="200"/>
        <v>0</v>
      </c>
      <c r="AI947">
        <f t="shared" ca="1" si="201"/>
        <v>0</v>
      </c>
      <c r="AJ947">
        <f t="shared" ca="1" si="202"/>
        <v>0</v>
      </c>
      <c r="AK947">
        <f t="shared" ca="1" si="203"/>
        <v>0</v>
      </c>
      <c r="AL947">
        <f t="shared" ca="1" si="204"/>
        <v>0</v>
      </c>
    </row>
    <row r="948" spans="1:38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#N/A, OFFSET(data!$A$1, ROW()-1, AA$1-1))</f>
        <v>0</v>
      </c>
      <c r="AB948">
        <f t="shared" ca="1" si="195"/>
        <v>0</v>
      </c>
      <c r="AC948" t="e">
        <f t="shared" ca="1" si="196"/>
        <v>#VALUE!</v>
      </c>
      <c r="AD948" t="str">
        <f t="shared" ca="1" si="197"/>
        <v>0</v>
      </c>
      <c r="AE948" t="str">
        <f t="shared" ca="1" si="198"/>
        <v/>
      </c>
      <c r="AF948" s="6">
        <f t="shared" ca="1" si="199"/>
        <v>0</v>
      </c>
      <c r="AG948">
        <f t="shared" ref="AG948:AG1011" ca="1" si="205">T948+W948</f>
        <v>0</v>
      </c>
      <c r="AH948">
        <f t="shared" ca="1" si="200"/>
        <v>0</v>
      </c>
      <c r="AI948">
        <f t="shared" ca="1" si="201"/>
        <v>0</v>
      </c>
      <c r="AJ948">
        <f t="shared" ca="1" si="202"/>
        <v>0</v>
      </c>
      <c r="AK948">
        <f t="shared" ca="1" si="203"/>
        <v>0</v>
      </c>
      <c r="AL948">
        <f t="shared" ca="1" si="204"/>
        <v>0</v>
      </c>
    </row>
    <row r="949" spans="1:38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#N/A, OFFSET(data!$A$1, ROW()-1, AA$1-1))</f>
        <v>0</v>
      </c>
      <c r="AB949">
        <f t="shared" ca="1" si="195"/>
        <v>0</v>
      </c>
      <c r="AC949" t="e">
        <f t="shared" ca="1" si="196"/>
        <v>#VALUE!</v>
      </c>
      <c r="AD949" t="str">
        <f t="shared" ca="1" si="197"/>
        <v>0</v>
      </c>
      <c r="AE949" t="str">
        <f t="shared" ca="1" si="198"/>
        <v/>
      </c>
      <c r="AF949" s="6">
        <f t="shared" ca="1" si="199"/>
        <v>0</v>
      </c>
      <c r="AG949">
        <f t="shared" ca="1" si="205"/>
        <v>0</v>
      </c>
      <c r="AH949">
        <f t="shared" ca="1" si="200"/>
        <v>0</v>
      </c>
      <c r="AI949">
        <f t="shared" ca="1" si="201"/>
        <v>0</v>
      </c>
      <c r="AJ949">
        <f t="shared" ca="1" si="202"/>
        <v>0</v>
      </c>
      <c r="AK949">
        <f t="shared" ca="1" si="203"/>
        <v>0</v>
      </c>
      <c r="AL949">
        <f t="shared" ca="1" si="204"/>
        <v>0</v>
      </c>
    </row>
    <row r="950" spans="1:38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#N/A, OFFSET(data!$A$1, ROW()-1, AA$1-1))</f>
        <v>0</v>
      </c>
      <c r="AB950">
        <f t="shared" ca="1" si="195"/>
        <v>0</v>
      </c>
      <c r="AC950" t="e">
        <f t="shared" ca="1" si="196"/>
        <v>#VALUE!</v>
      </c>
      <c r="AD950" t="str">
        <f t="shared" ca="1" si="197"/>
        <v>0</v>
      </c>
      <c r="AE950" t="str">
        <f t="shared" ca="1" si="198"/>
        <v/>
      </c>
      <c r="AF950" s="6">
        <f t="shared" ca="1" si="199"/>
        <v>0</v>
      </c>
      <c r="AG950">
        <f t="shared" ca="1" si="205"/>
        <v>0</v>
      </c>
      <c r="AH950">
        <f t="shared" ca="1" si="200"/>
        <v>0</v>
      </c>
      <c r="AI950">
        <f t="shared" ca="1" si="201"/>
        <v>0</v>
      </c>
      <c r="AJ950">
        <f t="shared" ca="1" si="202"/>
        <v>0</v>
      </c>
      <c r="AK950">
        <f t="shared" ca="1" si="203"/>
        <v>0</v>
      </c>
      <c r="AL950">
        <f t="shared" ca="1" si="204"/>
        <v>0</v>
      </c>
    </row>
    <row r="951" spans="1:38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#N/A, OFFSET(data!$A$1, ROW()-1, AA$1-1))</f>
        <v>0</v>
      </c>
      <c r="AB951">
        <f t="shared" ca="1" si="195"/>
        <v>0</v>
      </c>
      <c r="AC951" t="e">
        <f t="shared" ca="1" si="196"/>
        <v>#VALUE!</v>
      </c>
      <c r="AD951" t="str">
        <f t="shared" ca="1" si="197"/>
        <v>0</v>
      </c>
      <c r="AE951" t="str">
        <f t="shared" ca="1" si="198"/>
        <v/>
      </c>
      <c r="AF951" s="6">
        <f t="shared" ca="1" si="199"/>
        <v>0</v>
      </c>
      <c r="AG951">
        <f t="shared" ca="1" si="205"/>
        <v>0</v>
      </c>
      <c r="AH951">
        <f t="shared" ca="1" si="200"/>
        <v>0</v>
      </c>
      <c r="AI951">
        <f t="shared" ca="1" si="201"/>
        <v>0</v>
      </c>
      <c r="AJ951">
        <f t="shared" ca="1" si="202"/>
        <v>0</v>
      </c>
      <c r="AK951">
        <f t="shared" ca="1" si="203"/>
        <v>0</v>
      </c>
      <c r="AL951">
        <f t="shared" ca="1" si="204"/>
        <v>0</v>
      </c>
    </row>
    <row r="952" spans="1:38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#N/A, OFFSET(data!$A$1, ROW()-1, AA$1-1))</f>
        <v>0</v>
      </c>
      <c r="AB952">
        <f t="shared" ca="1" si="195"/>
        <v>0</v>
      </c>
      <c r="AC952" t="e">
        <f t="shared" ca="1" si="196"/>
        <v>#VALUE!</v>
      </c>
      <c r="AD952" t="str">
        <f t="shared" ca="1" si="197"/>
        <v>0</v>
      </c>
      <c r="AE952" t="str">
        <f t="shared" ca="1" si="198"/>
        <v/>
      </c>
      <c r="AF952" s="6">
        <f t="shared" ca="1" si="199"/>
        <v>0</v>
      </c>
      <c r="AG952">
        <f t="shared" ca="1" si="205"/>
        <v>0</v>
      </c>
      <c r="AH952">
        <f t="shared" ca="1" si="200"/>
        <v>0</v>
      </c>
      <c r="AI952">
        <f t="shared" ca="1" si="201"/>
        <v>0</v>
      </c>
      <c r="AJ952">
        <f t="shared" ca="1" si="202"/>
        <v>0</v>
      </c>
      <c r="AK952">
        <f t="shared" ca="1" si="203"/>
        <v>0</v>
      </c>
      <c r="AL952">
        <f t="shared" ca="1" si="204"/>
        <v>0</v>
      </c>
    </row>
    <row r="953" spans="1:38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#N/A, OFFSET(data!$A$1, ROW()-1, AA$1-1))</f>
        <v>0</v>
      </c>
      <c r="AB953">
        <f t="shared" ca="1" si="195"/>
        <v>0</v>
      </c>
      <c r="AC953" t="e">
        <f t="shared" ca="1" si="196"/>
        <v>#VALUE!</v>
      </c>
      <c r="AD953" t="str">
        <f t="shared" ca="1" si="197"/>
        <v>0</v>
      </c>
      <c r="AE953" t="str">
        <f t="shared" ca="1" si="198"/>
        <v/>
      </c>
      <c r="AF953" s="6">
        <f t="shared" ca="1" si="199"/>
        <v>0</v>
      </c>
      <c r="AG953">
        <f t="shared" ca="1" si="205"/>
        <v>0</v>
      </c>
      <c r="AH953">
        <f t="shared" ca="1" si="200"/>
        <v>0</v>
      </c>
      <c r="AI953">
        <f t="shared" ca="1" si="201"/>
        <v>0</v>
      </c>
      <c r="AJ953">
        <f t="shared" ca="1" si="202"/>
        <v>0</v>
      </c>
      <c r="AK953">
        <f t="shared" ca="1" si="203"/>
        <v>0</v>
      </c>
      <c r="AL953">
        <f t="shared" ca="1" si="204"/>
        <v>0</v>
      </c>
    </row>
    <row r="954" spans="1:38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#N/A, OFFSET(data!$A$1, ROW()-1, AA$1-1))</f>
        <v>0</v>
      </c>
      <c r="AB954">
        <f t="shared" ca="1" si="195"/>
        <v>0</v>
      </c>
      <c r="AC954" t="e">
        <f t="shared" ca="1" si="196"/>
        <v>#VALUE!</v>
      </c>
      <c r="AD954" t="str">
        <f t="shared" ca="1" si="197"/>
        <v>0</v>
      </c>
      <c r="AE954" t="str">
        <f t="shared" ca="1" si="198"/>
        <v/>
      </c>
      <c r="AF954" s="6">
        <f t="shared" ca="1" si="199"/>
        <v>0</v>
      </c>
      <c r="AG954">
        <f t="shared" ca="1" si="205"/>
        <v>0</v>
      </c>
      <c r="AH954">
        <f t="shared" ca="1" si="200"/>
        <v>0</v>
      </c>
      <c r="AI954">
        <f t="shared" ca="1" si="201"/>
        <v>0</v>
      </c>
      <c r="AJ954">
        <f t="shared" ca="1" si="202"/>
        <v>0</v>
      </c>
      <c r="AK954">
        <f t="shared" ca="1" si="203"/>
        <v>0</v>
      </c>
      <c r="AL954">
        <f t="shared" ca="1" si="204"/>
        <v>0</v>
      </c>
    </row>
    <row r="955" spans="1:38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#N/A, OFFSET(data!$A$1, ROW()-1, AA$1-1))</f>
        <v>0</v>
      </c>
      <c r="AB955">
        <f t="shared" ca="1" si="195"/>
        <v>0</v>
      </c>
      <c r="AC955" t="e">
        <f t="shared" ca="1" si="196"/>
        <v>#VALUE!</v>
      </c>
      <c r="AD955" t="str">
        <f t="shared" ca="1" si="197"/>
        <v>0</v>
      </c>
      <c r="AE955" t="str">
        <f t="shared" ca="1" si="198"/>
        <v/>
      </c>
      <c r="AF955" s="6">
        <f t="shared" ca="1" si="199"/>
        <v>0</v>
      </c>
      <c r="AG955">
        <f t="shared" ca="1" si="205"/>
        <v>0</v>
      </c>
      <c r="AH955">
        <f t="shared" ca="1" si="200"/>
        <v>0</v>
      </c>
      <c r="AI955">
        <f t="shared" ca="1" si="201"/>
        <v>0</v>
      </c>
      <c r="AJ955">
        <f t="shared" ca="1" si="202"/>
        <v>0</v>
      </c>
      <c r="AK955">
        <f t="shared" ca="1" si="203"/>
        <v>0</v>
      </c>
      <c r="AL955">
        <f t="shared" ca="1" si="204"/>
        <v>0</v>
      </c>
    </row>
    <row r="956" spans="1:38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#N/A, OFFSET(data!$A$1, ROW()-1, AA$1-1))</f>
        <v>0</v>
      </c>
      <c r="AB956">
        <f t="shared" ca="1" si="195"/>
        <v>0</v>
      </c>
      <c r="AC956" t="e">
        <f t="shared" ca="1" si="196"/>
        <v>#VALUE!</v>
      </c>
      <c r="AD956" t="str">
        <f t="shared" ca="1" si="197"/>
        <v>0</v>
      </c>
      <c r="AE956" t="str">
        <f t="shared" ca="1" si="198"/>
        <v/>
      </c>
      <c r="AF956" s="6">
        <f t="shared" ca="1" si="199"/>
        <v>0</v>
      </c>
      <c r="AG956">
        <f t="shared" ca="1" si="205"/>
        <v>0</v>
      </c>
      <c r="AH956">
        <f t="shared" ca="1" si="200"/>
        <v>0</v>
      </c>
      <c r="AI956">
        <f t="shared" ca="1" si="201"/>
        <v>0</v>
      </c>
      <c r="AJ956">
        <f t="shared" ca="1" si="202"/>
        <v>0</v>
      </c>
      <c r="AK956">
        <f t="shared" ca="1" si="203"/>
        <v>0</v>
      </c>
      <c r="AL956">
        <f t="shared" ca="1" si="204"/>
        <v>0</v>
      </c>
    </row>
    <row r="957" spans="1:38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#N/A, OFFSET(data!$A$1, ROW()-1, AA$1-1))</f>
        <v>0</v>
      </c>
      <c r="AB957">
        <f t="shared" ca="1" si="195"/>
        <v>0</v>
      </c>
      <c r="AC957" t="e">
        <f t="shared" ca="1" si="196"/>
        <v>#VALUE!</v>
      </c>
      <c r="AD957" t="str">
        <f t="shared" ca="1" si="197"/>
        <v>0</v>
      </c>
      <c r="AE957" t="str">
        <f t="shared" ca="1" si="198"/>
        <v/>
      </c>
      <c r="AF957" s="6">
        <f t="shared" ca="1" si="199"/>
        <v>0</v>
      </c>
      <c r="AG957">
        <f t="shared" ca="1" si="205"/>
        <v>0</v>
      </c>
      <c r="AH957">
        <f t="shared" ca="1" si="200"/>
        <v>0</v>
      </c>
      <c r="AI957">
        <f t="shared" ca="1" si="201"/>
        <v>0</v>
      </c>
      <c r="AJ957">
        <f t="shared" ca="1" si="202"/>
        <v>0</v>
      </c>
      <c r="AK957">
        <f t="shared" ca="1" si="203"/>
        <v>0</v>
      </c>
      <c r="AL957">
        <f t="shared" ca="1" si="204"/>
        <v>0</v>
      </c>
    </row>
    <row r="958" spans="1:38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#N/A, OFFSET(data!$A$1, ROW()-1, AA$1-1))</f>
        <v>0</v>
      </c>
      <c r="AB958">
        <f t="shared" ca="1" si="195"/>
        <v>0</v>
      </c>
      <c r="AC958" t="e">
        <f t="shared" ca="1" si="196"/>
        <v>#VALUE!</v>
      </c>
      <c r="AD958" t="str">
        <f t="shared" ca="1" si="197"/>
        <v>0</v>
      </c>
      <c r="AE958" t="str">
        <f t="shared" ca="1" si="198"/>
        <v/>
      </c>
      <c r="AF958" s="6">
        <f t="shared" ca="1" si="199"/>
        <v>0</v>
      </c>
      <c r="AG958">
        <f t="shared" ca="1" si="205"/>
        <v>0</v>
      </c>
      <c r="AH958">
        <f t="shared" ca="1" si="200"/>
        <v>0</v>
      </c>
      <c r="AI958">
        <f t="shared" ca="1" si="201"/>
        <v>0</v>
      </c>
      <c r="AJ958">
        <f t="shared" ca="1" si="202"/>
        <v>0</v>
      </c>
      <c r="AK958">
        <f t="shared" ca="1" si="203"/>
        <v>0</v>
      </c>
      <c r="AL958">
        <f t="shared" ca="1" si="204"/>
        <v>0</v>
      </c>
    </row>
    <row r="959" spans="1:38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#N/A, OFFSET(data!$A$1, ROW()-1, AA$1-1))</f>
        <v>0</v>
      </c>
      <c r="AB959">
        <f t="shared" ca="1" si="195"/>
        <v>0</v>
      </c>
      <c r="AC959" t="e">
        <f t="shared" ca="1" si="196"/>
        <v>#VALUE!</v>
      </c>
      <c r="AD959" t="str">
        <f t="shared" ca="1" si="197"/>
        <v>0</v>
      </c>
      <c r="AE959" t="str">
        <f t="shared" ca="1" si="198"/>
        <v/>
      </c>
      <c r="AF959" s="6">
        <f t="shared" ca="1" si="199"/>
        <v>0</v>
      </c>
      <c r="AG959">
        <f t="shared" ca="1" si="205"/>
        <v>0</v>
      </c>
      <c r="AH959">
        <f t="shared" ca="1" si="200"/>
        <v>0</v>
      </c>
      <c r="AI959">
        <f t="shared" ca="1" si="201"/>
        <v>0</v>
      </c>
      <c r="AJ959">
        <f t="shared" ca="1" si="202"/>
        <v>0</v>
      </c>
      <c r="AK959">
        <f t="shared" ca="1" si="203"/>
        <v>0</v>
      </c>
      <c r="AL959">
        <f t="shared" ca="1" si="204"/>
        <v>0</v>
      </c>
    </row>
    <row r="960" spans="1:38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#N/A, OFFSET(data!$A$1, ROW()-1, AA$1-1))</f>
        <v>0</v>
      </c>
      <c r="AB960">
        <f t="shared" ca="1" si="195"/>
        <v>0</v>
      </c>
      <c r="AC960" t="e">
        <f t="shared" ca="1" si="196"/>
        <v>#VALUE!</v>
      </c>
      <c r="AD960" t="str">
        <f t="shared" ca="1" si="197"/>
        <v>0</v>
      </c>
      <c r="AE960" t="str">
        <f t="shared" ca="1" si="198"/>
        <v/>
      </c>
      <c r="AF960" s="6">
        <f t="shared" ca="1" si="199"/>
        <v>0</v>
      </c>
      <c r="AG960">
        <f t="shared" ca="1" si="205"/>
        <v>0</v>
      </c>
      <c r="AH960">
        <f t="shared" ca="1" si="200"/>
        <v>0</v>
      </c>
      <c r="AI960">
        <f t="shared" ca="1" si="201"/>
        <v>0</v>
      </c>
      <c r="AJ960">
        <f t="shared" ca="1" si="202"/>
        <v>0</v>
      </c>
      <c r="AK960">
        <f t="shared" ca="1" si="203"/>
        <v>0</v>
      </c>
      <c r="AL960">
        <f t="shared" ca="1" si="204"/>
        <v>0</v>
      </c>
    </row>
    <row r="961" spans="1:38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#N/A, OFFSET(data!$A$1, ROW()-1, AA$1-1))</f>
        <v>0</v>
      </c>
      <c r="AB961">
        <f t="shared" ca="1" si="195"/>
        <v>0</v>
      </c>
      <c r="AC961" t="e">
        <f t="shared" ca="1" si="196"/>
        <v>#VALUE!</v>
      </c>
      <c r="AD961" t="str">
        <f t="shared" ca="1" si="197"/>
        <v>0</v>
      </c>
      <c r="AE961" t="str">
        <f t="shared" ca="1" si="198"/>
        <v/>
      </c>
      <c r="AF961" s="6">
        <f t="shared" ca="1" si="199"/>
        <v>0</v>
      </c>
      <c r="AG961">
        <f t="shared" ca="1" si="205"/>
        <v>0</v>
      </c>
      <c r="AH961">
        <f t="shared" ca="1" si="200"/>
        <v>0</v>
      </c>
      <c r="AI961">
        <f t="shared" ca="1" si="201"/>
        <v>0</v>
      </c>
      <c r="AJ961">
        <f t="shared" ca="1" si="202"/>
        <v>0</v>
      </c>
      <c r="AK961">
        <f t="shared" ca="1" si="203"/>
        <v>0</v>
      </c>
      <c r="AL961">
        <f t="shared" ca="1" si="204"/>
        <v>0</v>
      </c>
    </row>
    <row r="962" spans="1:38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#N/A, OFFSET(data!$A$1, ROW()-1, AA$1-1))</f>
        <v>0</v>
      </c>
      <c r="AB962">
        <f t="shared" ca="1" si="195"/>
        <v>0</v>
      </c>
      <c r="AC962" t="e">
        <f t="shared" ca="1" si="196"/>
        <v>#VALUE!</v>
      </c>
      <c r="AD962" t="str">
        <f t="shared" ca="1" si="197"/>
        <v>0</v>
      </c>
      <c r="AE962" t="str">
        <f t="shared" ca="1" si="198"/>
        <v/>
      </c>
      <c r="AF962" s="6">
        <f t="shared" ca="1" si="199"/>
        <v>0</v>
      </c>
      <c r="AG962">
        <f t="shared" ca="1" si="205"/>
        <v>0</v>
      </c>
      <c r="AH962">
        <f t="shared" ca="1" si="200"/>
        <v>0</v>
      </c>
      <c r="AI962">
        <f t="shared" ca="1" si="201"/>
        <v>0</v>
      </c>
      <c r="AJ962">
        <f t="shared" ca="1" si="202"/>
        <v>0</v>
      </c>
      <c r="AK962">
        <f t="shared" ca="1" si="203"/>
        <v>0</v>
      </c>
      <c r="AL962">
        <f t="shared" ca="1" si="204"/>
        <v>0</v>
      </c>
    </row>
    <row r="963" spans="1:38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#N/A, OFFSET(data!$A$1, ROW()-1, AA$1-1))</f>
        <v>0</v>
      </c>
      <c r="AB963">
        <f t="shared" ref="AB963:AB1026" ca="1" si="206">VALUE(LEFT(C963, 4))</f>
        <v>0</v>
      </c>
      <c r="AC963" t="e">
        <f t="shared" ref="AC963:AC1026" ca="1" si="207">VALUE(MID(C963, 6, 2))</f>
        <v>#VALUE!</v>
      </c>
      <c r="AD963" t="str">
        <f t="shared" ref="AD963:AD1026" ca="1" si="208">SUBSTITUTE(MID(C963,6,6)&amp;LEFT(C963,4), "-", "/")</f>
        <v>0</v>
      </c>
      <c r="AE963" t="str">
        <f t="shared" ref="AE963:AE1026" ca="1" si="209">IF(RIGHT(C963, 5)="12:00", AD963, "")</f>
        <v/>
      </c>
      <c r="AF963" s="6">
        <f t="shared" ref="AF963:AF1026" ca="1" si="210">Z963/1000</f>
        <v>0</v>
      </c>
      <c r="AG963">
        <f t="shared" ca="1" si="205"/>
        <v>0</v>
      </c>
      <c r="AH963">
        <f t="shared" ca="1" si="200"/>
        <v>0</v>
      </c>
      <c r="AI963">
        <f t="shared" ca="1" si="201"/>
        <v>0</v>
      </c>
      <c r="AJ963">
        <f t="shared" ca="1" si="202"/>
        <v>0</v>
      </c>
      <c r="AK963">
        <f t="shared" ca="1" si="203"/>
        <v>0</v>
      </c>
      <c r="AL963">
        <f t="shared" ca="1" si="204"/>
        <v>0</v>
      </c>
    </row>
    <row r="964" spans="1:38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#N/A, OFFSET(data!$A$1, ROW()-1, AA$1-1))</f>
        <v>0</v>
      </c>
      <c r="AB964">
        <f t="shared" ca="1" si="206"/>
        <v>0</v>
      </c>
      <c r="AC964" t="e">
        <f t="shared" ca="1" si="207"/>
        <v>#VALUE!</v>
      </c>
      <c r="AD964" t="str">
        <f t="shared" ca="1" si="208"/>
        <v>0</v>
      </c>
      <c r="AE964" t="str">
        <f t="shared" ca="1" si="209"/>
        <v/>
      </c>
      <c r="AF964" s="6">
        <f t="shared" ca="1" si="210"/>
        <v>0</v>
      </c>
      <c r="AG964">
        <f t="shared" ca="1" si="205"/>
        <v>0</v>
      </c>
      <c r="AH964">
        <f t="shared" ref="AH964:AH1027" ca="1" si="211">MAX(S964,Y964)</f>
        <v>0</v>
      </c>
      <c r="AI964">
        <f t="shared" ref="AI964:AI1027" ca="1" si="212">MAX(R964,V964)</f>
        <v>0</v>
      </c>
      <c r="AJ964">
        <f t="shared" ref="AJ964:AJ1027" ca="1" si="213">K964+N964</f>
        <v>0</v>
      </c>
      <c r="AK964">
        <f t="shared" ref="AK964:AK1027" ca="1" si="214">L964+O964</f>
        <v>0</v>
      </c>
      <c r="AL964">
        <f t="shared" ref="AL964:AL1027" ca="1" si="215">M964+P964</f>
        <v>0</v>
      </c>
    </row>
    <row r="965" spans="1:38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#N/A, OFFSET(data!$A$1, ROW()-1, AA$1-1))</f>
        <v>0</v>
      </c>
      <c r="AB965">
        <f t="shared" ca="1" si="206"/>
        <v>0</v>
      </c>
      <c r="AC965" t="e">
        <f t="shared" ca="1" si="207"/>
        <v>#VALUE!</v>
      </c>
      <c r="AD965" t="str">
        <f t="shared" ca="1" si="208"/>
        <v>0</v>
      </c>
      <c r="AE965" t="str">
        <f t="shared" ca="1" si="209"/>
        <v/>
      </c>
      <c r="AF965" s="6">
        <f t="shared" ca="1" si="210"/>
        <v>0</v>
      </c>
      <c r="AG965">
        <f t="shared" ca="1" si="205"/>
        <v>0</v>
      </c>
      <c r="AH965">
        <f t="shared" ca="1" si="211"/>
        <v>0</v>
      </c>
      <c r="AI965">
        <f t="shared" ca="1" si="212"/>
        <v>0</v>
      </c>
      <c r="AJ965">
        <f t="shared" ca="1" si="213"/>
        <v>0</v>
      </c>
      <c r="AK965">
        <f t="shared" ca="1" si="214"/>
        <v>0</v>
      </c>
      <c r="AL965">
        <f t="shared" ca="1" si="215"/>
        <v>0</v>
      </c>
    </row>
    <row r="966" spans="1:38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#N/A, OFFSET(data!$A$1, ROW()-1, AA$1-1))</f>
        <v>0</v>
      </c>
      <c r="AB966">
        <f t="shared" ca="1" si="206"/>
        <v>0</v>
      </c>
      <c r="AC966" t="e">
        <f t="shared" ca="1" si="207"/>
        <v>#VALUE!</v>
      </c>
      <c r="AD966" t="str">
        <f t="shared" ca="1" si="208"/>
        <v>0</v>
      </c>
      <c r="AE966" t="str">
        <f t="shared" ca="1" si="209"/>
        <v/>
      </c>
      <c r="AF966" s="6">
        <f t="shared" ca="1" si="210"/>
        <v>0</v>
      </c>
      <c r="AG966">
        <f t="shared" ca="1" si="205"/>
        <v>0</v>
      </c>
      <c r="AH966">
        <f t="shared" ca="1" si="211"/>
        <v>0</v>
      </c>
      <c r="AI966">
        <f t="shared" ca="1" si="212"/>
        <v>0</v>
      </c>
      <c r="AJ966">
        <f t="shared" ca="1" si="213"/>
        <v>0</v>
      </c>
      <c r="AK966">
        <f t="shared" ca="1" si="214"/>
        <v>0</v>
      </c>
      <c r="AL966">
        <f t="shared" ca="1" si="215"/>
        <v>0</v>
      </c>
    </row>
    <row r="967" spans="1:38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#N/A, OFFSET(data!$A$1, ROW()-1, AA$1-1))</f>
        <v>0</v>
      </c>
      <c r="AB967">
        <f t="shared" ca="1" si="206"/>
        <v>0</v>
      </c>
      <c r="AC967" t="e">
        <f t="shared" ca="1" si="207"/>
        <v>#VALUE!</v>
      </c>
      <c r="AD967" t="str">
        <f t="shared" ca="1" si="208"/>
        <v>0</v>
      </c>
      <c r="AE967" t="str">
        <f t="shared" ca="1" si="209"/>
        <v/>
      </c>
      <c r="AF967" s="6">
        <f t="shared" ca="1" si="210"/>
        <v>0</v>
      </c>
      <c r="AG967">
        <f t="shared" ca="1" si="205"/>
        <v>0</v>
      </c>
      <c r="AH967">
        <f t="shared" ca="1" si="211"/>
        <v>0</v>
      </c>
      <c r="AI967">
        <f t="shared" ca="1" si="212"/>
        <v>0</v>
      </c>
      <c r="AJ967">
        <f t="shared" ca="1" si="213"/>
        <v>0</v>
      </c>
      <c r="AK967">
        <f t="shared" ca="1" si="214"/>
        <v>0</v>
      </c>
      <c r="AL967">
        <f t="shared" ca="1" si="215"/>
        <v>0</v>
      </c>
    </row>
    <row r="968" spans="1:38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#N/A, OFFSET(data!$A$1, ROW()-1, AA$1-1))</f>
        <v>0</v>
      </c>
      <c r="AB968">
        <f t="shared" ca="1" si="206"/>
        <v>0</v>
      </c>
      <c r="AC968" t="e">
        <f t="shared" ca="1" si="207"/>
        <v>#VALUE!</v>
      </c>
      <c r="AD968" t="str">
        <f t="shared" ca="1" si="208"/>
        <v>0</v>
      </c>
      <c r="AE968" t="str">
        <f t="shared" ca="1" si="209"/>
        <v/>
      </c>
      <c r="AF968" s="6">
        <f t="shared" ca="1" si="210"/>
        <v>0</v>
      </c>
      <c r="AG968">
        <f t="shared" ca="1" si="205"/>
        <v>0</v>
      </c>
      <c r="AH968">
        <f t="shared" ca="1" si="211"/>
        <v>0</v>
      </c>
      <c r="AI968">
        <f t="shared" ca="1" si="212"/>
        <v>0</v>
      </c>
      <c r="AJ968">
        <f t="shared" ca="1" si="213"/>
        <v>0</v>
      </c>
      <c r="AK968">
        <f t="shared" ca="1" si="214"/>
        <v>0</v>
      </c>
      <c r="AL968">
        <f t="shared" ca="1" si="215"/>
        <v>0</v>
      </c>
    </row>
    <row r="969" spans="1:38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#N/A, OFFSET(data!$A$1, ROW()-1, AA$1-1))</f>
        <v>0</v>
      </c>
      <c r="AB969">
        <f t="shared" ca="1" si="206"/>
        <v>0</v>
      </c>
      <c r="AC969" t="e">
        <f t="shared" ca="1" si="207"/>
        <v>#VALUE!</v>
      </c>
      <c r="AD969" t="str">
        <f t="shared" ca="1" si="208"/>
        <v>0</v>
      </c>
      <c r="AE969" t="str">
        <f t="shared" ca="1" si="209"/>
        <v/>
      </c>
      <c r="AF969" s="6">
        <f t="shared" ca="1" si="210"/>
        <v>0</v>
      </c>
      <c r="AG969">
        <f t="shared" ca="1" si="205"/>
        <v>0</v>
      </c>
      <c r="AH969">
        <f t="shared" ca="1" si="211"/>
        <v>0</v>
      </c>
      <c r="AI969">
        <f t="shared" ca="1" si="212"/>
        <v>0</v>
      </c>
      <c r="AJ969">
        <f t="shared" ca="1" si="213"/>
        <v>0</v>
      </c>
      <c r="AK969">
        <f t="shared" ca="1" si="214"/>
        <v>0</v>
      </c>
      <c r="AL969">
        <f t="shared" ca="1" si="215"/>
        <v>0</v>
      </c>
    </row>
    <row r="970" spans="1:38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#N/A, OFFSET(data!$A$1, ROW()-1, AA$1-1))</f>
        <v>0</v>
      </c>
      <c r="AB970">
        <f t="shared" ca="1" si="206"/>
        <v>0</v>
      </c>
      <c r="AC970" t="e">
        <f t="shared" ca="1" si="207"/>
        <v>#VALUE!</v>
      </c>
      <c r="AD970" t="str">
        <f t="shared" ca="1" si="208"/>
        <v>0</v>
      </c>
      <c r="AE970" t="str">
        <f t="shared" ca="1" si="209"/>
        <v/>
      </c>
      <c r="AF970" s="6">
        <f t="shared" ca="1" si="210"/>
        <v>0</v>
      </c>
      <c r="AG970">
        <f t="shared" ca="1" si="205"/>
        <v>0</v>
      </c>
      <c r="AH970">
        <f t="shared" ca="1" si="211"/>
        <v>0</v>
      </c>
      <c r="AI970">
        <f t="shared" ca="1" si="212"/>
        <v>0</v>
      </c>
      <c r="AJ970">
        <f t="shared" ca="1" si="213"/>
        <v>0</v>
      </c>
      <c r="AK970">
        <f t="shared" ca="1" si="214"/>
        <v>0</v>
      </c>
      <c r="AL970">
        <f t="shared" ca="1" si="215"/>
        <v>0</v>
      </c>
    </row>
    <row r="971" spans="1:38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#N/A, OFFSET(data!$A$1, ROW()-1, AA$1-1))</f>
        <v>0</v>
      </c>
      <c r="AB971">
        <f t="shared" ca="1" si="206"/>
        <v>0</v>
      </c>
      <c r="AC971" t="e">
        <f t="shared" ca="1" si="207"/>
        <v>#VALUE!</v>
      </c>
      <c r="AD971" t="str">
        <f t="shared" ca="1" si="208"/>
        <v>0</v>
      </c>
      <c r="AE971" t="str">
        <f t="shared" ca="1" si="209"/>
        <v/>
      </c>
      <c r="AF971" s="6">
        <f t="shared" ca="1" si="210"/>
        <v>0</v>
      </c>
      <c r="AG971">
        <f t="shared" ca="1" si="205"/>
        <v>0</v>
      </c>
      <c r="AH971">
        <f t="shared" ca="1" si="211"/>
        <v>0</v>
      </c>
      <c r="AI971">
        <f t="shared" ca="1" si="212"/>
        <v>0</v>
      </c>
      <c r="AJ971">
        <f t="shared" ca="1" si="213"/>
        <v>0</v>
      </c>
      <c r="AK971">
        <f t="shared" ca="1" si="214"/>
        <v>0</v>
      </c>
      <c r="AL971">
        <f t="shared" ca="1" si="215"/>
        <v>0</v>
      </c>
    </row>
    <row r="972" spans="1:38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#N/A, OFFSET(data!$A$1, ROW()-1, AA$1-1))</f>
        <v>0</v>
      </c>
      <c r="AB972">
        <f t="shared" ca="1" si="206"/>
        <v>0</v>
      </c>
      <c r="AC972" t="e">
        <f t="shared" ca="1" si="207"/>
        <v>#VALUE!</v>
      </c>
      <c r="AD972" t="str">
        <f t="shared" ca="1" si="208"/>
        <v>0</v>
      </c>
      <c r="AE972" t="str">
        <f t="shared" ca="1" si="209"/>
        <v/>
      </c>
      <c r="AF972" s="6">
        <f t="shared" ca="1" si="210"/>
        <v>0</v>
      </c>
      <c r="AG972">
        <f t="shared" ca="1" si="205"/>
        <v>0</v>
      </c>
      <c r="AH972">
        <f t="shared" ca="1" si="211"/>
        <v>0</v>
      </c>
      <c r="AI972">
        <f t="shared" ca="1" si="212"/>
        <v>0</v>
      </c>
      <c r="AJ972">
        <f t="shared" ca="1" si="213"/>
        <v>0</v>
      </c>
      <c r="AK972">
        <f t="shared" ca="1" si="214"/>
        <v>0</v>
      </c>
      <c r="AL972">
        <f t="shared" ca="1" si="215"/>
        <v>0</v>
      </c>
    </row>
    <row r="973" spans="1:38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#N/A, OFFSET(data!$A$1, ROW()-1, AA$1-1))</f>
        <v>0</v>
      </c>
      <c r="AB973">
        <f t="shared" ca="1" si="206"/>
        <v>0</v>
      </c>
      <c r="AC973" t="e">
        <f t="shared" ca="1" si="207"/>
        <v>#VALUE!</v>
      </c>
      <c r="AD973" t="str">
        <f t="shared" ca="1" si="208"/>
        <v>0</v>
      </c>
      <c r="AE973" t="str">
        <f t="shared" ca="1" si="209"/>
        <v/>
      </c>
      <c r="AF973" s="6">
        <f t="shared" ca="1" si="210"/>
        <v>0</v>
      </c>
      <c r="AG973">
        <f t="shared" ca="1" si="205"/>
        <v>0</v>
      </c>
      <c r="AH973">
        <f t="shared" ca="1" si="211"/>
        <v>0</v>
      </c>
      <c r="AI973">
        <f t="shared" ca="1" si="212"/>
        <v>0</v>
      </c>
      <c r="AJ973">
        <f t="shared" ca="1" si="213"/>
        <v>0</v>
      </c>
      <c r="AK973">
        <f t="shared" ca="1" si="214"/>
        <v>0</v>
      </c>
      <c r="AL973">
        <f t="shared" ca="1" si="215"/>
        <v>0</v>
      </c>
    </row>
    <row r="974" spans="1:38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#N/A, OFFSET(data!$A$1, ROW()-1, AA$1-1))</f>
        <v>0</v>
      </c>
      <c r="AB974">
        <f t="shared" ca="1" si="206"/>
        <v>0</v>
      </c>
      <c r="AC974" t="e">
        <f t="shared" ca="1" si="207"/>
        <v>#VALUE!</v>
      </c>
      <c r="AD974" t="str">
        <f t="shared" ca="1" si="208"/>
        <v>0</v>
      </c>
      <c r="AE974" t="str">
        <f t="shared" ca="1" si="209"/>
        <v/>
      </c>
      <c r="AF974" s="6">
        <f t="shared" ca="1" si="210"/>
        <v>0</v>
      </c>
      <c r="AG974">
        <f t="shared" ca="1" si="205"/>
        <v>0</v>
      </c>
      <c r="AH974">
        <f t="shared" ca="1" si="211"/>
        <v>0</v>
      </c>
      <c r="AI974">
        <f t="shared" ca="1" si="212"/>
        <v>0</v>
      </c>
      <c r="AJ974">
        <f t="shared" ca="1" si="213"/>
        <v>0</v>
      </c>
      <c r="AK974">
        <f t="shared" ca="1" si="214"/>
        <v>0</v>
      </c>
      <c r="AL974">
        <f t="shared" ca="1" si="215"/>
        <v>0</v>
      </c>
    </row>
    <row r="975" spans="1:38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#N/A, OFFSET(data!$A$1, ROW()-1, AA$1-1))</f>
        <v>0</v>
      </c>
      <c r="AB975">
        <f t="shared" ca="1" si="206"/>
        <v>0</v>
      </c>
      <c r="AC975" t="e">
        <f t="shared" ca="1" si="207"/>
        <v>#VALUE!</v>
      </c>
      <c r="AD975" t="str">
        <f t="shared" ca="1" si="208"/>
        <v>0</v>
      </c>
      <c r="AE975" t="str">
        <f t="shared" ca="1" si="209"/>
        <v/>
      </c>
      <c r="AF975" s="6">
        <f t="shared" ca="1" si="210"/>
        <v>0</v>
      </c>
      <c r="AG975">
        <f t="shared" ca="1" si="205"/>
        <v>0</v>
      </c>
      <c r="AH975">
        <f t="shared" ca="1" si="211"/>
        <v>0</v>
      </c>
      <c r="AI975">
        <f t="shared" ca="1" si="212"/>
        <v>0</v>
      </c>
      <c r="AJ975">
        <f t="shared" ca="1" si="213"/>
        <v>0</v>
      </c>
      <c r="AK975">
        <f t="shared" ca="1" si="214"/>
        <v>0</v>
      </c>
      <c r="AL975">
        <f t="shared" ca="1" si="215"/>
        <v>0</v>
      </c>
    </row>
    <row r="976" spans="1:38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#N/A, OFFSET(data!$A$1, ROW()-1, AA$1-1))</f>
        <v>0</v>
      </c>
      <c r="AB976">
        <f t="shared" ca="1" si="206"/>
        <v>0</v>
      </c>
      <c r="AC976" t="e">
        <f t="shared" ca="1" si="207"/>
        <v>#VALUE!</v>
      </c>
      <c r="AD976" t="str">
        <f t="shared" ca="1" si="208"/>
        <v>0</v>
      </c>
      <c r="AE976" t="str">
        <f t="shared" ca="1" si="209"/>
        <v/>
      </c>
      <c r="AF976" s="6">
        <f t="shared" ca="1" si="210"/>
        <v>0</v>
      </c>
      <c r="AG976">
        <f t="shared" ca="1" si="205"/>
        <v>0</v>
      </c>
      <c r="AH976">
        <f t="shared" ca="1" si="211"/>
        <v>0</v>
      </c>
      <c r="AI976">
        <f t="shared" ca="1" si="212"/>
        <v>0</v>
      </c>
      <c r="AJ976">
        <f t="shared" ca="1" si="213"/>
        <v>0</v>
      </c>
      <c r="AK976">
        <f t="shared" ca="1" si="214"/>
        <v>0</v>
      </c>
      <c r="AL976">
        <f t="shared" ca="1" si="215"/>
        <v>0</v>
      </c>
    </row>
    <row r="977" spans="1:38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#N/A, OFFSET(data!$A$1, ROW()-1, AA$1-1))</f>
        <v>0</v>
      </c>
      <c r="AB977">
        <f t="shared" ca="1" si="206"/>
        <v>0</v>
      </c>
      <c r="AC977" t="e">
        <f t="shared" ca="1" si="207"/>
        <v>#VALUE!</v>
      </c>
      <c r="AD977" t="str">
        <f t="shared" ca="1" si="208"/>
        <v>0</v>
      </c>
      <c r="AE977" t="str">
        <f t="shared" ca="1" si="209"/>
        <v/>
      </c>
      <c r="AF977" s="6">
        <f t="shared" ca="1" si="210"/>
        <v>0</v>
      </c>
      <c r="AG977">
        <f t="shared" ca="1" si="205"/>
        <v>0</v>
      </c>
      <c r="AH977">
        <f t="shared" ca="1" si="211"/>
        <v>0</v>
      </c>
      <c r="AI977">
        <f t="shared" ca="1" si="212"/>
        <v>0</v>
      </c>
      <c r="AJ977">
        <f t="shared" ca="1" si="213"/>
        <v>0</v>
      </c>
      <c r="AK977">
        <f t="shared" ca="1" si="214"/>
        <v>0</v>
      </c>
      <c r="AL977">
        <f t="shared" ca="1" si="215"/>
        <v>0</v>
      </c>
    </row>
    <row r="978" spans="1:38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#N/A, OFFSET(data!$A$1, ROW()-1, AA$1-1))</f>
        <v>0</v>
      </c>
      <c r="AB978">
        <f t="shared" ca="1" si="206"/>
        <v>0</v>
      </c>
      <c r="AC978" t="e">
        <f t="shared" ca="1" si="207"/>
        <v>#VALUE!</v>
      </c>
      <c r="AD978" t="str">
        <f t="shared" ca="1" si="208"/>
        <v>0</v>
      </c>
      <c r="AE978" t="str">
        <f t="shared" ca="1" si="209"/>
        <v/>
      </c>
      <c r="AF978" s="6">
        <f t="shared" ca="1" si="210"/>
        <v>0</v>
      </c>
      <c r="AG978">
        <f t="shared" ca="1" si="205"/>
        <v>0</v>
      </c>
      <c r="AH978">
        <f t="shared" ca="1" si="211"/>
        <v>0</v>
      </c>
      <c r="AI978">
        <f t="shared" ca="1" si="212"/>
        <v>0</v>
      </c>
      <c r="AJ978">
        <f t="shared" ca="1" si="213"/>
        <v>0</v>
      </c>
      <c r="AK978">
        <f t="shared" ca="1" si="214"/>
        <v>0</v>
      </c>
      <c r="AL978">
        <f t="shared" ca="1" si="215"/>
        <v>0</v>
      </c>
    </row>
    <row r="979" spans="1:38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#N/A, OFFSET(data!$A$1, ROW()-1, AA$1-1))</f>
        <v>0</v>
      </c>
      <c r="AB979">
        <f t="shared" ca="1" si="206"/>
        <v>0</v>
      </c>
      <c r="AC979" t="e">
        <f t="shared" ca="1" si="207"/>
        <v>#VALUE!</v>
      </c>
      <c r="AD979" t="str">
        <f t="shared" ca="1" si="208"/>
        <v>0</v>
      </c>
      <c r="AE979" t="str">
        <f t="shared" ca="1" si="209"/>
        <v/>
      </c>
      <c r="AF979" s="6">
        <f t="shared" ca="1" si="210"/>
        <v>0</v>
      </c>
      <c r="AG979">
        <f t="shared" ca="1" si="205"/>
        <v>0</v>
      </c>
      <c r="AH979">
        <f t="shared" ca="1" si="211"/>
        <v>0</v>
      </c>
      <c r="AI979">
        <f t="shared" ca="1" si="212"/>
        <v>0</v>
      </c>
      <c r="AJ979">
        <f t="shared" ca="1" si="213"/>
        <v>0</v>
      </c>
      <c r="AK979">
        <f t="shared" ca="1" si="214"/>
        <v>0</v>
      </c>
      <c r="AL979">
        <f t="shared" ca="1" si="215"/>
        <v>0</v>
      </c>
    </row>
    <row r="980" spans="1:38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#N/A, OFFSET(data!$A$1, ROW()-1, AA$1-1))</f>
        <v>0</v>
      </c>
      <c r="AB980">
        <f t="shared" ca="1" si="206"/>
        <v>0</v>
      </c>
      <c r="AC980" t="e">
        <f t="shared" ca="1" si="207"/>
        <v>#VALUE!</v>
      </c>
      <c r="AD980" t="str">
        <f t="shared" ca="1" si="208"/>
        <v>0</v>
      </c>
      <c r="AE980" t="str">
        <f t="shared" ca="1" si="209"/>
        <v/>
      </c>
      <c r="AF980" s="6">
        <f t="shared" ca="1" si="210"/>
        <v>0</v>
      </c>
      <c r="AG980">
        <f t="shared" ca="1" si="205"/>
        <v>0</v>
      </c>
      <c r="AH980">
        <f t="shared" ca="1" si="211"/>
        <v>0</v>
      </c>
      <c r="AI980">
        <f t="shared" ca="1" si="212"/>
        <v>0</v>
      </c>
      <c r="AJ980">
        <f t="shared" ca="1" si="213"/>
        <v>0</v>
      </c>
      <c r="AK980">
        <f t="shared" ca="1" si="214"/>
        <v>0</v>
      </c>
      <c r="AL980">
        <f t="shared" ca="1" si="215"/>
        <v>0</v>
      </c>
    </row>
    <row r="981" spans="1:38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#N/A, OFFSET(data!$A$1, ROW()-1, AA$1-1))</f>
        <v>0</v>
      </c>
      <c r="AB981">
        <f t="shared" ca="1" si="206"/>
        <v>0</v>
      </c>
      <c r="AC981" t="e">
        <f t="shared" ca="1" si="207"/>
        <v>#VALUE!</v>
      </c>
      <c r="AD981" t="str">
        <f t="shared" ca="1" si="208"/>
        <v>0</v>
      </c>
      <c r="AE981" t="str">
        <f t="shared" ca="1" si="209"/>
        <v/>
      </c>
      <c r="AF981" s="6">
        <f t="shared" ca="1" si="210"/>
        <v>0</v>
      </c>
      <c r="AG981">
        <f t="shared" ca="1" si="205"/>
        <v>0</v>
      </c>
      <c r="AH981">
        <f t="shared" ca="1" si="211"/>
        <v>0</v>
      </c>
      <c r="AI981">
        <f t="shared" ca="1" si="212"/>
        <v>0</v>
      </c>
      <c r="AJ981">
        <f t="shared" ca="1" si="213"/>
        <v>0</v>
      </c>
      <c r="AK981">
        <f t="shared" ca="1" si="214"/>
        <v>0</v>
      </c>
      <c r="AL981">
        <f t="shared" ca="1" si="215"/>
        <v>0</v>
      </c>
    </row>
    <row r="982" spans="1:38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#N/A, OFFSET(data!$A$1, ROW()-1, AA$1-1))</f>
        <v>0</v>
      </c>
      <c r="AB982">
        <f t="shared" ca="1" si="206"/>
        <v>0</v>
      </c>
      <c r="AC982" t="e">
        <f t="shared" ca="1" si="207"/>
        <v>#VALUE!</v>
      </c>
      <c r="AD982" t="str">
        <f t="shared" ca="1" si="208"/>
        <v>0</v>
      </c>
      <c r="AE982" t="str">
        <f t="shared" ca="1" si="209"/>
        <v/>
      </c>
      <c r="AF982" s="6">
        <f t="shared" ca="1" si="210"/>
        <v>0</v>
      </c>
      <c r="AG982">
        <f t="shared" ca="1" si="205"/>
        <v>0</v>
      </c>
      <c r="AH982">
        <f t="shared" ca="1" si="211"/>
        <v>0</v>
      </c>
      <c r="AI982">
        <f t="shared" ca="1" si="212"/>
        <v>0</v>
      </c>
      <c r="AJ982">
        <f t="shared" ca="1" si="213"/>
        <v>0</v>
      </c>
      <c r="AK982">
        <f t="shared" ca="1" si="214"/>
        <v>0</v>
      </c>
      <c r="AL982">
        <f t="shared" ca="1" si="215"/>
        <v>0</v>
      </c>
    </row>
    <row r="983" spans="1:38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#N/A, OFFSET(data!$A$1, ROW()-1, AA$1-1))</f>
        <v>0</v>
      </c>
      <c r="AB983">
        <f t="shared" ca="1" si="206"/>
        <v>0</v>
      </c>
      <c r="AC983" t="e">
        <f t="shared" ca="1" si="207"/>
        <v>#VALUE!</v>
      </c>
      <c r="AD983" t="str">
        <f t="shared" ca="1" si="208"/>
        <v>0</v>
      </c>
      <c r="AE983" t="str">
        <f t="shared" ca="1" si="209"/>
        <v/>
      </c>
      <c r="AF983" s="6">
        <f t="shared" ca="1" si="210"/>
        <v>0</v>
      </c>
      <c r="AG983">
        <f t="shared" ca="1" si="205"/>
        <v>0</v>
      </c>
      <c r="AH983">
        <f t="shared" ca="1" si="211"/>
        <v>0</v>
      </c>
      <c r="AI983">
        <f t="shared" ca="1" si="212"/>
        <v>0</v>
      </c>
      <c r="AJ983">
        <f t="shared" ca="1" si="213"/>
        <v>0</v>
      </c>
      <c r="AK983">
        <f t="shared" ca="1" si="214"/>
        <v>0</v>
      </c>
      <c r="AL983">
        <f t="shared" ca="1" si="215"/>
        <v>0</v>
      </c>
    </row>
    <row r="984" spans="1:38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#N/A, OFFSET(data!$A$1, ROW()-1, AA$1-1))</f>
        <v>0</v>
      </c>
      <c r="AB984">
        <f t="shared" ca="1" si="206"/>
        <v>0</v>
      </c>
      <c r="AC984" t="e">
        <f t="shared" ca="1" si="207"/>
        <v>#VALUE!</v>
      </c>
      <c r="AD984" t="str">
        <f t="shared" ca="1" si="208"/>
        <v>0</v>
      </c>
      <c r="AE984" t="str">
        <f t="shared" ca="1" si="209"/>
        <v/>
      </c>
      <c r="AF984" s="6">
        <f t="shared" ca="1" si="210"/>
        <v>0</v>
      </c>
      <c r="AG984">
        <f t="shared" ca="1" si="205"/>
        <v>0</v>
      </c>
      <c r="AH984">
        <f t="shared" ca="1" si="211"/>
        <v>0</v>
      </c>
      <c r="AI984">
        <f t="shared" ca="1" si="212"/>
        <v>0</v>
      </c>
      <c r="AJ984">
        <f t="shared" ca="1" si="213"/>
        <v>0</v>
      </c>
      <c r="AK984">
        <f t="shared" ca="1" si="214"/>
        <v>0</v>
      </c>
      <c r="AL984">
        <f t="shared" ca="1" si="215"/>
        <v>0</v>
      </c>
    </row>
    <row r="985" spans="1:38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#N/A, OFFSET(data!$A$1, ROW()-1, AA$1-1))</f>
        <v>0</v>
      </c>
      <c r="AB985">
        <f t="shared" ca="1" si="206"/>
        <v>0</v>
      </c>
      <c r="AC985" t="e">
        <f t="shared" ca="1" si="207"/>
        <v>#VALUE!</v>
      </c>
      <c r="AD985" t="str">
        <f t="shared" ca="1" si="208"/>
        <v>0</v>
      </c>
      <c r="AE985" t="str">
        <f t="shared" ca="1" si="209"/>
        <v/>
      </c>
      <c r="AF985" s="6">
        <f t="shared" ca="1" si="210"/>
        <v>0</v>
      </c>
      <c r="AG985">
        <f t="shared" ca="1" si="205"/>
        <v>0</v>
      </c>
      <c r="AH985">
        <f t="shared" ca="1" si="211"/>
        <v>0</v>
      </c>
      <c r="AI985">
        <f t="shared" ca="1" si="212"/>
        <v>0</v>
      </c>
      <c r="AJ985">
        <f t="shared" ca="1" si="213"/>
        <v>0</v>
      </c>
      <c r="AK985">
        <f t="shared" ca="1" si="214"/>
        <v>0</v>
      </c>
      <c r="AL985">
        <f t="shared" ca="1" si="215"/>
        <v>0</v>
      </c>
    </row>
    <row r="986" spans="1:38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#N/A, OFFSET(data!$A$1, ROW()-1, AA$1-1))</f>
        <v>0</v>
      </c>
      <c r="AB986">
        <f t="shared" ca="1" si="206"/>
        <v>0</v>
      </c>
      <c r="AC986" t="e">
        <f t="shared" ca="1" si="207"/>
        <v>#VALUE!</v>
      </c>
      <c r="AD986" t="str">
        <f t="shared" ca="1" si="208"/>
        <v>0</v>
      </c>
      <c r="AE986" t="str">
        <f t="shared" ca="1" si="209"/>
        <v/>
      </c>
      <c r="AF986" s="6">
        <f t="shared" ca="1" si="210"/>
        <v>0</v>
      </c>
      <c r="AG986">
        <f t="shared" ca="1" si="205"/>
        <v>0</v>
      </c>
      <c r="AH986">
        <f t="shared" ca="1" si="211"/>
        <v>0</v>
      </c>
      <c r="AI986">
        <f t="shared" ca="1" si="212"/>
        <v>0</v>
      </c>
      <c r="AJ986">
        <f t="shared" ca="1" si="213"/>
        <v>0</v>
      </c>
      <c r="AK986">
        <f t="shared" ca="1" si="214"/>
        <v>0</v>
      </c>
      <c r="AL986">
        <f t="shared" ca="1" si="215"/>
        <v>0</v>
      </c>
    </row>
    <row r="987" spans="1:38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#N/A, OFFSET(data!$A$1, ROW()-1, AA$1-1))</f>
        <v>0</v>
      </c>
      <c r="AB987">
        <f t="shared" ca="1" si="206"/>
        <v>0</v>
      </c>
      <c r="AC987" t="e">
        <f t="shared" ca="1" si="207"/>
        <v>#VALUE!</v>
      </c>
      <c r="AD987" t="str">
        <f t="shared" ca="1" si="208"/>
        <v>0</v>
      </c>
      <c r="AE987" t="str">
        <f t="shared" ca="1" si="209"/>
        <v/>
      </c>
      <c r="AF987" s="6">
        <f t="shared" ca="1" si="210"/>
        <v>0</v>
      </c>
      <c r="AG987">
        <f t="shared" ca="1" si="205"/>
        <v>0</v>
      </c>
      <c r="AH987">
        <f t="shared" ca="1" si="211"/>
        <v>0</v>
      </c>
      <c r="AI987">
        <f t="shared" ca="1" si="212"/>
        <v>0</v>
      </c>
      <c r="AJ987">
        <f t="shared" ca="1" si="213"/>
        <v>0</v>
      </c>
      <c r="AK987">
        <f t="shared" ca="1" si="214"/>
        <v>0</v>
      </c>
      <c r="AL987">
        <f t="shared" ca="1" si="215"/>
        <v>0</v>
      </c>
    </row>
    <row r="988" spans="1:38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#N/A, OFFSET(data!$A$1, ROW()-1, AA$1-1))</f>
        <v>0</v>
      </c>
      <c r="AB988">
        <f t="shared" ca="1" si="206"/>
        <v>0</v>
      </c>
      <c r="AC988" t="e">
        <f t="shared" ca="1" si="207"/>
        <v>#VALUE!</v>
      </c>
      <c r="AD988" t="str">
        <f t="shared" ca="1" si="208"/>
        <v>0</v>
      </c>
      <c r="AE988" t="str">
        <f t="shared" ca="1" si="209"/>
        <v/>
      </c>
      <c r="AF988" s="6">
        <f t="shared" ca="1" si="210"/>
        <v>0</v>
      </c>
      <c r="AG988">
        <f t="shared" ca="1" si="205"/>
        <v>0</v>
      </c>
      <c r="AH988">
        <f t="shared" ca="1" si="211"/>
        <v>0</v>
      </c>
      <c r="AI988">
        <f t="shared" ca="1" si="212"/>
        <v>0</v>
      </c>
      <c r="AJ988">
        <f t="shared" ca="1" si="213"/>
        <v>0</v>
      </c>
      <c r="AK988">
        <f t="shared" ca="1" si="214"/>
        <v>0</v>
      </c>
      <c r="AL988">
        <f t="shared" ca="1" si="215"/>
        <v>0</v>
      </c>
    </row>
    <row r="989" spans="1:38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#N/A, OFFSET(data!$A$1, ROW()-1, AA$1-1))</f>
        <v>0</v>
      </c>
      <c r="AB989">
        <f t="shared" ca="1" si="206"/>
        <v>0</v>
      </c>
      <c r="AC989" t="e">
        <f t="shared" ca="1" si="207"/>
        <v>#VALUE!</v>
      </c>
      <c r="AD989" t="str">
        <f t="shared" ca="1" si="208"/>
        <v>0</v>
      </c>
      <c r="AE989" t="str">
        <f t="shared" ca="1" si="209"/>
        <v/>
      </c>
      <c r="AF989" s="6">
        <f t="shared" ca="1" si="210"/>
        <v>0</v>
      </c>
      <c r="AG989">
        <f t="shared" ca="1" si="205"/>
        <v>0</v>
      </c>
      <c r="AH989">
        <f t="shared" ca="1" si="211"/>
        <v>0</v>
      </c>
      <c r="AI989">
        <f t="shared" ca="1" si="212"/>
        <v>0</v>
      </c>
      <c r="AJ989">
        <f t="shared" ca="1" si="213"/>
        <v>0</v>
      </c>
      <c r="AK989">
        <f t="shared" ca="1" si="214"/>
        <v>0</v>
      </c>
      <c r="AL989">
        <f t="shared" ca="1" si="215"/>
        <v>0</v>
      </c>
    </row>
    <row r="990" spans="1:38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#N/A, OFFSET(data!$A$1, ROW()-1, AA$1-1))</f>
        <v>0</v>
      </c>
      <c r="AB990">
        <f t="shared" ca="1" si="206"/>
        <v>0</v>
      </c>
      <c r="AC990" t="e">
        <f t="shared" ca="1" si="207"/>
        <v>#VALUE!</v>
      </c>
      <c r="AD990" t="str">
        <f t="shared" ca="1" si="208"/>
        <v>0</v>
      </c>
      <c r="AE990" t="str">
        <f t="shared" ca="1" si="209"/>
        <v/>
      </c>
      <c r="AF990" s="6">
        <f t="shared" ca="1" si="210"/>
        <v>0</v>
      </c>
      <c r="AG990">
        <f t="shared" ca="1" si="205"/>
        <v>0</v>
      </c>
      <c r="AH990">
        <f t="shared" ca="1" si="211"/>
        <v>0</v>
      </c>
      <c r="AI990">
        <f t="shared" ca="1" si="212"/>
        <v>0</v>
      </c>
      <c r="AJ990">
        <f t="shared" ca="1" si="213"/>
        <v>0</v>
      </c>
      <c r="AK990">
        <f t="shared" ca="1" si="214"/>
        <v>0</v>
      </c>
      <c r="AL990">
        <f t="shared" ca="1" si="215"/>
        <v>0</v>
      </c>
    </row>
    <row r="991" spans="1:38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#N/A, OFFSET(data!$A$1, ROW()-1, AA$1-1))</f>
        <v>0</v>
      </c>
      <c r="AB991">
        <f t="shared" ca="1" si="206"/>
        <v>0</v>
      </c>
      <c r="AC991" t="e">
        <f t="shared" ca="1" si="207"/>
        <v>#VALUE!</v>
      </c>
      <c r="AD991" t="str">
        <f t="shared" ca="1" si="208"/>
        <v>0</v>
      </c>
      <c r="AE991" t="str">
        <f t="shared" ca="1" si="209"/>
        <v/>
      </c>
      <c r="AF991" s="6">
        <f t="shared" ca="1" si="210"/>
        <v>0</v>
      </c>
      <c r="AG991">
        <f t="shared" ca="1" si="205"/>
        <v>0</v>
      </c>
      <c r="AH991">
        <f t="shared" ca="1" si="211"/>
        <v>0</v>
      </c>
      <c r="AI991">
        <f t="shared" ca="1" si="212"/>
        <v>0</v>
      </c>
      <c r="AJ991">
        <f t="shared" ca="1" si="213"/>
        <v>0</v>
      </c>
      <c r="AK991">
        <f t="shared" ca="1" si="214"/>
        <v>0</v>
      </c>
      <c r="AL991">
        <f t="shared" ca="1" si="215"/>
        <v>0</v>
      </c>
    </row>
    <row r="992" spans="1:38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#N/A, OFFSET(data!$A$1, ROW()-1, AA$1-1))</f>
        <v>0</v>
      </c>
      <c r="AB992">
        <f t="shared" ca="1" si="206"/>
        <v>0</v>
      </c>
      <c r="AC992" t="e">
        <f t="shared" ca="1" si="207"/>
        <v>#VALUE!</v>
      </c>
      <c r="AD992" t="str">
        <f t="shared" ca="1" si="208"/>
        <v>0</v>
      </c>
      <c r="AE992" t="str">
        <f t="shared" ca="1" si="209"/>
        <v/>
      </c>
      <c r="AF992" s="6">
        <f t="shared" ca="1" si="210"/>
        <v>0</v>
      </c>
      <c r="AG992">
        <f t="shared" ca="1" si="205"/>
        <v>0</v>
      </c>
      <c r="AH992">
        <f t="shared" ca="1" si="211"/>
        <v>0</v>
      </c>
      <c r="AI992">
        <f t="shared" ca="1" si="212"/>
        <v>0</v>
      </c>
      <c r="AJ992">
        <f t="shared" ca="1" si="213"/>
        <v>0</v>
      </c>
      <c r="AK992">
        <f t="shared" ca="1" si="214"/>
        <v>0</v>
      </c>
      <c r="AL992">
        <f t="shared" ca="1" si="215"/>
        <v>0</v>
      </c>
    </row>
    <row r="993" spans="1:38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#N/A, OFFSET(data!$A$1, ROW()-1, AA$1-1))</f>
        <v>0</v>
      </c>
      <c r="AB993">
        <f t="shared" ca="1" si="206"/>
        <v>0</v>
      </c>
      <c r="AC993" t="e">
        <f t="shared" ca="1" si="207"/>
        <v>#VALUE!</v>
      </c>
      <c r="AD993" t="str">
        <f t="shared" ca="1" si="208"/>
        <v>0</v>
      </c>
      <c r="AE993" t="str">
        <f t="shared" ca="1" si="209"/>
        <v/>
      </c>
      <c r="AF993" s="6">
        <f t="shared" ca="1" si="210"/>
        <v>0</v>
      </c>
      <c r="AG993">
        <f t="shared" ca="1" si="205"/>
        <v>0</v>
      </c>
      <c r="AH993">
        <f t="shared" ca="1" si="211"/>
        <v>0</v>
      </c>
      <c r="AI993">
        <f t="shared" ca="1" si="212"/>
        <v>0</v>
      </c>
      <c r="AJ993">
        <f t="shared" ca="1" si="213"/>
        <v>0</v>
      </c>
      <c r="AK993">
        <f t="shared" ca="1" si="214"/>
        <v>0</v>
      </c>
      <c r="AL993">
        <f t="shared" ca="1" si="215"/>
        <v>0</v>
      </c>
    </row>
    <row r="994" spans="1:38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#N/A, OFFSET(data!$A$1, ROW()-1, AA$1-1))</f>
        <v>0</v>
      </c>
      <c r="AB994">
        <f t="shared" ca="1" si="206"/>
        <v>0</v>
      </c>
      <c r="AC994" t="e">
        <f t="shared" ca="1" si="207"/>
        <v>#VALUE!</v>
      </c>
      <c r="AD994" t="str">
        <f t="shared" ca="1" si="208"/>
        <v>0</v>
      </c>
      <c r="AE994" t="str">
        <f t="shared" ca="1" si="209"/>
        <v/>
      </c>
      <c r="AF994" s="6">
        <f t="shared" ca="1" si="210"/>
        <v>0</v>
      </c>
      <c r="AG994">
        <f t="shared" ca="1" si="205"/>
        <v>0</v>
      </c>
      <c r="AH994">
        <f t="shared" ca="1" si="211"/>
        <v>0</v>
      </c>
      <c r="AI994">
        <f t="shared" ca="1" si="212"/>
        <v>0</v>
      </c>
      <c r="AJ994">
        <f t="shared" ca="1" si="213"/>
        <v>0</v>
      </c>
      <c r="AK994">
        <f t="shared" ca="1" si="214"/>
        <v>0</v>
      </c>
      <c r="AL994">
        <f t="shared" ca="1" si="215"/>
        <v>0</v>
      </c>
    </row>
    <row r="995" spans="1:38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#N/A, OFFSET(data!$A$1, ROW()-1, AA$1-1))</f>
        <v>0</v>
      </c>
      <c r="AB995">
        <f t="shared" ca="1" si="206"/>
        <v>0</v>
      </c>
      <c r="AC995" t="e">
        <f t="shared" ca="1" si="207"/>
        <v>#VALUE!</v>
      </c>
      <c r="AD995" t="str">
        <f t="shared" ca="1" si="208"/>
        <v>0</v>
      </c>
      <c r="AE995" t="str">
        <f t="shared" ca="1" si="209"/>
        <v/>
      </c>
      <c r="AF995" s="6">
        <f t="shared" ca="1" si="210"/>
        <v>0</v>
      </c>
      <c r="AG995">
        <f t="shared" ca="1" si="205"/>
        <v>0</v>
      </c>
      <c r="AH995">
        <f t="shared" ca="1" si="211"/>
        <v>0</v>
      </c>
      <c r="AI995">
        <f t="shared" ca="1" si="212"/>
        <v>0</v>
      </c>
      <c r="AJ995">
        <f t="shared" ca="1" si="213"/>
        <v>0</v>
      </c>
      <c r="AK995">
        <f t="shared" ca="1" si="214"/>
        <v>0</v>
      </c>
      <c r="AL995">
        <f t="shared" ca="1" si="215"/>
        <v>0</v>
      </c>
    </row>
    <row r="996" spans="1:38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#N/A, OFFSET(data!$A$1, ROW()-1, AA$1-1))</f>
        <v>0</v>
      </c>
      <c r="AB996">
        <f t="shared" ca="1" si="206"/>
        <v>0</v>
      </c>
      <c r="AC996" t="e">
        <f t="shared" ca="1" si="207"/>
        <v>#VALUE!</v>
      </c>
      <c r="AD996" t="str">
        <f t="shared" ca="1" si="208"/>
        <v>0</v>
      </c>
      <c r="AE996" t="str">
        <f t="shared" ca="1" si="209"/>
        <v/>
      </c>
      <c r="AF996" s="6">
        <f t="shared" ca="1" si="210"/>
        <v>0</v>
      </c>
      <c r="AG996">
        <f t="shared" ca="1" si="205"/>
        <v>0</v>
      </c>
      <c r="AH996">
        <f t="shared" ca="1" si="211"/>
        <v>0</v>
      </c>
      <c r="AI996">
        <f t="shared" ca="1" si="212"/>
        <v>0</v>
      </c>
      <c r="AJ996">
        <f t="shared" ca="1" si="213"/>
        <v>0</v>
      </c>
      <c r="AK996">
        <f t="shared" ca="1" si="214"/>
        <v>0</v>
      </c>
      <c r="AL996">
        <f t="shared" ca="1" si="215"/>
        <v>0</v>
      </c>
    </row>
    <row r="997" spans="1:38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#N/A, OFFSET(data!$A$1, ROW()-1, AA$1-1))</f>
        <v>0</v>
      </c>
      <c r="AB997">
        <f t="shared" ca="1" si="206"/>
        <v>0</v>
      </c>
      <c r="AC997" t="e">
        <f t="shared" ca="1" si="207"/>
        <v>#VALUE!</v>
      </c>
      <c r="AD997" t="str">
        <f t="shared" ca="1" si="208"/>
        <v>0</v>
      </c>
      <c r="AE997" t="str">
        <f t="shared" ca="1" si="209"/>
        <v/>
      </c>
      <c r="AF997" s="6">
        <f t="shared" ca="1" si="210"/>
        <v>0</v>
      </c>
      <c r="AG997">
        <f t="shared" ca="1" si="205"/>
        <v>0</v>
      </c>
      <c r="AH997">
        <f t="shared" ca="1" si="211"/>
        <v>0</v>
      </c>
      <c r="AI997">
        <f t="shared" ca="1" si="212"/>
        <v>0</v>
      </c>
      <c r="AJ997">
        <f t="shared" ca="1" si="213"/>
        <v>0</v>
      </c>
      <c r="AK997">
        <f t="shared" ca="1" si="214"/>
        <v>0</v>
      </c>
      <c r="AL997">
        <f t="shared" ca="1" si="215"/>
        <v>0</v>
      </c>
    </row>
    <row r="998" spans="1:38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#N/A, OFFSET(data!$A$1, ROW()-1, AA$1-1))</f>
        <v>0</v>
      </c>
      <c r="AB998">
        <f t="shared" ca="1" si="206"/>
        <v>0</v>
      </c>
      <c r="AC998" t="e">
        <f t="shared" ca="1" si="207"/>
        <v>#VALUE!</v>
      </c>
      <c r="AD998" t="str">
        <f t="shared" ca="1" si="208"/>
        <v>0</v>
      </c>
      <c r="AE998" t="str">
        <f t="shared" ca="1" si="209"/>
        <v/>
      </c>
      <c r="AF998" s="6">
        <f t="shared" ca="1" si="210"/>
        <v>0</v>
      </c>
      <c r="AG998">
        <f t="shared" ca="1" si="205"/>
        <v>0</v>
      </c>
      <c r="AH998">
        <f t="shared" ca="1" si="211"/>
        <v>0</v>
      </c>
      <c r="AI998">
        <f t="shared" ca="1" si="212"/>
        <v>0</v>
      </c>
      <c r="AJ998">
        <f t="shared" ca="1" si="213"/>
        <v>0</v>
      </c>
      <c r="AK998">
        <f t="shared" ca="1" si="214"/>
        <v>0</v>
      </c>
      <c r="AL998">
        <f t="shared" ca="1" si="215"/>
        <v>0</v>
      </c>
    </row>
    <row r="999" spans="1:38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#N/A, OFFSET(data!$A$1, ROW()-1, AA$1-1))</f>
        <v>0</v>
      </c>
      <c r="AB999">
        <f t="shared" ca="1" si="206"/>
        <v>0</v>
      </c>
      <c r="AC999" t="e">
        <f t="shared" ca="1" si="207"/>
        <v>#VALUE!</v>
      </c>
      <c r="AD999" t="str">
        <f t="shared" ca="1" si="208"/>
        <v>0</v>
      </c>
      <c r="AE999" t="str">
        <f t="shared" ca="1" si="209"/>
        <v/>
      </c>
      <c r="AF999" s="6">
        <f t="shared" ca="1" si="210"/>
        <v>0</v>
      </c>
      <c r="AG999">
        <f t="shared" ca="1" si="205"/>
        <v>0</v>
      </c>
      <c r="AH999">
        <f t="shared" ca="1" si="211"/>
        <v>0</v>
      </c>
      <c r="AI999">
        <f t="shared" ca="1" si="212"/>
        <v>0</v>
      </c>
      <c r="AJ999">
        <f t="shared" ca="1" si="213"/>
        <v>0</v>
      </c>
      <c r="AK999">
        <f t="shared" ca="1" si="214"/>
        <v>0</v>
      </c>
      <c r="AL999">
        <f t="shared" ca="1" si="215"/>
        <v>0</v>
      </c>
    </row>
    <row r="1000" spans="1:38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#N/A, OFFSET(data!$A$1, ROW()-1, AA$1-1))</f>
        <v>0</v>
      </c>
      <c r="AB1000">
        <f t="shared" ca="1" si="206"/>
        <v>0</v>
      </c>
      <c r="AC1000" t="e">
        <f t="shared" ca="1" si="207"/>
        <v>#VALUE!</v>
      </c>
      <c r="AD1000" t="str">
        <f t="shared" ca="1" si="208"/>
        <v>0</v>
      </c>
      <c r="AE1000" t="str">
        <f t="shared" ca="1" si="209"/>
        <v/>
      </c>
      <c r="AF1000" s="6">
        <f t="shared" ca="1" si="210"/>
        <v>0</v>
      </c>
      <c r="AG1000">
        <f t="shared" ca="1" si="205"/>
        <v>0</v>
      </c>
      <c r="AH1000">
        <f t="shared" ca="1" si="211"/>
        <v>0</v>
      </c>
      <c r="AI1000">
        <f t="shared" ca="1" si="212"/>
        <v>0</v>
      </c>
      <c r="AJ1000">
        <f t="shared" ca="1" si="213"/>
        <v>0</v>
      </c>
      <c r="AK1000">
        <f t="shared" ca="1" si="214"/>
        <v>0</v>
      </c>
      <c r="AL1000">
        <f t="shared" ca="1" si="215"/>
        <v>0</v>
      </c>
    </row>
    <row r="1001" spans="1:38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#N/A, OFFSET(data!$A$1, ROW()-1, AA$1-1))</f>
        <v>0</v>
      </c>
      <c r="AB1001">
        <f t="shared" ca="1" si="206"/>
        <v>0</v>
      </c>
      <c r="AC1001" t="e">
        <f t="shared" ca="1" si="207"/>
        <v>#VALUE!</v>
      </c>
      <c r="AD1001" t="str">
        <f t="shared" ca="1" si="208"/>
        <v>0</v>
      </c>
      <c r="AE1001" t="str">
        <f t="shared" ca="1" si="209"/>
        <v/>
      </c>
      <c r="AF1001" s="6">
        <f t="shared" ca="1" si="210"/>
        <v>0</v>
      </c>
      <c r="AG1001">
        <f t="shared" ca="1" si="205"/>
        <v>0</v>
      </c>
      <c r="AH1001">
        <f t="shared" ca="1" si="211"/>
        <v>0</v>
      </c>
      <c r="AI1001">
        <f t="shared" ca="1" si="212"/>
        <v>0</v>
      </c>
      <c r="AJ1001">
        <f t="shared" ca="1" si="213"/>
        <v>0</v>
      </c>
      <c r="AK1001">
        <f t="shared" ca="1" si="214"/>
        <v>0</v>
      </c>
      <c r="AL1001">
        <f t="shared" ca="1" si="215"/>
        <v>0</v>
      </c>
    </row>
    <row r="1002" spans="1:38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#N/A, OFFSET(data!$A$1, ROW()-1, AA$1-1))</f>
        <v>0</v>
      </c>
      <c r="AB1002">
        <f t="shared" ca="1" si="206"/>
        <v>0</v>
      </c>
      <c r="AC1002" t="e">
        <f t="shared" ca="1" si="207"/>
        <v>#VALUE!</v>
      </c>
      <c r="AD1002" t="str">
        <f t="shared" ca="1" si="208"/>
        <v>0</v>
      </c>
      <c r="AE1002" t="str">
        <f t="shared" ca="1" si="209"/>
        <v/>
      </c>
      <c r="AF1002" s="6">
        <f t="shared" ca="1" si="210"/>
        <v>0</v>
      </c>
      <c r="AG1002">
        <f t="shared" ca="1" si="205"/>
        <v>0</v>
      </c>
      <c r="AH1002">
        <f t="shared" ca="1" si="211"/>
        <v>0</v>
      </c>
      <c r="AI1002">
        <f t="shared" ca="1" si="212"/>
        <v>0</v>
      </c>
      <c r="AJ1002">
        <f t="shared" ca="1" si="213"/>
        <v>0</v>
      </c>
      <c r="AK1002">
        <f t="shared" ca="1" si="214"/>
        <v>0</v>
      </c>
      <c r="AL1002">
        <f t="shared" ca="1" si="215"/>
        <v>0</v>
      </c>
    </row>
    <row r="1003" spans="1:38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#N/A, OFFSET(data!$A$1, ROW()-1, AA$1-1))</f>
        <v>0</v>
      </c>
      <c r="AB1003">
        <f t="shared" ca="1" si="206"/>
        <v>0</v>
      </c>
      <c r="AC1003" t="e">
        <f t="shared" ca="1" si="207"/>
        <v>#VALUE!</v>
      </c>
      <c r="AD1003" t="str">
        <f t="shared" ca="1" si="208"/>
        <v>0</v>
      </c>
      <c r="AE1003" t="str">
        <f t="shared" ca="1" si="209"/>
        <v/>
      </c>
      <c r="AF1003" s="6">
        <f t="shared" ca="1" si="210"/>
        <v>0</v>
      </c>
      <c r="AG1003">
        <f t="shared" ca="1" si="205"/>
        <v>0</v>
      </c>
      <c r="AH1003">
        <f t="shared" ca="1" si="211"/>
        <v>0</v>
      </c>
      <c r="AI1003">
        <f t="shared" ca="1" si="212"/>
        <v>0</v>
      </c>
      <c r="AJ1003">
        <f t="shared" ca="1" si="213"/>
        <v>0</v>
      </c>
      <c r="AK1003">
        <f t="shared" ca="1" si="214"/>
        <v>0</v>
      </c>
      <c r="AL1003">
        <f t="shared" ca="1" si="215"/>
        <v>0</v>
      </c>
    </row>
    <row r="1004" spans="1:38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#N/A, OFFSET(data!$A$1, ROW()-1, AA$1-1))</f>
        <v>0</v>
      </c>
      <c r="AB1004">
        <f t="shared" ca="1" si="206"/>
        <v>0</v>
      </c>
      <c r="AC1004" t="e">
        <f t="shared" ca="1" si="207"/>
        <v>#VALUE!</v>
      </c>
      <c r="AD1004" t="str">
        <f t="shared" ca="1" si="208"/>
        <v>0</v>
      </c>
      <c r="AE1004" t="str">
        <f t="shared" ca="1" si="209"/>
        <v/>
      </c>
      <c r="AF1004" s="6">
        <f t="shared" ca="1" si="210"/>
        <v>0</v>
      </c>
      <c r="AG1004">
        <f t="shared" ca="1" si="205"/>
        <v>0</v>
      </c>
      <c r="AH1004">
        <f t="shared" ca="1" si="211"/>
        <v>0</v>
      </c>
      <c r="AI1004">
        <f t="shared" ca="1" si="212"/>
        <v>0</v>
      </c>
      <c r="AJ1004">
        <f t="shared" ca="1" si="213"/>
        <v>0</v>
      </c>
      <c r="AK1004">
        <f t="shared" ca="1" si="214"/>
        <v>0</v>
      </c>
      <c r="AL1004">
        <f t="shared" ca="1" si="215"/>
        <v>0</v>
      </c>
    </row>
    <row r="1005" spans="1:38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#N/A, OFFSET(data!$A$1, ROW()-1, AA$1-1))</f>
        <v>0</v>
      </c>
      <c r="AB1005">
        <f t="shared" ca="1" si="206"/>
        <v>0</v>
      </c>
      <c r="AC1005" t="e">
        <f t="shared" ca="1" si="207"/>
        <v>#VALUE!</v>
      </c>
      <c r="AD1005" t="str">
        <f t="shared" ca="1" si="208"/>
        <v>0</v>
      </c>
      <c r="AE1005" t="str">
        <f t="shared" ca="1" si="209"/>
        <v/>
      </c>
      <c r="AF1005" s="6">
        <f t="shared" ca="1" si="210"/>
        <v>0</v>
      </c>
      <c r="AG1005">
        <f t="shared" ca="1" si="205"/>
        <v>0</v>
      </c>
      <c r="AH1005">
        <f t="shared" ca="1" si="211"/>
        <v>0</v>
      </c>
      <c r="AI1005">
        <f t="shared" ca="1" si="212"/>
        <v>0</v>
      </c>
      <c r="AJ1005">
        <f t="shared" ca="1" si="213"/>
        <v>0</v>
      </c>
      <c r="AK1005">
        <f t="shared" ca="1" si="214"/>
        <v>0</v>
      </c>
      <c r="AL1005">
        <f t="shared" ca="1" si="215"/>
        <v>0</v>
      </c>
    </row>
    <row r="1006" spans="1:38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#N/A, OFFSET(data!$A$1, ROW()-1, AA$1-1))</f>
        <v>0</v>
      </c>
      <c r="AB1006">
        <f t="shared" ca="1" si="206"/>
        <v>0</v>
      </c>
      <c r="AC1006" t="e">
        <f t="shared" ca="1" si="207"/>
        <v>#VALUE!</v>
      </c>
      <c r="AD1006" t="str">
        <f t="shared" ca="1" si="208"/>
        <v>0</v>
      </c>
      <c r="AE1006" t="str">
        <f t="shared" ca="1" si="209"/>
        <v/>
      </c>
      <c r="AF1006" s="6">
        <f t="shared" ca="1" si="210"/>
        <v>0</v>
      </c>
      <c r="AG1006">
        <f t="shared" ca="1" si="205"/>
        <v>0</v>
      </c>
      <c r="AH1006">
        <f t="shared" ca="1" si="211"/>
        <v>0</v>
      </c>
      <c r="AI1006">
        <f t="shared" ca="1" si="212"/>
        <v>0</v>
      </c>
      <c r="AJ1006">
        <f t="shared" ca="1" si="213"/>
        <v>0</v>
      </c>
      <c r="AK1006">
        <f t="shared" ca="1" si="214"/>
        <v>0</v>
      </c>
      <c r="AL1006">
        <f t="shared" ca="1" si="215"/>
        <v>0</v>
      </c>
    </row>
    <row r="1007" spans="1:38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#N/A, OFFSET(data!$A$1, ROW()-1, AA$1-1))</f>
        <v>0</v>
      </c>
      <c r="AB1007">
        <f t="shared" ca="1" si="206"/>
        <v>0</v>
      </c>
      <c r="AC1007" t="e">
        <f t="shared" ca="1" si="207"/>
        <v>#VALUE!</v>
      </c>
      <c r="AD1007" t="str">
        <f t="shared" ca="1" si="208"/>
        <v>0</v>
      </c>
      <c r="AE1007" t="str">
        <f t="shared" ca="1" si="209"/>
        <v/>
      </c>
      <c r="AF1007" s="6">
        <f t="shared" ca="1" si="210"/>
        <v>0</v>
      </c>
      <c r="AG1007">
        <f t="shared" ca="1" si="205"/>
        <v>0</v>
      </c>
      <c r="AH1007">
        <f t="shared" ca="1" si="211"/>
        <v>0</v>
      </c>
      <c r="AI1007">
        <f t="shared" ca="1" si="212"/>
        <v>0</v>
      </c>
      <c r="AJ1007">
        <f t="shared" ca="1" si="213"/>
        <v>0</v>
      </c>
      <c r="AK1007">
        <f t="shared" ca="1" si="214"/>
        <v>0</v>
      </c>
      <c r="AL1007">
        <f t="shared" ca="1" si="215"/>
        <v>0</v>
      </c>
    </row>
    <row r="1008" spans="1:38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#N/A, OFFSET(data!$A$1, ROW()-1, AA$1-1))</f>
        <v>0</v>
      </c>
      <c r="AB1008">
        <f t="shared" ca="1" si="206"/>
        <v>0</v>
      </c>
      <c r="AC1008" t="e">
        <f t="shared" ca="1" si="207"/>
        <v>#VALUE!</v>
      </c>
      <c r="AD1008" t="str">
        <f t="shared" ca="1" si="208"/>
        <v>0</v>
      </c>
      <c r="AE1008" t="str">
        <f t="shared" ca="1" si="209"/>
        <v/>
      </c>
      <c r="AF1008" s="6">
        <f t="shared" ca="1" si="210"/>
        <v>0</v>
      </c>
      <c r="AG1008">
        <f t="shared" ca="1" si="205"/>
        <v>0</v>
      </c>
      <c r="AH1008">
        <f t="shared" ca="1" si="211"/>
        <v>0</v>
      </c>
      <c r="AI1008">
        <f t="shared" ca="1" si="212"/>
        <v>0</v>
      </c>
      <c r="AJ1008">
        <f t="shared" ca="1" si="213"/>
        <v>0</v>
      </c>
      <c r="AK1008">
        <f t="shared" ca="1" si="214"/>
        <v>0</v>
      </c>
      <c r="AL1008">
        <f t="shared" ca="1" si="215"/>
        <v>0</v>
      </c>
    </row>
    <row r="1009" spans="1:38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#N/A, OFFSET(data!$A$1, ROW()-1, AA$1-1))</f>
        <v>0</v>
      </c>
      <c r="AB1009">
        <f t="shared" ca="1" si="206"/>
        <v>0</v>
      </c>
      <c r="AC1009" t="e">
        <f t="shared" ca="1" si="207"/>
        <v>#VALUE!</v>
      </c>
      <c r="AD1009" t="str">
        <f t="shared" ca="1" si="208"/>
        <v>0</v>
      </c>
      <c r="AE1009" t="str">
        <f t="shared" ca="1" si="209"/>
        <v/>
      </c>
      <c r="AF1009" s="6">
        <f t="shared" ca="1" si="210"/>
        <v>0</v>
      </c>
      <c r="AG1009">
        <f t="shared" ca="1" si="205"/>
        <v>0</v>
      </c>
      <c r="AH1009">
        <f t="shared" ca="1" si="211"/>
        <v>0</v>
      </c>
      <c r="AI1009">
        <f t="shared" ca="1" si="212"/>
        <v>0</v>
      </c>
      <c r="AJ1009">
        <f t="shared" ca="1" si="213"/>
        <v>0</v>
      </c>
      <c r="AK1009">
        <f t="shared" ca="1" si="214"/>
        <v>0</v>
      </c>
      <c r="AL1009">
        <f t="shared" ca="1" si="215"/>
        <v>0</v>
      </c>
    </row>
    <row r="1010" spans="1:38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#N/A, OFFSET(data!$A$1, ROW()-1, AA$1-1))</f>
        <v>0</v>
      </c>
      <c r="AB1010">
        <f t="shared" ca="1" si="206"/>
        <v>0</v>
      </c>
      <c r="AC1010" t="e">
        <f t="shared" ca="1" si="207"/>
        <v>#VALUE!</v>
      </c>
      <c r="AD1010" t="str">
        <f t="shared" ca="1" si="208"/>
        <v>0</v>
      </c>
      <c r="AE1010" t="str">
        <f t="shared" ca="1" si="209"/>
        <v/>
      </c>
      <c r="AF1010" s="6">
        <f t="shared" ca="1" si="210"/>
        <v>0</v>
      </c>
      <c r="AG1010">
        <f t="shared" ca="1" si="205"/>
        <v>0</v>
      </c>
      <c r="AH1010">
        <f t="shared" ca="1" si="211"/>
        <v>0</v>
      </c>
      <c r="AI1010">
        <f t="shared" ca="1" si="212"/>
        <v>0</v>
      </c>
      <c r="AJ1010">
        <f t="shared" ca="1" si="213"/>
        <v>0</v>
      </c>
      <c r="AK1010">
        <f t="shared" ca="1" si="214"/>
        <v>0</v>
      </c>
      <c r="AL1010">
        <f t="shared" ca="1" si="215"/>
        <v>0</v>
      </c>
    </row>
    <row r="1011" spans="1:38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#N/A, OFFSET(data!$A$1, ROW()-1, AA$1-1))</f>
        <v>0</v>
      </c>
      <c r="AB1011">
        <f t="shared" ca="1" si="206"/>
        <v>0</v>
      </c>
      <c r="AC1011" t="e">
        <f t="shared" ca="1" si="207"/>
        <v>#VALUE!</v>
      </c>
      <c r="AD1011" t="str">
        <f t="shared" ca="1" si="208"/>
        <v>0</v>
      </c>
      <c r="AE1011" t="str">
        <f t="shared" ca="1" si="209"/>
        <v/>
      </c>
      <c r="AF1011" s="6">
        <f t="shared" ca="1" si="210"/>
        <v>0</v>
      </c>
      <c r="AG1011">
        <f t="shared" ca="1" si="205"/>
        <v>0</v>
      </c>
      <c r="AH1011">
        <f t="shared" ca="1" si="211"/>
        <v>0</v>
      </c>
      <c r="AI1011">
        <f t="shared" ca="1" si="212"/>
        <v>0</v>
      </c>
      <c r="AJ1011">
        <f t="shared" ca="1" si="213"/>
        <v>0</v>
      </c>
      <c r="AK1011">
        <f t="shared" ca="1" si="214"/>
        <v>0</v>
      </c>
      <c r="AL1011">
        <f t="shared" ca="1" si="215"/>
        <v>0</v>
      </c>
    </row>
    <row r="1012" spans="1:38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#N/A, OFFSET(data!$A$1, ROW()-1, AA$1-1))</f>
        <v>0</v>
      </c>
      <c r="AB1012">
        <f t="shared" ca="1" si="206"/>
        <v>0</v>
      </c>
      <c r="AC1012" t="e">
        <f t="shared" ca="1" si="207"/>
        <v>#VALUE!</v>
      </c>
      <c r="AD1012" t="str">
        <f t="shared" ca="1" si="208"/>
        <v>0</v>
      </c>
      <c r="AE1012" t="str">
        <f t="shared" ca="1" si="209"/>
        <v/>
      </c>
      <c r="AF1012" s="6">
        <f t="shared" ca="1" si="210"/>
        <v>0</v>
      </c>
      <c r="AG1012">
        <f t="shared" ref="AG1012:AG1075" ca="1" si="216">T1012+W1012</f>
        <v>0</v>
      </c>
      <c r="AH1012">
        <f t="shared" ca="1" si="211"/>
        <v>0</v>
      </c>
      <c r="AI1012">
        <f t="shared" ca="1" si="212"/>
        <v>0</v>
      </c>
      <c r="AJ1012">
        <f t="shared" ca="1" si="213"/>
        <v>0</v>
      </c>
      <c r="AK1012">
        <f t="shared" ca="1" si="214"/>
        <v>0</v>
      </c>
      <c r="AL1012">
        <f t="shared" ca="1" si="215"/>
        <v>0</v>
      </c>
    </row>
    <row r="1013" spans="1:38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#N/A, OFFSET(data!$A$1, ROW()-1, AA$1-1))</f>
        <v>0</v>
      </c>
      <c r="AB1013">
        <f t="shared" ca="1" si="206"/>
        <v>0</v>
      </c>
      <c r="AC1013" t="e">
        <f t="shared" ca="1" si="207"/>
        <v>#VALUE!</v>
      </c>
      <c r="AD1013" t="str">
        <f t="shared" ca="1" si="208"/>
        <v>0</v>
      </c>
      <c r="AE1013" t="str">
        <f t="shared" ca="1" si="209"/>
        <v/>
      </c>
      <c r="AF1013" s="6">
        <f t="shared" ca="1" si="210"/>
        <v>0</v>
      </c>
      <c r="AG1013">
        <f t="shared" ca="1" si="216"/>
        <v>0</v>
      </c>
      <c r="AH1013">
        <f t="shared" ca="1" si="211"/>
        <v>0</v>
      </c>
      <c r="AI1013">
        <f t="shared" ca="1" si="212"/>
        <v>0</v>
      </c>
      <c r="AJ1013">
        <f t="shared" ca="1" si="213"/>
        <v>0</v>
      </c>
      <c r="AK1013">
        <f t="shared" ca="1" si="214"/>
        <v>0</v>
      </c>
      <c r="AL1013">
        <f t="shared" ca="1" si="215"/>
        <v>0</v>
      </c>
    </row>
    <row r="1014" spans="1:38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#N/A, OFFSET(data!$A$1, ROW()-1, AA$1-1))</f>
        <v>0</v>
      </c>
      <c r="AB1014">
        <f t="shared" ca="1" si="206"/>
        <v>0</v>
      </c>
      <c r="AC1014" t="e">
        <f t="shared" ca="1" si="207"/>
        <v>#VALUE!</v>
      </c>
      <c r="AD1014" t="str">
        <f t="shared" ca="1" si="208"/>
        <v>0</v>
      </c>
      <c r="AE1014" t="str">
        <f t="shared" ca="1" si="209"/>
        <v/>
      </c>
      <c r="AF1014" s="6">
        <f t="shared" ca="1" si="210"/>
        <v>0</v>
      </c>
      <c r="AG1014">
        <f t="shared" ca="1" si="216"/>
        <v>0</v>
      </c>
      <c r="AH1014">
        <f t="shared" ca="1" si="211"/>
        <v>0</v>
      </c>
      <c r="AI1014">
        <f t="shared" ca="1" si="212"/>
        <v>0</v>
      </c>
      <c r="AJ1014">
        <f t="shared" ca="1" si="213"/>
        <v>0</v>
      </c>
      <c r="AK1014">
        <f t="shared" ca="1" si="214"/>
        <v>0</v>
      </c>
      <c r="AL1014">
        <f t="shared" ca="1" si="215"/>
        <v>0</v>
      </c>
    </row>
    <row r="1015" spans="1:38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#N/A, OFFSET(data!$A$1, ROW()-1, AA$1-1))</f>
        <v>0</v>
      </c>
      <c r="AB1015">
        <f t="shared" ca="1" si="206"/>
        <v>0</v>
      </c>
      <c r="AC1015" t="e">
        <f t="shared" ca="1" si="207"/>
        <v>#VALUE!</v>
      </c>
      <c r="AD1015" t="str">
        <f t="shared" ca="1" si="208"/>
        <v>0</v>
      </c>
      <c r="AE1015" t="str">
        <f t="shared" ca="1" si="209"/>
        <v/>
      </c>
      <c r="AF1015" s="6">
        <f t="shared" ca="1" si="210"/>
        <v>0</v>
      </c>
      <c r="AG1015">
        <f t="shared" ca="1" si="216"/>
        <v>0</v>
      </c>
      <c r="AH1015">
        <f t="shared" ca="1" si="211"/>
        <v>0</v>
      </c>
      <c r="AI1015">
        <f t="shared" ca="1" si="212"/>
        <v>0</v>
      </c>
      <c r="AJ1015">
        <f t="shared" ca="1" si="213"/>
        <v>0</v>
      </c>
      <c r="AK1015">
        <f t="shared" ca="1" si="214"/>
        <v>0</v>
      </c>
      <c r="AL1015">
        <f t="shared" ca="1" si="215"/>
        <v>0</v>
      </c>
    </row>
    <row r="1016" spans="1:38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#N/A, OFFSET(data!$A$1, ROW()-1, AA$1-1))</f>
        <v>0</v>
      </c>
      <c r="AB1016">
        <f t="shared" ca="1" si="206"/>
        <v>0</v>
      </c>
      <c r="AC1016" t="e">
        <f t="shared" ca="1" si="207"/>
        <v>#VALUE!</v>
      </c>
      <c r="AD1016" t="str">
        <f t="shared" ca="1" si="208"/>
        <v>0</v>
      </c>
      <c r="AE1016" t="str">
        <f t="shared" ca="1" si="209"/>
        <v/>
      </c>
      <c r="AF1016" s="6">
        <f t="shared" ca="1" si="210"/>
        <v>0</v>
      </c>
      <c r="AG1016">
        <f t="shared" ca="1" si="216"/>
        <v>0</v>
      </c>
      <c r="AH1016">
        <f t="shared" ca="1" si="211"/>
        <v>0</v>
      </c>
      <c r="AI1016">
        <f t="shared" ca="1" si="212"/>
        <v>0</v>
      </c>
      <c r="AJ1016">
        <f t="shared" ca="1" si="213"/>
        <v>0</v>
      </c>
      <c r="AK1016">
        <f t="shared" ca="1" si="214"/>
        <v>0</v>
      </c>
      <c r="AL1016">
        <f t="shared" ca="1" si="215"/>
        <v>0</v>
      </c>
    </row>
    <row r="1017" spans="1:38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#N/A, OFFSET(data!$A$1, ROW()-1, AA$1-1))</f>
        <v>0</v>
      </c>
      <c r="AB1017">
        <f t="shared" ca="1" si="206"/>
        <v>0</v>
      </c>
      <c r="AC1017" t="e">
        <f t="shared" ca="1" si="207"/>
        <v>#VALUE!</v>
      </c>
      <c r="AD1017" t="str">
        <f t="shared" ca="1" si="208"/>
        <v>0</v>
      </c>
      <c r="AE1017" t="str">
        <f t="shared" ca="1" si="209"/>
        <v/>
      </c>
      <c r="AF1017" s="6">
        <f t="shared" ca="1" si="210"/>
        <v>0</v>
      </c>
      <c r="AG1017">
        <f t="shared" ca="1" si="216"/>
        <v>0</v>
      </c>
      <c r="AH1017">
        <f t="shared" ca="1" si="211"/>
        <v>0</v>
      </c>
      <c r="AI1017">
        <f t="shared" ca="1" si="212"/>
        <v>0</v>
      </c>
      <c r="AJ1017">
        <f t="shared" ca="1" si="213"/>
        <v>0</v>
      </c>
      <c r="AK1017">
        <f t="shared" ca="1" si="214"/>
        <v>0</v>
      </c>
      <c r="AL1017">
        <f t="shared" ca="1" si="215"/>
        <v>0</v>
      </c>
    </row>
    <row r="1018" spans="1:38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#N/A, OFFSET(data!$A$1, ROW()-1, AA$1-1))</f>
        <v>0</v>
      </c>
      <c r="AB1018">
        <f t="shared" ca="1" si="206"/>
        <v>0</v>
      </c>
      <c r="AC1018" t="e">
        <f t="shared" ca="1" si="207"/>
        <v>#VALUE!</v>
      </c>
      <c r="AD1018" t="str">
        <f t="shared" ca="1" si="208"/>
        <v>0</v>
      </c>
      <c r="AE1018" t="str">
        <f t="shared" ca="1" si="209"/>
        <v/>
      </c>
      <c r="AF1018" s="6">
        <f t="shared" ca="1" si="210"/>
        <v>0</v>
      </c>
      <c r="AG1018">
        <f t="shared" ca="1" si="216"/>
        <v>0</v>
      </c>
      <c r="AH1018">
        <f t="shared" ca="1" si="211"/>
        <v>0</v>
      </c>
      <c r="AI1018">
        <f t="shared" ca="1" si="212"/>
        <v>0</v>
      </c>
      <c r="AJ1018">
        <f t="shared" ca="1" si="213"/>
        <v>0</v>
      </c>
      <c r="AK1018">
        <f t="shared" ca="1" si="214"/>
        <v>0</v>
      </c>
      <c r="AL1018">
        <f t="shared" ca="1" si="215"/>
        <v>0</v>
      </c>
    </row>
    <row r="1019" spans="1:38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#N/A, OFFSET(data!$A$1, ROW()-1, AA$1-1))</f>
        <v>0</v>
      </c>
      <c r="AB1019">
        <f t="shared" ca="1" si="206"/>
        <v>0</v>
      </c>
      <c r="AC1019" t="e">
        <f t="shared" ca="1" si="207"/>
        <v>#VALUE!</v>
      </c>
      <c r="AD1019" t="str">
        <f t="shared" ca="1" si="208"/>
        <v>0</v>
      </c>
      <c r="AE1019" t="str">
        <f t="shared" ca="1" si="209"/>
        <v/>
      </c>
      <c r="AF1019" s="6">
        <f t="shared" ca="1" si="210"/>
        <v>0</v>
      </c>
      <c r="AG1019">
        <f t="shared" ca="1" si="216"/>
        <v>0</v>
      </c>
      <c r="AH1019">
        <f t="shared" ca="1" si="211"/>
        <v>0</v>
      </c>
      <c r="AI1019">
        <f t="shared" ca="1" si="212"/>
        <v>0</v>
      </c>
      <c r="AJ1019">
        <f t="shared" ca="1" si="213"/>
        <v>0</v>
      </c>
      <c r="AK1019">
        <f t="shared" ca="1" si="214"/>
        <v>0</v>
      </c>
      <c r="AL1019">
        <f t="shared" ca="1" si="215"/>
        <v>0</v>
      </c>
    </row>
    <row r="1020" spans="1:38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#N/A, OFFSET(data!$A$1, ROW()-1, AA$1-1))</f>
        <v>0</v>
      </c>
      <c r="AB1020">
        <f t="shared" ca="1" si="206"/>
        <v>0</v>
      </c>
      <c r="AC1020" t="e">
        <f t="shared" ca="1" si="207"/>
        <v>#VALUE!</v>
      </c>
      <c r="AD1020" t="str">
        <f t="shared" ca="1" si="208"/>
        <v>0</v>
      </c>
      <c r="AE1020" t="str">
        <f t="shared" ca="1" si="209"/>
        <v/>
      </c>
      <c r="AF1020" s="6">
        <f t="shared" ca="1" si="210"/>
        <v>0</v>
      </c>
      <c r="AG1020">
        <f t="shared" ca="1" si="216"/>
        <v>0</v>
      </c>
      <c r="AH1020">
        <f t="shared" ca="1" si="211"/>
        <v>0</v>
      </c>
      <c r="AI1020">
        <f t="shared" ca="1" si="212"/>
        <v>0</v>
      </c>
      <c r="AJ1020">
        <f t="shared" ca="1" si="213"/>
        <v>0</v>
      </c>
      <c r="AK1020">
        <f t="shared" ca="1" si="214"/>
        <v>0</v>
      </c>
      <c r="AL1020">
        <f t="shared" ca="1" si="215"/>
        <v>0</v>
      </c>
    </row>
    <row r="1021" spans="1:38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#N/A, OFFSET(data!$A$1, ROW()-1, AA$1-1))</f>
        <v>0</v>
      </c>
      <c r="AB1021">
        <f t="shared" ca="1" si="206"/>
        <v>0</v>
      </c>
      <c r="AC1021" t="e">
        <f t="shared" ca="1" si="207"/>
        <v>#VALUE!</v>
      </c>
      <c r="AD1021" t="str">
        <f t="shared" ca="1" si="208"/>
        <v>0</v>
      </c>
      <c r="AE1021" t="str">
        <f t="shared" ca="1" si="209"/>
        <v/>
      </c>
      <c r="AF1021" s="6">
        <f t="shared" ca="1" si="210"/>
        <v>0</v>
      </c>
      <c r="AG1021">
        <f t="shared" ca="1" si="216"/>
        <v>0</v>
      </c>
      <c r="AH1021">
        <f t="shared" ca="1" si="211"/>
        <v>0</v>
      </c>
      <c r="AI1021">
        <f t="shared" ca="1" si="212"/>
        <v>0</v>
      </c>
      <c r="AJ1021">
        <f t="shared" ca="1" si="213"/>
        <v>0</v>
      </c>
      <c r="AK1021">
        <f t="shared" ca="1" si="214"/>
        <v>0</v>
      </c>
      <c r="AL1021">
        <f t="shared" ca="1" si="215"/>
        <v>0</v>
      </c>
    </row>
    <row r="1022" spans="1:38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#N/A, OFFSET(data!$A$1, ROW()-1, AA$1-1))</f>
        <v>0</v>
      </c>
      <c r="AB1022">
        <f t="shared" ca="1" si="206"/>
        <v>0</v>
      </c>
      <c r="AC1022" t="e">
        <f t="shared" ca="1" si="207"/>
        <v>#VALUE!</v>
      </c>
      <c r="AD1022" t="str">
        <f t="shared" ca="1" si="208"/>
        <v>0</v>
      </c>
      <c r="AE1022" t="str">
        <f t="shared" ca="1" si="209"/>
        <v/>
      </c>
      <c r="AF1022" s="6">
        <f t="shared" ca="1" si="210"/>
        <v>0</v>
      </c>
      <c r="AG1022">
        <f t="shared" ca="1" si="216"/>
        <v>0</v>
      </c>
      <c r="AH1022">
        <f t="shared" ca="1" si="211"/>
        <v>0</v>
      </c>
      <c r="AI1022">
        <f t="shared" ca="1" si="212"/>
        <v>0</v>
      </c>
      <c r="AJ1022">
        <f t="shared" ca="1" si="213"/>
        <v>0</v>
      </c>
      <c r="AK1022">
        <f t="shared" ca="1" si="214"/>
        <v>0</v>
      </c>
      <c r="AL1022">
        <f t="shared" ca="1" si="215"/>
        <v>0</v>
      </c>
    </row>
    <row r="1023" spans="1:38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#N/A, OFFSET(data!$A$1, ROW()-1, AA$1-1))</f>
        <v>0</v>
      </c>
      <c r="AB1023">
        <f t="shared" ca="1" si="206"/>
        <v>0</v>
      </c>
      <c r="AC1023" t="e">
        <f t="shared" ca="1" si="207"/>
        <v>#VALUE!</v>
      </c>
      <c r="AD1023" t="str">
        <f t="shared" ca="1" si="208"/>
        <v>0</v>
      </c>
      <c r="AE1023" t="str">
        <f t="shared" ca="1" si="209"/>
        <v/>
      </c>
      <c r="AF1023" s="6">
        <f t="shared" ca="1" si="210"/>
        <v>0</v>
      </c>
      <c r="AG1023">
        <f t="shared" ca="1" si="216"/>
        <v>0</v>
      </c>
      <c r="AH1023">
        <f t="shared" ca="1" si="211"/>
        <v>0</v>
      </c>
      <c r="AI1023">
        <f t="shared" ca="1" si="212"/>
        <v>0</v>
      </c>
      <c r="AJ1023">
        <f t="shared" ca="1" si="213"/>
        <v>0</v>
      </c>
      <c r="AK1023">
        <f t="shared" ca="1" si="214"/>
        <v>0</v>
      </c>
      <c r="AL1023">
        <f t="shared" ca="1" si="215"/>
        <v>0</v>
      </c>
    </row>
    <row r="1024" spans="1:38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#N/A, OFFSET(data!$A$1, ROW()-1, AA$1-1))</f>
        <v>0</v>
      </c>
      <c r="AB1024">
        <f t="shared" ca="1" si="206"/>
        <v>0</v>
      </c>
      <c r="AC1024" t="e">
        <f t="shared" ca="1" si="207"/>
        <v>#VALUE!</v>
      </c>
      <c r="AD1024" t="str">
        <f t="shared" ca="1" si="208"/>
        <v>0</v>
      </c>
      <c r="AE1024" t="str">
        <f t="shared" ca="1" si="209"/>
        <v/>
      </c>
      <c r="AF1024" s="6">
        <f t="shared" ca="1" si="210"/>
        <v>0</v>
      </c>
      <c r="AG1024">
        <f t="shared" ca="1" si="216"/>
        <v>0</v>
      </c>
      <c r="AH1024">
        <f t="shared" ca="1" si="211"/>
        <v>0</v>
      </c>
      <c r="AI1024">
        <f t="shared" ca="1" si="212"/>
        <v>0</v>
      </c>
      <c r="AJ1024">
        <f t="shared" ca="1" si="213"/>
        <v>0</v>
      </c>
      <c r="AK1024">
        <f t="shared" ca="1" si="214"/>
        <v>0</v>
      </c>
      <c r="AL1024">
        <f t="shared" ca="1" si="215"/>
        <v>0</v>
      </c>
    </row>
    <row r="1025" spans="1:38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#N/A, OFFSET(data!$A$1, ROW()-1, AA$1-1))</f>
        <v>0</v>
      </c>
      <c r="AB1025">
        <f t="shared" ca="1" si="206"/>
        <v>0</v>
      </c>
      <c r="AC1025" t="e">
        <f t="shared" ca="1" si="207"/>
        <v>#VALUE!</v>
      </c>
      <c r="AD1025" t="str">
        <f t="shared" ca="1" si="208"/>
        <v>0</v>
      </c>
      <c r="AE1025" t="str">
        <f t="shared" ca="1" si="209"/>
        <v/>
      </c>
      <c r="AF1025" s="6">
        <f t="shared" ca="1" si="210"/>
        <v>0</v>
      </c>
      <c r="AG1025">
        <f t="shared" ca="1" si="216"/>
        <v>0</v>
      </c>
      <c r="AH1025">
        <f t="shared" ca="1" si="211"/>
        <v>0</v>
      </c>
      <c r="AI1025">
        <f t="shared" ca="1" si="212"/>
        <v>0</v>
      </c>
      <c r="AJ1025">
        <f t="shared" ca="1" si="213"/>
        <v>0</v>
      </c>
      <c r="AK1025">
        <f t="shared" ca="1" si="214"/>
        <v>0</v>
      </c>
      <c r="AL1025">
        <f t="shared" ca="1" si="215"/>
        <v>0</v>
      </c>
    </row>
    <row r="1026" spans="1:38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#N/A, OFFSET(data!$A$1, ROW()-1, AA$1-1))</f>
        <v>0</v>
      </c>
      <c r="AB1026">
        <f t="shared" ca="1" si="206"/>
        <v>0</v>
      </c>
      <c r="AC1026" t="e">
        <f t="shared" ca="1" si="207"/>
        <v>#VALUE!</v>
      </c>
      <c r="AD1026" t="str">
        <f t="shared" ca="1" si="208"/>
        <v>0</v>
      </c>
      <c r="AE1026" t="str">
        <f t="shared" ca="1" si="209"/>
        <v/>
      </c>
      <c r="AF1026" s="6">
        <f t="shared" ca="1" si="210"/>
        <v>0</v>
      </c>
      <c r="AG1026">
        <f t="shared" ca="1" si="216"/>
        <v>0</v>
      </c>
      <c r="AH1026">
        <f t="shared" ca="1" si="211"/>
        <v>0</v>
      </c>
      <c r="AI1026">
        <f t="shared" ca="1" si="212"/>
        <v>0</v>
      </c>
      <c r="AJ1026">
        <f t="shared" ca="1" si="213"/>
        <v>0</v>
      </c>
      <c r="AK1026">
        <f t="shared" ca="1" si="214"/>
        <v>0</v>
      </c>
      <c r="AL1026">
        <f t="shared" ca="1" si="215"/>
        <v>0</v>
      </c>
    </row>
    <row r="1027" spans="1:38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#N/A, OFFSET(data!$A$1, ROW()-1, AA$1-1))</f>
        <v>0</v>
      </c>
      <c r="AB1027">
        <f t="shared" ref="AB1027:AB1090" ca="1" si="217">VALUE(LEFT(C1027, 4))</f>
        <v>0</v>
      </c>
      <c r="AC1027" t="e">
        <f t="shared" ref="AC1027:AC1090" ca="1" si="218">VALUE(MID(C1027, 6, 2))</f>
        <v>#VALUE!</v>
      </c>
      <c r="AD1027" t="str">
        <f t="shared" ref="AD1027:AD1090" ca="1" si="219">SUBSTITUTE(MID(C1027,6,6)&amp;LEFT(C1027,4), "-", "/")</f>
        <v>0</v>
      </c>
      <c r="AE1027" t="str">
        <f t="shared" ref="AE1027:AE1090" ca="1" si="220">IF(RIGHT(C1027, 5)="12:00", AD1027, "")</f>
        <v/>
      </c>
      <c r="AF1027" s="6">
        <f t="shared" ref="AF1027:AF1090" ca="1" si="221">Z1027/1000</f>
        <v>0</v>
      </c>
      <c r="AG1027">
        <f t="shared" ca="1" si="216"/>
        <v>0</v>
      </c>
      <c r="AH1027">
        <f t="shared" ca="1" si="211"/>
        <v>0</v>
      </c>
      <c r="AI1027">
        <f t="shared" ca="1" si="212"/>
        <v>0</v>
      </c>
      <c r="AJ1027">
        <f t="shared" ca="1" si="213"/>
        <v>0</v>
      </c>
      <c r="AK1027">
        <f t="shared" ca="1" si="214"/>
        <v>0</v>
      </c>
      <c r="AL1027">
        <f t="shared" ca="1" si="215"/>
        <v>0</v>
      </c>
    </row>
    <row r="1028" spans="1:38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#N/A, OFFSET(data!$A$1, ROW()-1, AA$1-1))</f>
        <v>0</v>
      </c>
      <c r="AB1028">
        <f t="shared" ca="1" si="217"/>
        <v>0</v>
      </c>
      <c r="AC1028" t="e">
        <f t="shared" ca="1" si="218"/>
        <v>#VALUE!</v>
      </c>
      <c r="AD1028" t="str">
        <f t="shared" ca="1" si="219"/>
        <v>0</v>
      </c>
      <c r="AE1028" t="str">
        <f t="shared" ca="1" si="220"/>
        <v/>
      </c>
      <c r="AF1028" s="6">
        <f t="shared" ca="1" si="221"/>
        <v>0</v>
      </c>
      <c r="AG1028">
        <f t="shared" ca="1" si="216"/>
        <v>0</v>
      </c>
      <c r="AH1028">
        <f t="shared" ref="AH1028:AH1091" ca="1" si="222">MAX(S1028,Y1028)</f>
        <v>0</v>
      </c>
      <c r="AI1028">
        <f t="shared" ref="AI1028:AI1091" ca="1" si="223">MAX(R1028,V1028)</f>
        <v>0</v>
      </c>
      <c r="AJ1028">
        <f t="shared" ref="AJ1028:AJ1091" ca="1" si="224">K1028+N1028</f>
        <v>0</v>
      </c>
      <c r="AK1028">
        <f t="shared" ref="AK1028:AK1091" ca="1" si="225">L1028+O1028</f>
        <v>0</v>
      </c>
      <c r="AL1028">
        <f t="shared" ref="AL1028:AL1091" ca="1" si="226">M1028+P1028</f>
        <v>0</v>
      </c>
    </row>
    <row r="1029" spans="1:38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#N/A, OFFSET(data!$A$1, ROW()-1, AA$1-1))</f>
        <v>0</v>
      </c>
      <c r="AB1029">
        <f t="shared" ca="1" si="217"/>
        <v>0</v>
      </c>
      <c r="AC1029" t="e">
        <f t="shared" ca="1" si="218"/>
        <v>#VALUE!</v>
      </c>
      <c r="AD1029" t="str">
        <f t="shared" ca="1" si="219"/>
        <v>0</v>
      </c>
      <c r="AE1029" t="str">
        <f t="shared" ca="1" si="220"/>
        <v/>
      </c>
      <c r="AF1029" s="6">
        <f t="shared" ca="1" si="221"/>
        <v>0</v>
      </c>
      <c r="AG1029">
        <f t="shared" ca="1" si="216"/>
        <v>0</v>
      </c>
      <c r="AH1029">
        <f t="shared" ca="1" si="222"/>
        <v>0</v>
      </c>
      <c r="AI1029">
        <f t="shared" ca="1" si="223"/>
        <v>0</v>
      </c>
      <c r="AJ1029">
        <f t="shared" ca="1" si="224"/>
        <v>0</v>
      </c>
      <c r="AK1029">
        <f t="shared" ca="1" si="225"/>
        <v>0</v>
      </c>
      <c r="AL1029">
        <f t="shared" ca="1" si="226"/>
        <v>0</v>
      </c>
    </row>
    <row r="1030" spans="1:38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#N/A, OFFSET(data!$A$1, ROW()-1, AA$1-1))</f>
        <v>0</v>
      </c>
      <c r="AB1030">
        <f t="shared" ca="1" si="217"/>
        <v>0</v>
      </c>
      <c r="AC1030" t="e">
        <f t="shared" ca="1" si="218"/>
        <v>#VALUE!</v>
      </c>
      <c r="AD1030" t="str">
        <f t="shared" ca="1" si="219"/>
        <v>0</v>
      </c>
      <c r="AE1030" t="str">
        <f t="shared" ca="1" si="220"/>
        <v/>
      </c>
      <c r="AF1030" s="6">
        <f t="shared" ca="1" si="221"/>
        <v>0</v>
      </c>
      <c r="AG1030">
        <f t="shared" ca="1" si="216"/>
        <v>0</v>
      </c>
      <c r="AH1030">
        <f t="shared" ca="1" si="222"/>
        <v>0</v>
      </c>
      <c r="AI1030">
        <f t="shared" ca="1" si="223"/>
        <v>0</v>
      </c>
      <c r="AJ1030">
        <f t="shared" ca="1" si="224"/>
        <v>0</v>
      </c>
      <c r="AK1030">
        <f t="shared" ca="1" si="225"/>
        <v>0</v>
      </c>
      <c r="AL1030">
        <f t="shared" ca="1" si="226"/>
        <v>0</v>
      </c>
    </row>
    <row r="1031" spans="1:38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#N/A, OFFSET(data!$A$1, ROW()-1, AA$1-1))</f>
        <v>0</v>
      </c>
      <c r="AB1031">
        <f t="shared" ca="1" si="217"/>
        <v>0</v>
      </c>
      <c r="AC1031" t="e">
        <f t="shared" ca="1" si="218"/>
        <v>#VALUE!</v>
      </c>
      <c r="AD1031" t="str">
        <f t="shared" ca="1" si="219"/>
        <v>0</v>
      </c>
      <c r="AE1031" t="str">
        <f t="shared" ca="1" si="220"/>
        <v/>
      </c>
      <c r="AF1031" s="6">
        <f t="shared" ca="1" si="221"/>
        <v>0</v>
      </c>
      <c r="AG1031">
        <f t="shared" ca="1" si="216"/>
        <v>0</v>
      </c>
      <c r="AH1031">
        <f t="shared" ca="1" si="222"/>
        <v>0</v>
      </c>
      <c r="AI1031">
        <f t="shared" ca="1" si="223"/>
        <v>0</v>
      </c>
      <c r="AJ1031">
        <f t="shared" ca="1" si="224"/>
        <v>0</v>
      </c>
      <c r="AK1031">
        <f t="shared" ca="1" si="225"/>
        <v>0</v>
      </c>
      <c r="AL1031">
        <f t="shared" ca="1" si="226"/>
        <v>0</v>
      </c>
    </row>
    <row r="1032" spans="1:38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#N/A, OFFSET(data!$A$1, ROW()-1, AA$1-1))</f>
        <v>0</v>
      </c>
      <c r="AB1032">
        <f t="shared" ca="1" si="217"/>
        <v>0</v>
      </c>
      <c r="AC1032" t="e">
        <f t="shared" ca="1" si="218"/>
        <v>#VALUE!</v>
      </c>
      <c r="AD1032" t="str">
        <f t="shared" ca="1" si="219"/>
        <v>0</v>
      </c>
      <c r="AE1032" t="str">
        <f t="shared" ca="1" si="220"/>
        <v/>
      </c>
      <c r="AF1032" s="6">
        <f t="shared" ca="1" si="221"/>
        <v>0</v>
      </c>
      <c r="AG1032">
        <f t="shared" ca="1" si="216"/>
        <v>0</v>
      </c>
      <c r="AH1032">
        <f t="shared" ca="1" si="222"/>
        <v>0</v>
      </c>
      <c r="AI1032">
        <f t="shared" ca="1" si="223"/>
        <v>0</v>
      </c>
      <c r="AJ1032">
        <f t="shared" ca="1" si="224"/>
        <v>0</v>
      </c>
      <c r="AK1032">
        <f t="shared" ca="1" si="225"/>
        <v>0</v>
      </c>
      <c r="AL1032">
        <f t="shared" ca="1" si="226"/>
        <v>0</v>
      </c>
    </row>
    <row r="1033" spans="1:38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#N/A, OFFSET(data!$A$1, ROW()-1, AA$1-1))</f>
        <v>0</v>
      </c>
      <c r="AB1033">
        <f t="shared" ca="1" si="217"/>
        <v>0</v>
      </c>
      <c r="AC1033" t="e">
        <f t="shared" ca="1" si="218"/>
        <v>#VALUE!</v>
      </c>
      <c r="AD1033" t="str">
        <f t="shared" ca="1" si="219"/>
        <v>0</v>
      </c>
      <c r="AE1033" t="str">
        <f t="shared" ca="1" si="220"/>
        <v/>
      </c>
      <c r="AF1033" s="6">
        <f t="shared" ca="1" si="221"/>
        <v>0</v>
      </c>
      <c r="AG1033">
        <f t="shared" ca="1" si="216"/>
        <v>0</v>
      </c>
      <c r="AH1033">
        <f t="shared" ca="1" si="222"/>
        <v>0</v>
      </c>
      <c r="AI1033">
        <f t="shared" ca="1" si="223"/>
        <v>0</v>
      </c>
      <c r="AJ1033">
        <f t="shared" ca="1" si="224"/>
        <v>0</v>
      </c>
      <c r="AK1033">
        <f t="shared" ca="1" si="225"/>
        <v>0</v>
      </c>
      <c r="AL1033">
        <f t="shared" ca="1" si="226"/>
        <v>0</v>
      </c>
    </row>
    <row r="1034" spans="1:38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#N/A, OFFSET(data!$A$1, ROW()-1, AA$1-1))</f>
        <v>0</v>
      </c>
      <c r="AB1034">
        <f t="shared" ca="1" si="217"/>
        <v>0</v>
      </c>
      <c r="AC1034" t="e">
        <f t="shared" ca="1" si="218"/>
        <v>#VALUE!</v>
      </c>
      <c r="AD1034" t="str">
        <f t="shared" ca="1" si="219"/>
        <v>0</v>
      </c>
      <c r="AE1034" t="str">
        <f t="shared" ca="1" si="220"/>
        <v/>
      </c>
      <c r="AF1034" s="6">
        <f t="shared" ca="1" si="221"/>
        <v>0</v>
      </c>
      <c r="AG1034">
        <f t="shared" ca="1" si="216"/>
        <v>0</v>
      </c>
      <c r="AH1034">
        <f t="shared" ca="1" si="222"/>
        <v>0</v>
      </c>
      <c r="AI1034">
        <f t="shared" ca="1" si="223"/>
        <v>0</v>
      </c>
      <c r="AJ1034">
        <f t="shared" ca="1" si="224"/>
        <v>0</v>
      </c>
      <c r="AK1034">
        <f t="shared" ca="1" si="225"/>
        <v>0</v>
      </c>
      <c r="AL1034">
        <f t="shared" ca="1" si="226"/>
        <v>0</v>
      </c>
    </row>
    <row r="1035" spans="1:38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#N/A, OFFSET(data!$A$1, ROW()-1, AA$1-1))</f>
        <v>0</v>
      </c>
      <c r="AB1035">
        <f t="shared" ca="1" si="217"/>
        <v>0</v>
      </c>
      <c r="AC1035" t="e">
        <f t="shared" ca="1" si="218"/>
        <v>#VALUE!</v>
      </c>
      <c r="AD1035" t="str">
        <f t="shared" ca="1" si="219"/>
        <v>0</v>
      </c>
      <c r="AE1035" t="str">
        <f t="shared" ca="1" si="220"/>
        <v/>
      </c>
      <c r="AF1035" s="6">
        <f t="shared" ca="1" si="221"/>
        <v>0</v>
      </c>
      <c r="AG1035">
        <f t="shared" ca="1" si="216"/>
        <v>0</v>
      </c>
      <c r="AH1035">
        <f t="shared" ca="1" si="222"/>
        <v>0</v>
      </c>
      <c r="AI1035">
        <f t="shared" ca="1" si="223"/>
        <v>0</v>
      </c>
      <c r="AJ1035">
        <f t="shared" ca="1" si="224"/>
        <v>0</v>
      </c>
      <c r="AK1035">
        <f t="shared" ca="1" si="225"/>
        <v>0</v>
      </c>
      <c r="AL1035">
        <f t="shared" ca="1" si="226"/>
        <v>0</v>
      </c>
    </row>
    <row r="1036" spans="1:38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#N/A, OFFSET(data!$A$1, ROW()-1, AA$1-1))</f>
        <v>0</v>
      </c>
      <c r="AB1036">
        <f t="shared" ca="1" si="217"/>
        <v>0</v>
      </c>
      <c r="AC1036" t="e">
        <f t="shared" ca="1" si="218"/>
        <v>#VALUE!</v>
      </c>
      <c r="AD1036" t="str">
        <f t="shared" ca="1" si="219"/>
        <v>0</v>
      </c>
      <c r="AE1036" t="str">
        <f t="shared" ca="1" si="220"/>
        <v/>
      </c>
      <c r="AF1036" s="6">
        <f t="shared" ca="1" si="221"/>
        <v>0</v>
      </c>
      <c r="AG1036">
        <f t="shared" ca="1" si="216"/>
        <v>0</v>
      </c>
      <c r="AH1036">
        <f t="shared" ca="1" si="222"/>
        <v>0</v>
      </c>
      <c r="AI1036">
        <f t="shared" ca="1" si="223"/>
        <v>0</v>
      </c>
      <c r="AJ1036">
        <f t="shared" ca="1" si="224"/>
        <v>0</v>
      </c>
      <c r="AK1036">
        <f t="shared" ca="1" si="225"/>
        <v>0</v>
      </c>
      <c r="AL1036">
        <f t="shared" ca="1" si="226"/>
        <v>0</v>
      </c>
    </row>
    <row r="1037" spans="1:38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#N/A, OFFSET(data!$A$1, ROW()-1, AA$1-1))</f>
        <v>0</v>
      </c>
      <c r="AB1037">
        <f t="shared" ca="1" si="217"/>
        <v>0</v>
      </c>
      <c r="AC1037" t="e">
        <f t="shared" ca="1" si="218"/>
        <v>#VALUE!</v>
      </c>
      <c r="AD1037" t="str">
        <f t="shared" ca="1" si="219"/>
        <v>0</v>
      </c>
      <c r="AE1037" t="str">
        <f t="shared" ca="1" si="220"/>
        <v/>
      </c>
      <c r="AF1037" s="6">
        <f t="shared" ca="1" si="221"/>
        <v>0</v>
      </c>
      <c r="AG1037">
        <f t="shared" ca="1" si="216"/>
        <v>0</v>
      </c>
      <c r="AH1037">
        <f t="shared" ca="1" si="222"/>
        <v>0</v>
      </c>
      <c r="AI1037">
        <f t="shared" ca="1" si="223"/>
        <v>0</v>
      </c>
      <c r="AJ1037">
        <f t="shared" ca="1" si="224"/>
        <v>0</v>
      </c>
      <c r="AK1037">
        <f t="shared" ca="1" si="225"/>
        <v>0</v>
      </c>
      <c r="AL1037">
        <f t="shared" ca="1" si="226"/>
        <v>0</v>
      </c>
    </row>
    <row r="1038" spans="1:38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#N/A, OFFSET(data!$A$1, ROW()-1, AA$1-1))</f>
        <v>0</v>
      </c>
      <c r="AB1038">
        <f t="shared" ca="1" si="217"/>
        <v>0</v>
      </c>
      <c r="AC1038" t="e">
        <f t="shared" ca="1" si="218"/>
        <v>#VALUE!</v>
      </c>
      <c r="AD1038" t="str">
        <f t="shared" ca="1" si="219"/>
        <v>0</v>
      </c>
      <c r="AE1038" t="str">
        <f t="shared" ca="1" si="220"/>
        <v/>
      </c>
      <c r="AF1038" s="6">
        <f t="shared" ca="1" si="221"/>
        <v>0</v>
      </c>
      <c r="AG1038">
        <f t="shared" ca="1" si="216"/>
        <v>0</v>
      </c>
      <c r="AH1038">
        <f t="shared" ca="1" si="222"/>
        <v>0</v>
      </c>
      <c r="AI1038">
        <f t="shared" ca="1" si="223"/>
        <v>0</v>
      </c>
      <c r="AJ1038">
        <f t="shared" ca="1" si="224"/>
        <v>0</v>
      </c>
      <c r="AK1038">
        <f t="shared" ca="1" si="225"/>
        <v>0</v>
      </c>
      <c r="AL1038">
        <f t="shared" ca="1" si="226"/>
        <v>0</v>
      </c>
    </row>
    <row r="1039" spans="1:38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#N/A, OFFSET(data!$A$1, ROW()-1, AA$1-1))</f>
        <v>0</v>
      </c>
      <c r="AB1039">
        <f t="shared" ca="1" si="217"/>
        <v>0</v>
      </c>
      <c r="AC1039" t="e">
        <f t="shared" ca="1" si="218"/>
        <v>#VALUE!</v>
      </c>
      <c r="AD1039" t="str">
        <f t="shared" ca="1" si="219"/>
        <v>0</v>
      </c>
      <c r="AE1039" t="str">
        <f t="shared" ca="1" si="220"/>
        <v/>
      </c>
      <c r="AF1039" s="6">
        <f t="shared" ca="1" si="221"/>
        <v>0</v>
      </c>
      <c r="AG1039">
        <f t="shared" ca="1" si="216"/>
        <v>0</v>
      </c>
      <c r="AH1039">
        <f t="shared" ca="1" si="222"/>
        <v>0</v>
      </c>
      <c r="AI1039">
        <f t="shared" ca="1" si="223"/>
        <v>0</v>
      </c>
      <c r="AJ1039">
        <f t="shared" ca="1" si="224"/>
        <v>0</v>
      </c>
      <c r="AK1039">
        <f t="shared" ca="1" si="225"/>
        <v>0</v>
      </c>
      <c r="AL1039">
        <f t="shared" ca="1" si="226"/>
        <v>0</v>
      </c>
    </row>
    <row r="1040" spans="1:38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#N/A, OFFSET(data!$A$1, ROW()-1, AA$1-1))</f>
        <v>0</v>
      </c>
      <c r="AB1040">
        <f t="shared" ca="1" si="217"/>
        <v>0</v>
      </c>
      <c r="AC1040" t="e">
        <f t="shared" ca="1" si="218"/>
        <v>#VALUE!</v>
      </c>
      <c r="AD1040" t="str">
        <f t="shared" ca="1" si="219"/>
        <v>0</v>
      </c>
      <c r="AE1040" t="str">
        <f t="shared" ca="1" si="220"/>
        <v/>
      </c>
      <c r="AF1040" s="6">
        <f t="shared" ca="1" si="221"/>
        <v>0</v>
      </c>
      <c r="AG1040">
        <f t="shared" ca="1" si="216"/>
        <v>0</v>
      </c>
      <c r="AH1040">
        <f t="shared" ca="1" si="222"/>
        <v>0</v>
      </c>
      <c r="AI1040">
        <f t="shared" ca="1" si="223"/>
        <v>0</v>
      </c>
      <c r="AJ1040">
        <f t="shared" ca="1" si="224"/>
        <v>0</v>
      </c>
      <c r="AK1040">
        <f t="shared" ca="1" si="225"/>
        <v>0</v>
      </c>
      <c r="AL1040">
        <f t="shared" ca="1" si="226"/>
        <v>0</v>
      </c>
    </row>
    <row r="1041" spans="1:38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#N/A, OFFSET(data!$A$1, ROW()-1, AA$1-1))</f>
        <v>0</v>
      </c>
      <c r="AB1041">
        <f t="shared" ca="1" si="217"/>
        <v>0</v>
      </c>
      <c r="AC1041" t="e">
        <f t="shared" ca="1" si="218"/>
        <v>#VALUE!</v>
      </c>
      <c r="AD1041" t="str">
        <f t="shared" ca="1" si="219"/>
        <v>0</v>
      </c>
      <c r="AE1041" t="str">
        <f t="shared" ca="1" si="220"/>
        <v/>
      </c>
      <c r="AF1041" s="6">
        <f t="shared" ca="1" si="221"/>
        <v>0</v>
      </c>
      <c r="AG1041">
        <f t="shared" ca="1" si="216"/>
        <v>0</v>
      </c>
      <c r="AH1041">
        <f t="shared" ca="1" si="222"/>
        <v>0</v>
      </c>
      <c r="AI1041">
        <f t="shared" ca="1" si="223"/>
        <v>0</v>
      </c>
      <c r="AJ1041">
        <f t="shared" ca="1" si="224"/>
        <v>0</v>
      </c>
      <c r="AK1041">
        <f t="shared" ca="1" si="225"/>
        <v>0</v>
      </c>
      <c r="AL1041">
        <f t="shared" ca="1" si="226"/>
        <v>0</v>
      </c>
    </row>
    <row r="1042" spans="1:38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#N/A, OFFSET(data!$A$1, ROW()-1, AA$1-1))</f>
        <v>0</v>
      </c>
      <c r="AB1042">
        <f t="shared" ca="1" si="217"/>
        <v>0</v>
      </c>
      <c r="AC1042" t="e">
        <f t="shared" ca="1" si="218"/>
        <v>#VALUE!</v>
      </c>
      <c r="AD1042" t="str">
        <f t="shared" ca="1" si="219"/>
        <v>0</v>
      </c>
      <c r="AE1042" t="str">
        <f t="shared" ca="1" si="220"/>
        <v/>
      </c>
      <c r="AF1042" s="6">
        <f t="shared" ca="1" si="221"/>
        <v>0</v>
      </c>
      <c r="AG1042">
        <f t="shared" ca="1" si="216"/>
        <v>0</v>
      </c>
      <c r="AH1042">
        <f t="shared" ca="1" si="222"/>
        <v>0</v>
      </c>
      <c r="AI1042">
        <f t="shared" ca="1" si="223"/>
        <v>0</v>
      </c>
      <c r="AJ1042">
        <f t="shared" ca="1" si="224"/>
        <v>0</v>
      </c>
      <c r="AK1042">
        <f t="shared" ca="1" si="225"/>
        <v>0</v>
      </c>
      <c r="AL1042">
        <f t="shared" ca="1" si="226"/>
        <v>0</v>
      </c>
    </row>
    <row r="1043" spans="1:38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#N/A, OFFSET(data!$A$1, ROW()-1, AA$1-1))</f>
        <v>0</v>
      </c>
      <c r="AB1043">
        <f t="shared" ca="1" si="217"/>
        <v>0</v>
      </c>
      <c r="AC1043" t="e">
        <f t="shared" ca="1" si="218"/>
        <v>#VALUE!</v>
      </c>
      <c r="AD1043" t="str">
        <f t="shared" ca="1" si="219"/>
        <v>0</v>
      </c>
      <c r="AE1043" t="str">
        <f t="shared" ca="1" si="220"/>
        <v/>
      </c>
      <c r="AF1043" s="6">
        <f t="shared" ca="1" si="221"/>
        <v>0</v>
      </c>
      <c r="AG1043">
        <f t="shared" ca="1" si="216"/>
        <v>0</v>
      </c>
      <c r="AH1043">
        <f t="shared" ca="1" si="222"/>
        <v>0</v>
      </c>
      <c r="AI1043">
        <f t="shared" ca="1" si="223"/>
        <v>0</v>
      </c>
      <c r="AJ1043">
        <f t="shared" ca="1" si="224"/>
        <v>0</v>
      </c>
      <c r="AK1043">
        <f t="shared" ca="1" si="225"/>
        <v>0</v>
      </c>
      <c r="AL1043">
        <f t="shared" ca="1" si="226"/>
        <v>0</v>
      </c>
    </row>
    <row r="1044" spans="1:38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#N/A, OFFSET(data!$A$1, ROW()-1, AA$1-1))</f>
        <v>0</v>
      </c>
      <c r="AB1044">
        <f t="shared" ca="1" si="217"/>
        <v>0</v>
      </c>
      <c r="AC1044" t="e">
        <f t="shared" ca="1" si="218"/>
        <v>#VALUE!</v>
      </c>
      <c r="AD1044" t="str">
        <f t="shared" ca="1" si="219"/>
        <v>0</v>
      </c>
      <c r="AE1044" t="str">
        <f t="shared" ca="1" si="220"/>
        <v/>
      </c>
      <c r="AF1044" s="6">
        <f t="shared" ca="1" si="221"/>
        <v>0</v>
      </c>
      <c r="AG1044">
        <f t="shared" ca="1" si="216"/>
        <v>0</v>
      </c>
      <c r="AH1044">
        <f t="shared" ca="1" si="222"/>
        <v>0</v>
      </c>
      <c r="AI1044">
        <f t="shared" ca="1" si="223"/>
        <v>0</v>
      </c>
      <c r="AJ1044">
        <f t="shared" ca="1" si="224"/>
        <v>0</v>
      </c>
      <c r="AK1044">
        <f t="shared" ca="1" si="225"/>
        <v>0</v>
      </c>
      <c r="AL1044">
        <f t="shared" ca="1" si="226"/>
        <v>0</v>
      </c>
    </row>
    <row r="1045" spans="1:38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#N/A, OFFSET(data!$A$1, ROW()-1, AA$1-1))</f>
        <v>0</v>
      </c>
      <c r="AB1045">
        <f t="shared" ca="1" si="217"/>
        <v>0</v>
      </c>
      <c r="AC1045" t="e">
        <f t="shared" ca="1" si="218"/>
        <v>#VALUE!</v>
      </c>
      <c r="AD1045" t="str">
        <f t="shared" ca="1" si="219"/>
        <v>0</v>
      </c>
      <c r="AE1045" t="str">
        <f t="shared" ca="1" si="220"/>
        <v/>
      </c>
      <c r="AF1045" s="6">
        <f t="shared" ca="1" si="221"/>
        <v>0</v>
      </c>
      <c r="AG1045">
        <f t="shared" ca="1" si="216"/>
        <v>0</v>
      </c>
      <c r="AH1045">
        <f t="shared" ca="1" si="222"/>
        <v>0</v>
      </c>
      <c r="AI1045">
        <f t="shared" ca="1" si="223"/>
        <v>0</v>
      </c>
      <c r="AJ1045">
        <f t="shared" ca="1" si="224"/>
        <v>0</v>
      </c>
      <c r="AK1045">
        <f t="shared" ca="1" si="225"/>
        <v>0</v>
      </c>
      <c r="AL1045">
        <f t="shared" ca="1" si="226"/>
        <v>0</v>
      </c>
    </row>
    <row r="1046" spans="1:38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#N/A, OFFSET(data!$A$1, ROW()-1, AA$1-1))</f>
        <v>0</v>
      </c>
      <c r="AB1046">
        <f t="shared" ca="1" si="217"/>
        <v>0</v>
      </c>
      <c r="AC1046" t="e">
        <f t="shared" ca="1" si="218"/>
        <v>#VALUE!</v>
      </c>
      <c r="AD1046" t="str">
        <f t="shared" ca="1" si="219"/>
        <v>0</v>
      </c>
      <c r="AE1046" t="str">
        <f t="shared" ca="1" si="220"/>
        <v/>
      </c>
      <c r="AF1046" s="6">
        <f t="shared" ca="1" si="221"/>
        <v>0</v>
      </c>
      <c r="AG1046">
        <f t="shared" ca="1" si="216"/>
        <v>0</v>
      </c>
      <c r="AH1046">
        <f t="shared" ca="1" si="222"/>
        <v>0</v>
      </c>
      <c r="AI1046">
        <f t="shared" ca="1" si="223"/>
        <v>0</v>
      </c>
      <c r="AJ1046">
        <f t="shared" ca="1" si="224"/>
        <v>0</v>
      </c>
      <c r="AK1046">
        <f t="shared" ca="1" si="225"/>
        <v>0</v>
      </c>
      <c r="AL1046">
        <f t="shared" ca="1" si="226"/>
        <v>0</v>
      </c>
    </row>
    <row r="1047" spans="1:38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#N/A, OFFSET(data!$A$1, ROW()-1, AA$1-1))</f>
        <v>0</v>
      </c>
      <c r="AB1047">
        <f t="shared" ca="1" si="217"/>
        <v>0</v>
      </c>
      <c r="AC1047" t="e">
        <f t="shared" ca="1" si="218"/>
        <v>#VALUE!</v>
      </c>
      <c r="AD1047" t="str">
        <f t="shared" ca="1" si="219"/>
        <v>0</v>
      </c>
      <c r="AE1047" t="str">
        <f t="shared" ca="1" si="220"/>
        <v/>
      </c>
      <c r="AF1047" s="6">
        <f t="shared" ca="1" si="221"/>
        <v>0</v>
      </c>
      <c r="AG1047">
        <f t="shared" ca="1" si="216"/>
        <v>0</v>
      </c>
      <c r="AH1047">
        <f t="shared" ca="1" si="222"/>
        <v>0</v>
      </c>
      <c r="AI1047">
        <f t="shared" ca="1" si="223"/>
        <v>0</v>
      </c>
      <c r="AJ1047">
        <f t="shared" ca="1" si="224"/>
        <v>0</v>
      </c>
      <c r="AK1047">
        <f t="shared" ca="1" si="225"/>
        <v>0</v>
      </c>
      <c r="AL1047">
        <f t="shared" ca="1" si="226"/>
        <v>0</v>
      </c>
    </row>
    <row r="1048" spans="1:38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#N/A, OFFSET(data!$A$1, ROW()-1, AA$1-1))</f>
        <v>0</v>
      </c>
      <c r="AB1048">
        <f t="shared" ca="1" si="217"/>
        <v>0</v>
      </c>
      <c r="AC1048" t="e">
        <f t="shared" ca="1" si="218"/>
        <v>#VALUE!</v>
      </c>
      <c r="AD1048" t="str">
        <f t="shared" ca="1" si="219"/>
        <v>0</v>
      </c>
      <c r="AE1048" t="str">
        <f t="shared" ca="1" si="220"/>
        <v/>
      </c>
      <c r="AF1048" s="6">
        <f t="shared" ca="1" si="221"/>
        <v>0</v>
      </c>
      <c r="AG1048">
        <f t="shared" ca="1" si="216"/>
        <v>0</v>
      </c>
      <c r="AH1048">
        <f t="shared" ca="1" si="222"/>
        <v>0</v>
      </c>
      <c r="AI1048">
        <f t="shared" ca="1" si="223"/>
        <v>0</v>
      </c>
      <c r="AJ1048">
        <f t="shared" ca="1" si="224"/>
        <v>0</v>
      </c>
      <c r="AK1048">
        <f t="shared" ca="1" si="225"/>
        <v>0</v>
      </c>
      <c r="AL1048">
        <f t="shared" ca="1" si="226"/>
        <v>0</v>
      </c>
    </row>
    <row r="1049" spans="1:38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#N/A, OFFSET(data!$A$1, ROW()-1, AA$1-1))</f>
        <v>0</v>
      </c>
      <c r="AB1049">
        <f t="shared" ca="1" si="217"/>
        <v>0</v>
      </c>
      <c r="AC1049" t="e">
        <f t="shared" ca="1" si="218"/>
        <v>#VALUE!</v>
      </c>
      <c r="AD1049" t="str">
        <f t="shared" ca="1" si="219"/>
        <v>0</v>
      </c>
      <c r="AE1049" t="str">
        <f t="shared" ca="1" si="220"/>
        <v/>
      </c>
      <c r="AF1049" s="6">
        <f t="shared" ca="1" si="221"/>
        <v>0</v>
      </c>
      <c r="AG1049">
        <f t="shared" ca="1" si="216"/>
        <v>0</v>
      </c>
      <c r="AH1049">
        <f t="shared" ca="1" si="222"/>
        <v>0</v>
      </c>
      <c r="AI1049">
        <f t="shared" ca="1" si="223"/>
        <v>0</v>
      </c>
      <c r="AJ1049">
        <f t="shared" ca="1" si="224"/>
        <v>0</v>
      </c>
      <c r="AK1049">
        <f t="shared" ca="1" si="225"/>
        <v>0</v>
      </c>
      <c r="AL1049">
        <f t="shared" ca="1" si="226"/>
        <v>0</v>
      </c>
    </row>
    <row r="1050" spans="1:38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#N/A, OFFSET(data!$A$1, ROW()-1, AA$1-1))</f>
        <v>0</v>
      </c>
      <c r="AB1050">
        <f t="shared" ca="1" si="217"/>
        <v>0</v>
      </c>
      <c r="AC1050" t="e">
        <f t="shared" ca="1" si="218"/>
        <v>#VALUE!</v>
      </c>
      <c r="AD1050" t="str">
        <f t="shared" ca="1" si="219"/>
        <v>0</v>
      </c>
      <c r="AE1050" t="str">
        <f t="shared" ca="1" si="220"/>
        <v/>
      </c>
      <c r="AF1050" s="6">
        <f t="shared" ca="1" si="221"/>
        <v>0</v>
      </c>
      <c r="AG1050">
        <f t="shared" ca="1" si="216"/>
        <v>0</v>
      </c>
      <c r="AH1050">
        <f t="shared" ca="1" si="222"/>
        <v>0</v>
      </c>
      <c r="AI1050">
        <f t="shared" ca="1" si="223"/>
        <v>0</v>
      </c>
      <c r="AJ1050">
        <f t="shared" ca="1" si="224"/>
        <v>0</v>
      </c>
      <c r="AK1050">
        <f t="shared" ca="1" si="225"/>
        <v>0</v>
      </c>
      <c r="AL1050">
        <f t="shared" ca="1" si="226"/>
        <v>0</v>
      </c>
    </row>
    <row r="1051" spans="1:38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#N/A, OFFSET(data!$A$1, ROW()-1, AA$1-1))</f>
        <v>0</v>
      </c>
      <c r="AB1051">
        <f t="shared" ca="1" si="217"/>
        <v>0</v>
      </c>
      <c r="AC1051" t="e">
        <f t="shared" ca="1" si="218"/>
        <v>#VALUE!</v>
      </c>
      <c r="AD1051" t="str">
        <f t="shared" ca="1" si="219"/>
        <v>0</v>
      </c>
      <c r="AE1051" t="str">
        <f t="shared" ca="1" si="220"/>
        <v/>
      </c>
      <c r="AF1051" s="6">
        <f t="shared" ca="1" si="221"/>
        <v>0</v>
      </c>
      <c r="AG1051">
        <f t="shared" ca="1" si="216"/>
        <v>0</v>
      </c>
      <c r="AH1051">
        <f t="shared" ca="1" si="222"/>
        <v>0</v>
      </c>
      <c r="AI1051">
        <f t="shared" ca="1" si="223"/>
        <v>0</v>
      </c>
      <c r="AJ1051">
        <f t="shared" ca="1" si="224"/>
        <v>0</v>
      </c>
      <c r="AK1051">
        <f t="shared" ca="1" si="225"/>
        <v>0</v>
      </c>
      <c r="AL1051">
        <f t="shared" ca="1" si="226"/>
        <v>0</v>
      </c>
    </row>
    <row r="1052" spans="1:38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#N/A, OFFSET(data!$A$1, ROW()-1, AA$1-1))</f>
        <v>0</v>
      </c>
      <c r="AB1052">
        <f t="shared" ca="1" si="217"/>
        <v>0</v>
      </c>
      <c r="AC1052" t="e">
        <f t="shared" ca="1" si="218"/>
        <v>#VALUE!</v>
      </c>
      <c r="AD1052" t="str">
        <f t="shared" ca="1" si="219"/>
        <v>0</v>
      </c>
      <c r="AE1052" t="str">
        <f t="shared" ca="1" si="220"/>
        <v/>
      </c>
      <c r="AF1052" s="6">
        <f t="shared" ca="1" si="221"/>
        <v>0</v>
      </c>
      <c r="AG1052">
        <f t="shared" ca="1" si="216"/>
        <v>0</v>
      </c>
      <c r="AH1052">
        <f t="shared" ca="1" si="222"/>
        <v>0</v>
      </c>
      <c r="AI1052">
        <f t="shared" ca="1" si="223"/>
        <v>0</v>
      </c>
      <c r="AJ1052">
        <f t="shared" ca="1" si="224"/>
        <v>0</v>
      </c>
      <c r="AK1052">
        <f t="shared" ca="1" si="225"/>
        <v>0</v>
      </c>
      <c r="AL1052">
        <f t="shared" ca="1" si="226"/>
        <v>0</v>
      </c>
    </row>
    <row r="1053" spans="1:38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#N/A, OFFSET(data!$A$1, ROW()-1, AA$1-1))</f>
        <v>0</v>
      </c>
      <c r="AB1053">
        <f t="shared" ca="1" si="217"/>
        <v>0</v>
      </c>
      <c r="AC1053" t="e">
        <f t="shared" ca="1" si="218"/>
        <v>#VALUE!</v>
      </c>
      <c r="AD1053" t="str">
        <f t="shared" ca="1" si="219"/>
        <v>0</v>
      </c>
      <c r="AE1053" t="str">
        <f t="shared" ca="1" si="220"/>
        <v/>
      </c>
      <c r="AF1053" s="6">
        <f t="shared" ca="1" si="221"/>
        <v>0</v>
      </c>
      <c r="AG1053">
        <f t="shared" ca="1" si="216"/>
        <v>0</v>
      </c>
      <c r="AH1053">
        <f t="shared" ca="1" si="222"/>
        <v>0</v>
      </c>
      <c r="AI1053">
        <f t="shared" ca="1" si="223"/>
        <v>0</v>
      </c>
      <c r="AJ1053">
        <f t="shared" ca="1" si="224"/>
        <v>0</v>
      </c>
      <c r="AK1053">
        <f t="shared" ca="1" si="225"/>
        <v>0</v>
      </c>
      <c r="AL1053">
        <f t="shared" ca="1" si="226"/>
        <v>0</v>
      </c>
    </row>
    <row r="1054" spans="1:38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#N/A, OFFSET(data!$A$1, ROW()-1, AA$1-1))</f>
        <v>0</v>
      </c>
      <c r="AB1054">
        <f t="shared" ca="1" si="217"/>
        <v>0</v>
      </c>
      <c r="AC1054" t="e">
        <f t="shared" ca="1" si="218"/>
        <v>#VALUE!</v>
      </c>
      <c r="AD1054" t="str">
        <f t="shared" ca="1" si="219"/>
        <v>0</v>
      </c>
      <c r="AE1054" t="str">
        <f t="shared" ca="1" si="220"/>
        <v/>
      </c>
      <c r="AF1054" s="6">
        <f t="shared" ca="1" si="221"/>
        <v>0</v>
      </c>
      <c r="AG1054">
        <f t="shared" ca="1" si="216"/>
        <v>0</v>
      </c>
      <c r="AH1054">
        <f t="shared" ca="1" si="222"/>
        <v>0</v>
      </c>
      <c r="AI1054">
        <f t="shared" ca="1" si="223"/>
        <v>0</v>
      </c>
      <c r="AJ1054">
        <f t="shared" ca="1" si="224"/>
        <v>0</v>
      </c>
      <c r="AK1054">
        <f t="shared" ca="1" si="225"/>
        <v>0</v>
      </c>
      <c r="AL1054">
        <f t="shared" ca="1" si="226"/>
        <v>0</v>
      </c>
    </row>
    <row r="1055" spans="1:38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#N/A, OFFSET(data!$A$1, ROW()-1, AA$1-1))</f>
        <v>0</v>
      </c>
      <c r="AB1055">
        <f t="shared" ca="1" si="217"/>
        <v>0</v>
      </c>
      <c r="AC1055" t="e">
        <f t="shared" ca="1" si="218"/>
        <v>#VALUE!</v>
      </c>
      <c r="AD1055" t="str">
        <f t="shared" ca="1" si="219"/>
        <v>0</v>
      </c>
      <c r="AE1055" t="str">
        <f t="shared" ca="1" si="220"/>
        <v/>
      </c>
      <c r="AF1055" s="6">
        <f t="shared" ca="1" si="221"/>
        <v>0</v>
      </c>
      <c r="AG1055">
        <f t="shared" ca="1" si="216"/>
        <v>0</v>
      </c>
      <c r="AH1055">
        <f t="shared" ca="1" si="222"/>
        <v>0</v>
      </c>
      <c r="AI1055">
        <f t="shared" ca="1" si="223"/>
        <v>0</v>
      </c>
      <c r="AJ1055">
        <f t="shared" ca="1" si="224"/>
        <v>0</v>
      </c>
      <c r="AK1055">
        <f t="shared" ca="1" si="225"/>
        <v>0</v>
      </c>
      <c r="AL1055">
        <f t="shared" ca="1" si="226"/>
        <v>0</v>
      </c>
    </row>
    <row r="1056" spans="1:38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#N/A, OFFSET(data!$A$1, ROW()-1, AA$1-1))</f>
        <v>0</v>
      </c>
      <c r="AB1056">
        <f t="shared" ca="1" si="217"/>
        <v>0</v>
      </c>
      <c r="AC1056" t="e">
        <f t="shared" ca="1" si="218"/>
        <v>#VALUE!</v>
      </c>
      <c r="AD1056" t="str">
        <f t="shared" ca="1" si="219"/>
        <v>0</v>
      </c>
      <c r="AE1056" t="str">
        <f t="shared" ca="1" si="220"/>
        <v/>
      </c>
      <c r="AF1056" s="6">
        <f t="shared" ca="1" si="221"/>
        <v>0</v>
      </c>
      <c r="AG1056">
        <f t="shared" ca="1" si="216"/>
        <v>0</v>
      </c>
      <c r="AH1056">
        <f t="shared" ca="1" si="222"/>
        <v>0</v>
      </c>
      <c r="AI1056">
        <f t="shared" ca="1" si="223"/>
        <v>0</v>
      </c>
      <c r="AJ1056">
        <f t="shared" ca="1" si="224"/>
        <v>0</v>
      </c>
      <c r="AK1056">
        <f t="shared" ca="1" si="225"/>
        <v>0</v>
      </c>
      <c r="AL1056">
        <f t="shared" ca="1" si="226"/>
        <v>0</v>
      </c>
    </row>
    <row r="1057" spans="1:38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#N/A, OFFSET(data!$A$1, ROW()-1, AA$1-1))</f>
        <v>0</v>
      </c>
      <c r="AB1057">
        <f t="shared" ca="1" si="217"/>
        <v>0</v>
      </c>
      <c r="AC1057" t="e">
        <f t="shared" ca="1" si="218"/>
        <v>#VALUE!</v>
      </c>
      <c r="AD1057" t="str">
        <f t="shared" ca="1" si="219"/>
        <v>0</v>
      </c>
      <c r="AE1057" t="str">
        <f t="shared" ca="1" si="220"/>
        <v/>
      </c>
      <c r="AF1057" s="6">
        <f t="shared" ca="1" si="221"/>
        <v>0</v>
      </c>
      <c r="AG1057">
        <f t="shared" ca="1" si="216"/>
        <v>0</v>
      </c>
      <c r="AH1057">
        <f t="shared" ca="1" si="222"/>
        <v>0</v>
      </c>
      <c r="AI1057">
        <f t="shared" ca="1" si="223"/>
        <v>0</v>
      </c>
      <c r="AJ1057">
        <f t="shared" ca="1" si="224"/>
        <v>0</v>
      </c>
      <c r="AK1057">
        <f t="shared" ca="1" si="225"/>
        <v>0</v>
      </c>
      <c r="AL1057">
        <f t="shared" ca="1" si="226"/>
        <v>0</v>
      </c>
    </row>
    <row r="1058" spans="1:38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#N/A, OFFSET(data!$A$1, ROW()-1, AA$1-1))</f>
        <v>0</v>
      </c>
      <c r="AB1058">
        <f t="shared" ca="1" si="217"/>
        <v>0</v>
      </c>
      <c r="AC1058" t="e">
        <f t="shared" ca="1" si="218"/>
        <v>#VALUE!</v>
      </c>
      <c r="AD1058" t="str">
        <f t="shared" ca="1" si="219"/>
        <v>0</v>
      </c>
      <c r="AE1058" t="str">
        <f t="shared" ca="1" si="220"/>
        <v/>
      </c>
      <c r="AF1058" s="6">
        <f t="shared" ca="1" si="221"/>
        <v>0</v>
      </c>
      <c r="AG1058">
        <f t="shared" ca="1" si="216"/>
        <v>0</v>
      </c>
      <c r="AH1058">
        <f t="shared" ca="1" si="222"/>
        <v>0</v>
      </c>
      <c r="AI1058">
        <f t="shared" ca="1" si="223"/>
        <v>0</v>
      </c>
      <c r="AJ1058">
        <f t="shared" ca="1" si="224"/>
        <v>0</v>
      </c>
      <c r="AK1058">
        <f t="shared" ca="1" si="225"/>
        <v>0</v>
      </c>
      <c r="AL1058">
        <f t="shared" ca="1" si="226"/>
        <v>0</v>
      </c>
    </row>
    <row r="1059" spans="1:38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#N/A, OFFSET(data!$A$1, ROW()-1, AA$1-1))</f>
        <v>0</v>
      </c>
      <c r="AB1059">
        <f t="shared" ca="1" si="217"/>
        <v>0</v>
      </c>
      <c r="AC1059" t="e">
        <f t="shared" ca="1" si="218"/>
        <v>#VALUE!</v>
      </c>
      <c r="AD1059" t="str">
        <f t="shared" ca="1" si="219"/>
        <v>0</v>
      </c>
      <c r="AE1059" t="str">
        <f t="shared" ca="1" si="220"/>
        <v/>
      </c>
      <c r="AF1059" s="6">
        <f t="shared" ca="1" si="221"/>
        <v>0</v>
      </c>
      <c r="AG1059">
        <f t="shared" ca="1" si="216"/>
        <v>0</v>
      </c>
      <c r="AH1059">
        <f t="shared" ca="1" si="222"/>
        <v>0</v>
      </c>
      <c r="AI1059">
        <f t="shared" ca="1" si="223"/>
        <v>0</v>
      </c>
      <c r="AJ1059">
        <f t="shared" ca="1" si="224"/>
        <v>0</v>
      </c>
      <c r="AK1059">
        <f t="shared" ca="1" si="225"/>
        <v>0</v>
      </c>
      <c r="AL1059">
        <f t="shared" ca="1" si="226"/>
        <v>0</v>
      </c>
    </row>
    <row r="1060" spans="1:38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#N/A, OFFSET(data!$A$1, ROW()-1, AA$1-1))</f>
        <v>0</v>
      </c>
      <c r="AB1060">
        <f t="shared" ca="1" si="217"/>
        <v>0</v>
      </c>
      <c r="AC1060" t="e">
        <f t="shared" ca="1" si="218"/>
        <v>#VALUE!</v>
      </c>
      <c r="AD1060" t="str">
        <f t="shared" ca="1" si="219"/>
        <v>0</v>
      </c>
      <c r="AE1060" t="str">
        <f t="shared" ca="1" si="220"/>
        <v/>
      </c>
      <c r="AF1060" s="6">
        <f t="shared" ca="1" si="221"/>
        <v>0</v>
      </c>
      <c r="AG1060">
        <f t="shared" ca="1" si="216"/>
        <v>0</v>
      </c>
      <c r="AH1060">
        <f t="shared" ca="1" si="222"/>
        <v>0</v>
      </c>
      <c r="AI1060">
        <f t="shared" ca="1" si="223"/>
        <v>0</v>
      </c>
      <c r="AJ1060">
        <f t="shared" ca="1" si="224"/>
        <v>0</v>
      </c>
      <c r="AK1060">
        <f t="shared" ca="1" si="225"/>
        <v>0</v>
      </c>
      <c r="AL1060">
        <f t="shared" ca="1" si="226"/>
        <v>0</v>
      </c>
    </row>
    <row r="1061" spans="1:38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#N/A, OFFSET(data!$A$1, ROW()-1, AA$1-1))</f>
        <v>0</v>
      </c>
      <c r="AB1061">
        <f t="shared" ca="1" si="217"/>
        <v>0</v>
      </c>
      <c r="AC1061" t="e">
        <f t="shared" ca="1" si="218"/>
        <v>#VALUE!</v>
      </c>
      <c r="AD1061" t="str">
        <f t="shared" ca="1" si="219"/>
        <v>0</v>
      </c>
      <c r="AE1061" t="str">
        <f t="shared" ca="1" si="220"/>
        <v/>
      </c>
      <c r="AF1061" s="6">
        <f t="shared" ca="1" si="221"/>
        <v>0</v>
      </c>
      <c r="AG1061">
        <f t="shared" ca="1" si="216"/>
        <v>0</v>
      </c>
      <c r="AH1061">
        <f t="shared" ca="1" si="222"/>
        <v>0</v>
      </c>
      <c r="AI1061">
        <f t="shared" ca="1" si="223"/>
        <v>0</v>
      </c>
      <c r="AJ1061">
        <f t="shared" ca="1" si="224"/>
        <v>0</v>
      </c>
      <c r="AK1061">
        <f t="shared" ca="1" si="225"/>
        <v>0</v>
      </c>
      <c r="AL1061">
        <f t="shared" ca="1" si="226"/>
        <v>0</v>
      </c>
    </row>
    <row r="1062" spans="1:38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#N/A, OFFSET(data!$A$1, ROW()-1, AA$1-1))</f>
        <v>0</v>
      </c>
      <c r="AB1062">
        <f t="shared" ca="1" si="217"/>
        <v>0</v>
      </c>
      <c r="AC1062" t="e">
        <f t="shared" ca="1" si="218"/>
        <v>#VALUE!</v>
      </c>
      <c r="AD1062" t="str">
        <f t="shared" ca="1" si="219"/>
        <v>0</v>
      </c>
      <c r="AE1062" t="str">
        <f t="shared" ca="1" si="220"/>
        <v/>
      </c>
      <c r="AF1062" s="6">
        <f t="shared" ca="1" si="221"/>
        <v>0</v>
      </c>
      <c r="AG1062">
        <f t="shared" ca="1" si="216"/>
        <v>0</v>
      </c>
      <c r="AH1062">
        <f t="shared" ca="1" si="222"/>
        <v>0</v>
      </c>
      <c r="AI1062">
        <f t="shared" ca="1" si="223"/>
        <v>0</v>
      </c>
      <c r="AJ1062">
        <f t="shared" ca="1" si="224"/>
        <v>0</v>
      </c>
      <c r="AK1062">
        <f t="shared" ca="1" si="225"/>
        <v>0</v>
      </c>
      <c r="AL1062">
        <f t="shared" ca="1" si="226"/>
        <v>0</v>
      </c>
    </row>
    <row r="1063" spans="1:38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#N/A, OFFSET(data!$A$1, ROW()-1, AA$1-1))</f>
        <v>0</v>
      </c>
      <c r="AB1063">
        <f t="shared" ca="1" si="217"/>
        <v>0</v>
      </c>
      <c r="AC1063" t="e">
        <f t="shared" ca="1" si="218"/>
        <v>#VALUE!</v>
      </c>
      <c r="AD1063" t="str">
        <f t="shared" ca="1" si="219"/>
        <v>0</v>
      </c>
      <c r="AE1063" t="str">
        <f t="shared" ca="1" si="220"/>
        <v/>
      </c>
      <c r="AF1063" s="6">
        <f t="shared" ca="1" si="221"/>
        <v>0</v>
      </c>
      <c r="AG1063">
        <f t="shared" ca="1" si="216"/>
        <v>0</v>
      </c>
      <c r="AH1063">
        <f t="shared" ca="1" si="222"/>
        <v>0</v>
      </c>
      <c r="AI1063">
        <f t="shared" ca="1" si="223"/>
        <v>0</v>
      </c>
      <c r="AJ1063">
        <f t="shared" ca="1" si="224"/>
        <v>0</v>
      </c>
      <c r="AK1063">
        <f t="shared" ca="1" si="225"/>
        <v>0</v>
      </c>
      <c r="AL1063">
        <f t="shared" ca="1" si="226"/>
        <v>0</v>
      </c>
    </row>
    <row r="1064" spans="1:38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#N/A, OFFSET(data!$A$1, ROW()-1, AA$1-1))</f>
        <v>0</v>
      </c>
      <c r="AB1064">
        <f t="shared" ca="1" si="217"/>
        <v>0</v>
      </c>
      <c r="AC1064" t="e">
        <f t="shared" ca="1" si="218"/>
        <v>#VALUE!</v>
      </c>
      <c r="AD1064" t="str">
        <f t="shared" ca="1" si="219"/>
        <v>0</v>
      </c>
      <c r="AE1064" t="str">
        <f t="shared" ca="1" si="220"/>
        <v/>
      </c>
      <c r="AF1064" s="6">
        <f t="shared" ca="1" si="221"/>
        <v>0</v>
      </c>
      <c r="AG1064">
        <f t="shared" ca="1" si="216"/>
        <v>0</v>
      </c>
      <c r="AH1064">
        <f t="shared" ca="1" si="222"/>
        <v>0</v>
      </c>
      <c r="AI1064">
        <f t="shared" ca="1" si="223"/>
        <v>0</v>
      </c>
      <c r="AJ1064">
        <f t="shared" ca="1" si="224"/>
        <v>0</v>
      </c>
      <c r="AK1064">
        <f t="shared" ca="1" si="225"/>
        <v>0</v>
      </c>
      <c r="AL1064">
        <f t="shared" ca="1" si="226"/>
        <v>0</v>
      </c>
    </row>
    <row r="1065" spans="1:38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#N/A, OFFSET(data!$A$1, ROW()-1, AA$1-1))</f>
        <v>0</v>
      </c>
      <c r="AB1065">
        <f t="shared" ca="1" si="217"/>
        <v>0</v>
      </c>
      <c r="AC1065" t="e">
        <f t="shared" ca="1" si="218"/>
        <v>#VALUE!</v>
      </c>
      <c r="AD1065" t="str">
        <f t="shared" ca="1" si="219"/>
        <v>0</v>
      </c>
      <c r="AE1065" t="str">
        <f t="shared" ca="1" si="220"/>
        <v/>
      </c>
      <c r="AF1065" s="6">
        <f t="shared" ca="1" si="221"/>
        <v>0</v>
      </c>
      <c r="AG1065">
        <f t="shared" ca="1" si="216"/>
        <v>0</v>
      </c>
      <c r="AH1065">
        <f t="shared" ca="1" si="222"/>
        <v>0</v>
      </c>
      <c r="AI1065">
        <f t="shared" ca="1" si="223"/>
        <v>0</v>
      </c>
      <c r="AJ1065">
        <f t="shared" ca="1" si="224"/>
        <v>0</v>
      </c>
      <c r="AK1065">
        <f t="shared" ca="1" si="225"/>
        <v>0</v>
      </c>
      <c r="AL1065">
        <f t="shared" ca="1" si="226"/>
        <v>0</v>
      </c>
    </row>
    <row r="1066" spans="1:38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#N/A, OFFSET(data!$A$1, ROW()-1, AA$1-1))</f>
        <v>0</v>
      </c>
      <c r="AB1066">
        <f t="shared" ca="1" si="217"/>
        <v>0</v>
      </c>
      <c r="AC1066" t="e">
        <f t="shared" ca="1" si="218"/>
        <v>#VALUE!</v>
      </c>
      <c r="AD1066" t="str">
        <f t="shared" ca="1" si="219"/>
        <v>0</v>
      </c>
      <c r="AE1066" t="str">
        <f t="shared" ca="1" si="220"/>
        <v/>
      </c>
      <c r="AF1066" s="6">
        <f t="shared" ca="1" si="221"/>
        <v>0</v>
      </c>
      <c r="AG1066">
        <f t="shared" ca="1" si="216"/>
        <v>0</v>
      </c>
      <c r="AH1066">
        <f t="shared" ca="1" si="222"/>
        <v>0</v>
      </c>
      <c r="AI1066">
        <f t="shared" ca="1" si="223"/>
        <v>0</v>
      </c>
      <c r="AJ1066">
        <f t="shared" ca="1" si="224"/>
        <v>0</v>
      </c>
      <c r="AK1066">
        <f t="shared" ca="1" si="225"/>
        <v>0</v>
      </c>
      <c r="AL1066">
        <f t="shared" ca="1" si="226"/>
        <v>0</v>
      </c>
    </row>
    <row r="1067" spans="1:38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#N/A, OFFSET(data!$A$1, ROW()-1, AA$1-1))</f>
        <v>0</v>
      </c>
      <c r="AB1067">
        <f t="shared" ca="1" si="217"/>
        <v>0</v>
      </c>
      <c r="AC1067" t="e">
        <f t="shared" ca="1" si="218"/>
        <v>#VALUE!</v>
      </c>
      <c r="AD1067" t="str">
        <f t="shared" ca="1" si="219"/>
        <v>0</v>
      </c>
      <c r="AE1067" t="str">
        <f t="shared" ca="1" si="220"/>
        <v/>
      </c>
      <c r="AF1067" s="6">
        <f t="shared" ca="1" si="221"/>
        <v>0</v>
      </c>
      <c r="AG1067">
        <f t="shared" ca="1" si="216"/>
        <v>0</v>
      </c>
      <c r="AH1067">
        <f t="shared" ca="1" si="222"/>
        <v>0</v>
      </c>
      <c r="AI1067">
        <f t="shared" ca="1" si="223"/>
        <v>0</v>
      </c>
      <c r="AJ1067">
        <f t="shared" ca="1" si="224"/>
        <v>0</v>
      </c>
      <c r="AK1067">
        <f t="shared" ca="1" si="225"/>
        <v>0</v>
      </c>
      <c r="AL1067">
        <f t="shared" ca="1" si="226"/>
        <v>0</v>
      </c>
    </row>
    <row r="1068" spans="1:38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#N/A, OFFSET(data!$A$1, ROW()-1, AA$1-1))</f>
        <v>0</v>
      </c>
      <c r="AB1068">
        <f t="shared" ca="1" si="217"/>
        <v>0</v>
      </c>
      <c r="AC1068" t="e">
        <f t="shared" ca="1" si="218"/>
        <v>#VALUE!</v>
      </c>
      <c r="AD1068" t="str">
        <f t="shared" ca="1" si="219"/>
        <v>0</v>
      </c>
      <c r="AE1068" t="str">
        <f t="shared" ca="1" si="220"/>
        <v/>
      </c>
      <c r="AF1068" s="6">
        <f t="shared" ca="1" si="221"/>
        <v>0</v>
      </c>
      <c r="AG1068">
        <f t="shared" ca="1" si="216"/>
        <v>0</v>
      </c>
      <c r="AH1068">
        <f t="shared" ca="1" si="222"/>
        <v>0</v>
      </c>
      <c r="AI1068">
        <f t="shared" ca="1" si="223"/>
        <v>0</v>
      </c>
      <c r="AJ1068">
        <f t="shared" ca="1" si="224"/>
        <v>0</v>
      </c>
      <c r="AK1068">
        <f t="shared" ca="1" si="225"/>
        <v>0</v>
      </c>
      <c r="AL1068">
        <f t="shared" ca="1" si="226"/>
        <v>0</v>
      </c>
    </row>
    <row r="1069" spans="1:38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#N/A, OFFSET(data!$A$1, ROW()-1, AA$1-1))</f>
        <v>0</v>
      </c>
      <c r="AB1069">
        <f t="shared" ca="1" si="217"/>
        <v>0</v>
      </c>
      <c r="AC1069" t="e">
        <f t="shared" ca="1" si="218"/>
        <v>#VALUE!</v>
      </c>
      <c r="AD1069" t="str">
        <f t="shared" ca="1" si="219"/>
        <v>0</v>
      </c>
      <c r="AE1069" t="str">
        <f t="shared" ca="1" si="220"/>
        <v/>
      </c>
      <c r="AF1069" s="6">
        <f t="shared" ca="1" si="221"/>
        <v>0</v>
      </c>
      <c r="AG1069">
        <f t="shared" ca="1" si="216"/>
        <v>0</v>
      </c>
      <c r="AH1069">
        <f t="shared" ca="1" si="222"/>
        <v>0</v>
      </c>
      <c r="AI1069">
        <f t="shared" ca="1" si="223"/>
        <v>0</v>
      </c>
      <c r="AJ1069">
        <f t="shared" ca="1" si="224"/>
        <v>0</v>
      </c>
      <c r="AK1069">
        <f t="shared" ca="1" si="225"/>
        <v>0</v>
      </c>
      <c r="AL1069">
        <f t="shared" ca="1" si="226"/>
        <v>0</v>
      </c>
    </row>
    <row r="1070" spans="1:38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#N/A, OFFSET(data!$A$1, ROW()-1, AA$1-1))</f>
        <v>0</v>
      </c>
      <c r="AB1070">
        <f t="shared" ca="1" si="217"/>
        <v>0</v>
      </c>
      <c r="AC1070" t="e">
        <f t="shared" ca="1" si="218"/>
        <v>#VALUE!</v>
      </c>
      <c r="AD1070" t="str">
        <f t="shared" ca="1" si="219"/>
        <v>0</v>
      </c>
      <c r="AE1070" t="str">
        <f t="shared" ca="1" si="220"/>
        <v/>
      </c>
      <c r="AF1070" s="6">
        <f t="shared" ca="1" si="221"/>
        <v>0</v>
      </c>
      <c r="AG1070">
        <f t="shared" ca="1" si="216"/>
        <v>0</v>
      </c>
      <c r="AH1070">
        <f t="shared" ca="1" si="222"/>
        <v>0</v>
      </c>
      <c r="AI1070">
        <f t="shared" ca="1" si="223"/>
        <v>0</v>
      </c>
      <c r="AJ1070">
        <f t="shared" ca="1" si="224"/>
        <v>0</v>
      </c>
      <c r="AK1070">
        <f t="shared" ca="1" si="225"/>
        <v>0</v>
      </c>
      <c r="AL1070">
        <f t="shared" ca="1" si="226"/>
        <v>0</v>
      </c>
    </row>
    <row r="1071" spans="1:38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#N/A, OFFSET(data!$A$1, ROW()-1, AA$1-1))</f>
        <v>0</v>
      </c>
      <c r="AB1071">
        <f t="shared" ca="1" si="217"/>
        <v>0</v>
      </c>
      <c r="AC1071" t="e">
        <f t="shared" ca="1" si="218"/>
        <v>#VALUE!</v>
      </c>
      <c r="AD1071" t="str">
        <f t="shared" ca="1" si="219"/>
        <v>0</v>
      </c>
      <c r="AE1071" t="str">
        <f t="shared" ca="1" si="220"/>
        <v/>
      </c>
      <c r="AF1071" s="6">
        <f t="shared" ca="1" si="221"/>
        <v>0</v>
      </c>
      <c r="AG1071">
        <f t="shared" ca="1" si="216"/>
        <v>0</v>
      </c>
      <c r="AH1071">
        <f t="shared" ca="1" si="222"/>
        <v>0</v>
      </c>
      <c r="AI1071">
        <f t="shared" ca="1" si="223"/>
        <v>0</v>
      </c>
      <c r="AJ1071">
        <f t="shared" ca="1" si="224"/>
        <v>0</v>
      </c>
      <c r="AK1071">
        <f t="shared" ca="1" si="225"/>
        <v>0</v>
      </c>
      <c r="AL1071">
        <f t="shared" ca="1" si="226"/>
        <v>0</v>
      </c>
    </row>
    <row r="1072" spans="1:38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#N/A, OFFSET(data!$A$1, ROW()-1, AA$1-1))</f>
        <v>0</v>
      </c>
      <c r="AB1072">
        <f t="shared" ca="1" si="217"/>
        <v>0</v>
      </c>
      <c r="AC1072" t="e">
        <f t="shared" ca="1" si="218"/>
        <v>#VALUE!</v>
      </c>
      <c r="AD1072" t="str">
        <f t="shared" ca="1" si="219"/>
        <v>0</v>
      </c>
      <c r="AE1072" t="str">
        <f t="shared" ca="1" si="220"/>
        <v/>
      </c>
      <c r="AF1072" s="6">
        <f t="shared" ca="1" si="221"/>
        <v>0</v>
      </c>
      <c r="AG1072">
        <f t="shared" ca="1" si="216"/>
        <v>0</v>
      </c>
      <c r="AH1072">
        <f t="shared" ca="1" si="222"/>
        <v>0</v>
      </c>
      <c r="AI1072">
        <f t="shared" ca="1" si="223"/>
        <v>0</v>
      </c>
      <c r="AJ1072">
        <f t="shared" ca="1" si="224"/>
        <v>0</v>
      </c>
      <c r="AK1072">
        <f t="shared" ca="1" si="225"/>
        <v>0</v>
      </c>
      <c r="AL1072">
        <f t="shared" ca="1" si="226"/>
        <v>0</v>
      </c>
    </row>
    <row r="1073" spans="1:38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#N/A, OFFSET(data!$A$1, ROW()-1, AA$1-1))</f>
        <v>0</v>
      </c>
      <c r="AB1073">
        <f t="shared" ca="1" si="217"/>
        <v>0</v>
      </c>
      <c r="AC1073" t="e">
        <f t="shared" ca="1" si="218"/>
        <v>#VALUE!</v>
      </c>
      <c r="AD1073" t="str">
        <f t="shared" ca="1" si="219"/>
        <v>0</v>
      </c>
      <c r="AE1073" t="str">
        <f t="shared" ca="1" si="220"/>
        <v/>
      </c>
      <c r="AF1073" s="6">
        <f t="shared" ca="1" si="221"/>
        <v>0</v>
      </c>
      <c r="AG1073">
        <f t="shared" ca="1" si="216"/>
        <v>0</v>
      </c>
      <c r="AH1073">
        <f t="shared" ca="1" si="222"/>
        <v>0</v>
      </c>
      <c r="AI1073">
        <f t="shared" ca="1" si="223"/>
        <v>0</v>
      </c>
      <c r="AJ1073">
        <f t="shared" ca="1" si="224"/>
        <v>0</v>
      </c>
      <c r="AK1073">
        <f t="shared" ca="1" si="225"/>
        <v>0</v>
      </c>
      <c r="AL1073">
        <f t="shared" ca="1" si="226"/>
        <v>0</v>
      </c>
    </row>
    <row r="1074" spans="1:38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#N/A, OFFSET(data!$A$1, ROW()-1, AA$1-1))</f>
        <v>0</v>
      </c>
      <c r="AB1074">
        <f t="shared" ca="1" si="217"/>
        <v>0</v>
      </c>
      <c r="AC1074" t="e">
        <f t="shared" ca="1" si="218"/>
        <v>#VALUE!</v>
      </c>
      <c r="AD1074" t="str">
        <f t="shared" ca="1" si="219"/>
        <v>0</v>
      </c>
      <c r="AE1074" t="str">
        <f t="shared" ca="1" si="220"/>
        <v/>
      </c>
      <c r="AF1074" s="6">
        <f t="shared" ca="1" si="221"/>
        <v>0</v>
      </c>
      <c r="AG1074">
        <f t="shared" ca="1" si="216"/>
        <v>0</v>
      </c>
      <c r="AH1074">
        <f t="shared" ca="1" si="222"/>
        <v>0</v>
      </c>
      <c r="AI1074">
        <f t="shared" ca="1" si="223"/>
        <v>0</v>
      </c>
      <c r="AJ1074">
        <f t="shared" ca="1" si="224"/>
        <v>0</v>
      </c>
      <c r="AK1074">
        <f t="shared" ca="1" si="225"/>
        <v>0</v>
      </c>
      <c r="AL1074">
        <f t="shared" ca="1" si="226"/>
        <v>0</v>
      </c>
    </row>
    <row r="1075" spans="1:38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#N/A, OFFSET(data!$A$1, ROW()-1, AA$1-1))</f>
        <v>0</v>
      </c>
      <c r="AB1075">
        <f t="shared" ca="1" si="217"/>
        <v>0</v>
      </c>
      <c r="AC1075" t="e">
        <f t="shared" ca="1" si="218"/>
        <v>#VALUE!</v>
      </c>
      <c r="AD1075" t="str">
        <f t="shared" ca="1" si="219"/>
        <v>0</v>
      </c>
      <c r="AE1075" t="str">
        <f t="shared" ca="1" si="220"/>
        <v/>
      </c>
      <c r="AF1075" s="6">
        <f t="shared" ca="1" si="221"/>
        <v>0</v>
      </c>
      <c r="AG1075">
        <f t="shared" ca="1" si="216"/>
        <v>0</v>
      </c>
      <c r="AH1075">
        <f t="shared" ca="1" si="222"/>
        <v>0</v>
      </c>
      <c r="AI1075">
        <f t="shared" ca="1" si="223"/>
        <v>0</v>
      </c>
      <c r="AJ1075">
        <f t="shared" ca="1" si="224"/>
        <v>0</v>
      </c>
      <c r="AK1075">
        <f t="shared" ca="1" si="225"/>
        <v>0</v>
      </c>
      <c r="AL1075">
        <f t="shared" ca="1" si="226"/>
        <v>0</v>
      </c>
    </row>
    <row r="1076" spans="1:38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#N/A, OFFSET(data!$A$1, ROW()-1, AA$1-1))</f>
        <v>0</v>
      </c>
      <c r="AB1076">
        <f t="shared" ca="1" si="217"/>
        <v>0</v>
      </c>
      <c r="AC1076" t="e">
        <f t="shared" ca="1" si="218"/>
        <v>#VALUE!</v>
      </c>
      <c r="AD1076" t="str">
        <f t="shared" ca="1" si="219"/>
        <v>0</v>
      </c>
      <c r="AE1076" t="str">
        <f t="shared" ca="1" si="220"/>
        <v/>
      </c>
      <c r="AF1076" s="6">
        <f t="shared" ca="1" si="221"/>
        <v>0</v>
      </c>
      <c r="AG1076">
        <f t="shared" ref="AG1076:AG1139" ca="1" si="227">T1076+W1076</f>
        <v>0</v>
      </c>
      <c r="AH1076">
        <f t="shared" ca="1" si="222"/>
        <v>0</v>
      </c>
      <c r="AI1076">
        <f t="shared" ca="1" si="223"/>
        <v>0</v>
      </c>
      <c r="AJ1076">
        <f t="shared" ca="1" si="224"/>
        <v>0</v>
      </c>
      <c r="AK1076">
        <f t="shared" ca="1" si="225"/>
        <v>0</v>
      </c>
      <c r="AL1076">
        <f t="shared" ca="1" si="226"/>
        <v>0</v>
      </c>
    </row>
    <row r="1077" spans="1:38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#N/A, OFFSET(data!$A$1, ROW()-1, AA$1-1))</f>
        <v>0</v>
      </c>
      <c r="AB1077">
        <f t="shared" ca="1" si="217"/>
        <v>0</v>
      </c>
      <c r="AC1077" t="e">
        <f t="shared" ca="1" si="218"/>
        <v>#VALUE!</v>
      </c>
      <c r="AD1077" t="str">
        <f t="shared" ca="1" si="219"/>
        <v>0</v>
      </c>
      <c r="AE1077" t="str">
        <f t="shared" ca="1" si="220"/>
        <v/>
      </c>
      <c r="AF1077" s="6">
        <f t="shared" ca="1" si="221"/>
        <v>0</v>
      </c>
      <c r="AG1077">
        <f t="shared" ca="1" si="227"/>
        <v>0</v>
      </c>
      <c r="AH1077">
        <f t="shared" ca="1" si="222"/>
        <v>0</v>
      </c>
      <c r="AI1077">
        <f t="shared" ca="1" si="223"/>
        <v>0</v>
      </c>
      <c r="AJ1077">
        <f t="shared" ca="1" si="224"/>
        <v>0</v>
      </c>
      <c r="AK1077">
        <f t="shared" ca="1" si="225"/>
        <v>0</v>
      </c>
      <c r="AL1077">
        <f t="shared" ca="1" si="226"/>
        <v>0</v>
      </c>
    </row>
    <row r="1078" spans="1:38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#N/A, OFFSET(data!$A$1, ROW()-1, AA$1-1))</f>
        <v>0</v>
      </c>
      <c r="AB1078">
        <f t="shared" ca="1" si="217"/>
        <v>0</v>
      </c>
      <c r="AC1078" t="e">
        <f t="shared" ca="1" si="218"/>
        <v>#VALUE!</v>
      </c>
      <c r="AD1078" t="str">
        <f t="shared" ca="1" si="219"/>
        <v>0</v>
      </c>
      <c r="AE1078" t="str">
        <f t="shared" ca="1" si="220"/>
        <v/>
      </c>
      <c r="AF1078" s="6">
        <f t="shared" ca="1" si="221"/>
        <v>0</v>
      </c>
      <c r="AG1078">
        <f t="shared" ca="1" si="227"/>
        <v>0</v>
      </c>
      <c r="AH1078">
        <f t="shared" ca="1" si="222"/>
        <v>0</v>
      </c>
      <c r="AI1078">
        <f t="shared" ca="1" si="223"/>
        <v>0</v>
      </c>
      <c r="AJ1078">
        <f t="shared" ca="1" si="224"/>
        <v>0</v>
      </c>
      <c r="AK1078">
        <f t="shared" ca="1" si="225"/>
        <v>0</v>
      </c>
      <c r="AL1078">
        <f t="shared" ca="1" si="226"/>
        <v>0</v>
      </c>
    </row>
    <row r="1079" spans="1:38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#N/A, OFFSET(data!$A$1, ROW()-1, AA$1-1))</f>
        <v>0</v>
      </c>
      <c r="AB1079">
        <f t="shared" ca="1" si="217"/>
        <v>0</v>
      </c>
      <c r="AC1079" t="e">
        <f t="shared" ca="1" si="218"/>
        <v>#VALUE!</v>
      </c>
      <c r="AD1079" t="str">
        <f t="shared" ca="1" si="219"/>
        <v>0</v>
      </c>
      <c r="AE1079" t="str">
        <f t="shared" ca="1" si="220"/>
        <v/>
      </c>
      <c r="AF1079" s="6">
        <f t="shared" ca="1" si="221"/>
        <v>0</v>
      </c>
      <c r="AG1079">
        <f t="shared" ca="1" si="227"/>
        <v>0</v>
      </c>
      <c r="AH1079">
        <f t="shared" ca="1" si="222"/>
        <v>0</v>
      </c>
      <c r="AI1079">
        <f t="shared" ca="1" si="223"/>
        <v>0</v>
      </c>
      <c r="AJ1079">
        <f t="shared" ca="1" si="224"/>
        <v>0</v>
      </c>
      <c r="AK1079">
        <f t="shared" ca="1" si="225"/>
        <v>0</v>
      </c>
      <c r="AL1079">
        <f t="shared" ca="1" si="226"/>
        <v>0</v>
      </c>
    </row>
    <row r="1080" spans="1:38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#N/A, OFFSET(data!$A$1, ROW()-1, AA$1-1))</f>
        <v>0</v>
      </c>
      <c r="AB1080">
        <f t="shared" ca="1" si="217"/>
        <v>0</v>
      </c>
      <c r="AC1080" t="e">
        <f t="shared" ca="1" si="218"/>
        <v>#VALUE!</v>
      </c>
      <c r="AD1080" t="str">
        <f t="shared" ca="1" si="219"/>
        <v>0</v>
      </c>
      <c r="AE1080" t="str">
        <f t="shared" ca="1" si="220"/>
        <v/>
      </c>
      <c r="AF1080" s="6">
        <f t="shared" ca="1" si="221"/>
        <v>0</v>
      </c>
      <c r="AG1080">
        <f t="shared" ca="1" si="227"/>
        <v>0</v>
      </c>
      <c r="AH1080">
        <f t="shared" ca="1" si="222"/>
        <v>0</v>
      </c>
      <c r="AI1080">
        <f t="shared" ca="1" si="223"/>
        <v>0</v>
      </c>
      <c r="AJ1080">
        <f t="shared" ca="1" si="224"/>
        <v>0</v>
      </c>
      <c r="AK1080">
        <f t="shared" ca="1" si="225"/>
        <v>0</v>
      </c>
      <c r="AL1080">
        <f t="shared" ca="1" si="226"/>
        <v>0</v>
      </c>
    </row>
    <row r="1081" spans="1:38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#N/A, OFFSET(data!$A$1, ROW()-1, AA$1-1))</f>
        <v>0</v>
      </c>
      <c r="AB1081">
        <f t="shared" ca="1" si="217"/>
        <v>0</v>
      </c>
      <c r="AC1081" t="e">
        <f t="shared" ca="1" si="218"/>
        <v>#VALUE!</v>
      </c>
      <c r="AD1081" t="str">
        <f t="shared" ca="1" si="219"/>
        <v>0</v>
      </c>
      <c r="AE1081" t="str">
        <f t="shared" ca="1" si="220"/>
        <v/>
      </c>
      <c r="AF1081" s="6">
        <f t="shared" ca="1" si="221"/>
        <v>0</v>
      </c>
      <c r="AG1081">
        <f t="shared" ca="1" si="227"/>
        <v>0</v>
      </c>
      <c r="AH1081">
        <f t="shared" ca="1" si="222"/>
        <v>0</v>
      </c>
      <c r="AI1081">
        <f t="shared" ca="1" si="223"/>
        <v>0</v>
      </c>
      <c r="AJ1081">
        <f t="shared" ca="1" si="224"/>
        <v>0</v>
      </c>
      <c r="AK1081">
        <f t="shared" ca="1" si="225"/>
        <v>0</v>
      </c>
      <c r="AL1081">
        <f t="shared" ca="1" si="226"/>
        <v>0</v>
      </c>
    </row>
    <row r="1082" spans="1:38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#N/A, OFFSET(data!$A$1, ROW()-1, AA$1-1))</f>
        <v>0</v>
      </c>
      <c r="AB1082">
        <f t="shared" ca="1" si="217"/>
        <v>0</v>
      </c>
      <c r="AC1082" t="e">
        <f t="shared" ca="1" si="218"/>
        <v>#VALUE!</v>
      </c>
      <c r="AD1082" t="str">
        <f t="shared" ca="1" si="219"/>
        <v>0</v>
      </c>
      <c r="AE1082" t="str">
        <f t="shared" ca="1" si="220"/>
        <v/>
      </c>
      <c r="AF1082" s="6">
        <f t="shared" ca="1" si="221"/>
        <v>0</v>
      </c>
      <c r="AG1082">
        <f t="shared" ca="1" si="227"/>
        <v>0</v>
      </c>
      <c r="AH1082">
        <f t="shared" ca="1" si="222"/>
        <v>0</v>
      </c>
      <c r="AI1082">
        <f t="shared" ca="1" si="223"/>
        <v>0</v>
      </c>
      <c r="AJ1082">
        <f t="shared" ca="1" si="224"/>
        <v>0</v>
      </c>
      <c r="AK1082">
        <f t="shared" ca="1" si="225"/>
        <v>0</v>
      </c>
      <c r="AL1082">
        <f t="shared" ca="1" si="226"/>
        <v>0</v>
      </c>
    </row>
    <row r="1083" spans="1:38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#N/A, OFFSET(data!$A$1, ROW()-1, AA$1-1))</f>
        <v>0</v>
      </c>
      <c r="AB1083">
        <f t="shared" ca="1" si="217"/>
        <v>0</v>
      </c>
      <c r="AC1083" t="e">
        <f t="shared" ca="1" si="218"/>
        <v>#VALUE!</v>
      </c>
      <c r="AD1083" t="str">
        <f t="shared" ca="1" si="219"/>
        <v>0</v>
      </c>
      <c r="AE1083" t="str">
        <f t="shared" ca="1" si="220"/>
        <v/>
      </c>
      <c r="AF1083" s="6">
        <f t="shared" ca="1" si="221"/>
        <v>0</v>
      </c>
      <c r="AG1083">
        <f t="shared" ca="1" si="227"/>
        <v>0</v>
      </c>
      <c r="AH1083">
        <f t="shared" ca="1" si="222"/>
        <v>0</v>
      </c>
      <c r="AI1083">
        <f t="shared" ca="1" si="223"/>
        <v>0</v>
      </c>
      <c r="AJ1083">
        <f t="shared" ca="1" si="224"/>
        <v>0</v>
      </c>
      <c r="AK1083">
        <f t="shared" ca="1" si="225"/>
        <v>0</v>
      </c>
      <c r="AL1083">
        <f t="shared" ca="1" si="226"/>
        <v>0</v>
      </c>
    </row>
    <row r="1084" spans="1:38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#N/A, OFFSET(data!$A$1, ROW()-1, AA$1-1))</f>
        <v>0</v>
      </c>
      <c r="AB1084">
        <f t="shared" ca="1" si="217"/>
        <v>0</v>
      </c>
      <c r="AC1084" t="e">
        <f t="shared" ca="1" si="218"/>
        <v>#VALUE!</v>
      </c>
      <c r="AD1084" t="str">
        <f t="shared" ca="1" si="219"/>
        <v>0</v>
      </c>
      <c r="AE1084" t="str">
        <f t="shared" ca="1" si="220"/>
        <v/>
      </c>
      <c r="AF1084" s="6">
        <f t="shared" ca="1" si="221"/>
        <v>0</v>
      </c>
      <c r="AG1084">
        <f t="shared" ca="1" si="227"/>
        <v>0</v>
      </c>
      <c r="AH1084">
        <f t="shared" ca="1" si="222"/>
        <v>0</v>
      </c>
      <c r="AI1084">
        <f t="shared" ca="1" si="223"/>
        <v>0</v>
      </c>
      <c r="AJ1084">
        <f t="shared" ca="1" si="224"/>
        <v>0</v>
      </c>
      <c r="AK1084">
        <f t="shared" ca="1" si="225"/>
        <v>0</v>
      </c>
      <c r="AL1084">
        <f t="shared" ca="1" si="226"/>
        <v>0</v>
      </c>
    </row>
    <row r="1085" spans="1:38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#N/A, OFFSET(data!$A$1, ROW()-1, AA$1-1))</f>
        <v>0</v>
      </c>
      <c r="AB1085">
        <f t="shared" ca="1" si="217"/>
        <v>0</v>
      </c>
      <c r="AC1085" t="e">
        <f t="shared" ca="1" si="218"/>
        <v>#VALUE!</v>
      </c>
      <c r="AD1085" t="str">
        <f t="shared" ca="1" si="219"/>
        <v>0</v>
      </c>
      <c r="AE1085" t="str">
        <f t="shared" ca="1" si="220"/>
        <v/>
      </c>
      <c r="AF1085" s="6">
        <f t="shared" ca="1" si="221"/>
        <v>0</v>
      </c>
      <c r="AG1085">
        <f t="shared" ca="1" si="227"/>
        <v>0</v>
      </c>
      <c r="AH1085">
        <f t="shared" ca="1" si="222"/>
        <v>0</v>
      </c>
      <c r="AI1085">
        <f t="shared" ca="1" si="223"/>
        <v>0</v>
      </c>
      <c r="AJ1085">
        <f t="shared" ca="1" si="224"/>
        <v>0</v>
      </c>
      <c r="AK1085">
        <f t="shared" ca="1" si="225"/>
        <v>0</v>
      </c>
      <c r="AL1085">
        <f t="shared" ca="1" si="226"/>
        <v>0</v>
      </c>
    </row>
    <row r="1086" spans="1:38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#N/A, OFFSET(data!$A$1, ROW()-1, AA$1-1))</f>
        <v>0</v>
      </c>
      <c r="AB1086">
        <f t="shared" ca="1" si="217"/>
        <v>0</v>
      </c>
      <c r="AC1086" t="e">
        <f t="shared" ca="1" si="218"/>
        <v>#VALUE!</v>
      </c>
      <c r="AD1086" t="str">
        <f t="shared" ca="1" si="219"/>
        <v>0</v>
      </c>
      <c r="AE1086" t="str">
        <f t="shared" ca="1" si="220"/>
        <v/>
      </c>
      <c r="AF1086" s="6">
        <f t="shared" ca="1" si="221"/>
        <v>0</v>
      </c>
      <c r="AG1086">
        <f t="shared" ca="1" si="227"/>
        <v>0</v>
      </c>
      <c r="AH1086">
        <f t="shared" ca="1" si="222"/>
        <v>0</v>
      </c>
      <c r="AI1086">
        <f t="shared" ca="1" si="223"/>
        <v>0</v>
      </c>
      <c r="AJ1086">
        <f t="shared" ca="1" si="224"/>
        <v>0</v>
      </c>
      <c r="AK1086">
        <f t="shared" ca="1" si="225"/>
        <v>0</v>
      </c>
      <c r="AL1086">
        <f t="shared" ca="1" si="226"/>
        <v>0</v>
      </c>
    </row>
    <row r="1087" spans="1:38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#N/A, OFFSET(data!$A$1, ROW()-1, AA$1-1))</f>
        <v>0</v>
      </c>
      <c r="AB1087">
        <f t="shared" ca="1" si="217"/>
        <v>0</v>
      </c>
      <c r="AC1087" t="e">
        <f t="shared" ca="1" si="218"/>
        <v>#VALUE!</v>
      </c>
      <c r="AD1087" t="str">
        <f t="shared" ca="1" si="219"/>
        <v>0</v>
      </c>
      <c r="AE1087" t="str">
        <f t="shared" ca="1" si="220"/>
        <v/>
      </c>
      <c r="AF1087" s="6">
        <f t="shared" ca="1" si="221"/>
        <v>0</v>
      </c>
      <c r="AG1087">
        <f t="shared" ca="1" si="227"/>
        <v>0</v>
      </c>
      <c r="AH1087">
        <f t="shared" ca="1" si="222"/>
        <v>0</v>
      </c>
      <c r="AI1087">
        <f t="shared" ca="1" si="223"/>
        <v>0</v>
      </c>
      <c r="AJ1087">
        <f t="shared" ca="1" si="224"/>
        <v>0</v>
      </c>
      <c r="AK1087">
        <f t="shared" ca="1" si="225"/>
        <v>0</v>
      </c>
      <c r="AL1087">
        <f t="shared" ca="1" si="226"/>
        <v>0</v>
      </c>
    </row>
    <row r="1088" spans="1:38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#N/A, OFFSET(data!$A$1, ROW()-1, AA$1-1))</f>
        <v>0</v>
      </c>
      <c r="AB1088">
        <f t="shared" ca="1" si="217"/>
        <v>0</v>
      </c>
      <c r="AC1088" t="e">
        <f t="shared" ca="1" si="218"/>
        <v>#VALUE!</v>
      </c>
      <c r="AD1088" t="str">
        <f t="shared" ca="1" si="219"/>
        <v>0</v>
      </c>
      <c r="AE1088" t="str">
        <f t="shared" ca="1" si="220"/>
        <v/>
      </c>
      <c r="AF1088" s="6">
        <f t="shared" ca="1" si="221"/>
        <v>0</v>
      </c>
      <c r="AG1088">
        <f t="shared" ca="1" si="227"/>
        <v>0</v>
      </c>
      <c r="AH1088">
        <f t="shared" ca="1" si="222"/>
        <v>0</v>
      </c>
      <c r="AI1088">
        <f t="shared" ca="1" si="223"/>
        <v>0</v>
      </c>
      <c r="AJ1088">
        <f t="shared" ca="1" si="224"/>
        <v>0</v>
      </c>
      <c r="AK1088">
        <f t="shared" ca="1" si="225"/>
        <v>0</v>
      </c>
      <c r="AL1088">
        <f t="shared" ca="1" si="226"/>
        <v>0</v>
      </c>
    </row>
    <row r="1089" spans="1:38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#N/A, OFFSET(data!$A$1, ROW()-1, AA$1-1))</f>
        <v>0</v>
      </c>
      <c r="AB1089">
        <f t="shared" ca="1" si="217"/>
        <v>0</v>
      </c>
      <c r="AC1089" t="e">
        <f t="shared" ca="1" si="218"/>
        <v>#VALUE!</v>
      </c>
      <c r="AD1089" t="str">
        <f t="shared" ca="1" si="219"/>
        <v>0</v>
      </c>
      <c r="AE1089" t="str">
        <f t="shared" ca="1" si="220"/>
        <v/>
      </c>
      <c r="AF1089" s="6">
        <f t="shared" ca="1" si="221"/>
        <v>0</v>
      </c>
      <c r="AG1089">
        <f t="shared" ca="1" si="227"/>
        <v>0</v>
      </c>
      <c r="AH1089">
        <f t="shared" ca="1" si="222"/>
        <v>0</v>
      </c>
      <c r="AI1089">
        <f t="shared" ca="1" si="223"/>
        <v>0</v>
      </c>
      <c r="AJ1089">
        <f t="shared" ca="1" si="224"/>
        <v>0</v>
      </c>
      <c r="AK1089">
        <f t="shared" ca="1" si="225"/>
        <v>0</v>
      </c>
      <c r="AL1089">
        <f t="shared" ca="1" si="226"/>
        <v>0</v>
      </c>
    </row>
    <row r="1090" spans="1:38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#N/A, OFFSET(data!$A$1, ROW()-1, AA$1-1))</f>
        <v>0</v>
      </c>
      <c r="AB1090">
        <f t="shared" ca="1" si="217"/>
        <v>0</v>
      </c>
      <c r="AC1090" t="e">
        <f t="shared" ca="1" si="218"/>
        <v>#VALUE!</v>
      </c>
      <c r="AD1090" t="str">
        <f t="shared" ca="1" si="219"/>
        <v>0</v>
      </c>
      <c r="AE1090" t="str">
        <f t="shared" ca="1" si="220"/>
        <v/>
      </c>
      <c r="AF1090" s="6">
        <f t="shared" ca="1" si="221"/>
        <v>0</v>
      </c>
      <c r="AG1090">
        <f t="shared" ca="1" si="227"/>
        <v>0</v>
      </c>
      <c r="AH1090">
        <f t="shared" ca="1" si="222"/>
        <v>0</v>
      </c>
      <c r="AI1090">
        <f t="shared" ca="1" si="223"/>
        <v>0</v>
      </c>
      <c r="AJ1090">
        <f t="shared" ca="1" si="224"/>
        <v>0</v>
      </c>
      <c r="AK1090">
        <f t="shared" ca="1" si="225"/>
        <v>0</v>
      </c>
      <c r="AL1090">
        <f t="shared" ca="1" si="226"/>
        <v>0</v>
      </c>
    </row>
    <row r="1091" spans="1:38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#N/A, OFFSET(data!$A$1, ROW()-1, AA$1-1))</f>
        <v>0</v>
      </c>
      <c r="AB1091">
        <f t="shared" ref="AB1091:AB1154" ca="1" si="228">VALUE(LEFT(C1091, 4))</f>
        <v>0</v>
      </c>
      <c r="AC1091" t="e">
        <f t="shared" ref="AC1091:AC1154" ca="1" si="229">VALUE(MID(C1091, 6, 2))</f>
        <v>#VALUE!</v>
      </c>
      <c r="AD1091" t="str">
        <f t="shared" ref="AD1091:AD1154" ca="1" si="230">SUBSTITUTE(MID(C1091,6,6)&amp;LEFT(C1091,4), "-", "/")</f>
        <v>0</v>
      </c>
      <c r="AE1091" t="str">
        <f t="shared" ref="AE1091:AE1154" ca="1" si="231">IF(RIGHT(C1091, 5)="12:00", AD1091, "")</f>
        <v/>
      </c>
      <c r="AF1091" s="6">
        <f t="shared" ref="AF1091:AF1154" ca="1" si="232">Z1091/1000</f>
        <v>0</v>
      </c>
      <c r="AG1091">
        <f t="shared" ca="1" si="227"/>
        <v>0</v>
      </c>
      <c r="AH1091">
        <f t="shared" ca="1" si="222"/>
        <v>0</v>
      </c>
      <c r="AI1091">
        <f t="shared" ca="1" si="223"/>
        <v>0</v>
      </c>
      <c r="AJ1091">
        <f t="shared" ca="1" si="224"/>
        <v>0</v>
      </c>
      <c r="AK1091">
        <f t="shared" ca="1" si="225"/>
        <v>0</v>
      </c>
      <c r="AL1091">
        <f t="shared" ca="1" si="226"/>
        <v>0</v>
      </c>
    </row>
    <row r="1092" spans="1:38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#N/A, OFFSET(data!$A$1, ROW()-1, AA$1-1))</f>
        <v>0</v>
      </c>
      <c r="AB1092">
        <f t="shared" ca="1" si="228"/>
        <v>0</v>
      </c>
      <c r="AC1092" t="e">
        <f t="shared" ca="1" si="229"/>
        <v>#VALUE!</v>
      </c>
      <c r="AD1092" t="str">
        <f t="shared" ca="1" si="230"/>
        <v>0</v>
      </c>
      <c r="AE1092" t="str">
        <f t="shared" ca="1" si="231"/>
        <v/>
      </c>
      <c r="AF1092" s="6">
        <f t="shared" ca="1" si="232"/>
        <v>0</v>
      </c>
      <c r="AG1092">
        <f t="shared" ca="1" si="227"/>
        <v>0</v>
      </c>
      <c r="AH1092">
        <f t="shared" ref="AH1092:AH1155" ca="1" si="233">MAX(S1092,Y1092)</f>
        <v>0</v>
      </c>
      <c r="AI1092">
        <f t="shared" ref="AI1092:AI1155" ca="1" si="234">MAX(R1092,V1092)</f>
        <v>0</v>
      </c>
      <c r="AJ1092">
        <f t="shared" ref="AJ1092:AJ1155" ca="1" si="235">K1092+N1092</f>
        <v>0</v>
      </c>
      <c r="AK1092">
        <f t="shared" ref="AK1092:AK1155" ca="1" si="236">L1092+O1092</f>
        <v>0</v>
      </c>
      <c r="AL1092">
        <f t="shared" ref="AL1092:AL1155" ca="1" si="237">M1092+P1092</f>
        <v>0</v>
      </c>
    </row>
    <row r="1093" spans="1:38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#N/A, OFFSET(data!$A$1, ROW()-1, AA$1-1))</f>
        <v>0</v>
      </c>
      <c r="AB1093">
        <f t="shared" ca="1" si="228"/>
        <v>0</v>
      </c>
      <c r="AC1093" t="e">
        <f t="shared" ca="1" si="229"/>
        <v>#VALUE!</v>
      </c>
      <c r="AD1093" t="str">
        <f t="shared" ca="1" si="230"/>
        <v>0</v>
      </c>
      <c r="AE1093" t="str">
        <f t="shared" ca="1" si="231"/>
        <v/>
      </c>
      <c r="AF1093" s="6">
        <f t="shared" ca="1" si="232"/>
        <v>0</v>
      </c>
      <c r="AG1093">
        <f t="shared" ca="1" si="227"/>
        <v>0</v>
      </c>
      <c r="AH1093">
        <f t="shared" ca="1" si="233"/>
        <v>0</v>
      </c>
      <c r="AI1093">
        <f t="shared" ca="1" si="234"/>
        <v>0</v>
      </c>
      <c r="AJ1093">
        <f t="shared" ca="1" si="235"/>
        <v>0</v>
      </c>
      <c r="AK1093">
        <f t="shared" ca="1" si="236"/>
        <v>0</v>
      </c>
      <c r="AL1093">
        <f t="shared" ca="1" si="237"/>
        <v>0</v>
      </c>
    </row>
    <row r="1094" spans="1:38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#N/A, OFFSET(data!$A$1, ROW()-1, AA$1-1))</f>
        <v>0</v>
      </c>
      <c r="AB1094">
        <f t="shared" ca="1" si="228"/>
        <v>0</v>
      </c>
      <c r="AC1094" t="e">
        <f t="shared" ca="1" si="229"/>
        <v>#VALUE!</v>
      </c>
      <c r="AD1094" t="str">
        <f t="shared" ca="1" si="230"/>
        <v>0</v>
      </c>
      <c r="AE1094" t="str">
        <f t="shared" ca="1" si="231"/>
        <v/>
      </c>
      <c r="AF1094" s="6">
        <f t="shared" ca="1" si="232"/>
        <v>0</v>
      </c>
      <c r="AG1094">
        <f t="shared" ca="1" si="227"/>
        <v>0</v>
      </c>
      <c r="AH1094">
        <f t="shared" ca="1" si="233"/>
        <v>0</v>
      </c>
      <c r="AI1094">
        <f t="shared" ca="1" si="234"/>
        <v>0</v>
      </c>
      <c r="AJ1094">
        <f t="shared" ca="1" si="235"/>
        <v>0</v>
      </c>
      <c r="AK1094">
        <f t="shared" ca="1" si="236"/>
        <v>0</v>
      </c>
      <c r="AL1094">
        <f t="shared" ca="1" si="237"/>
        <v>0</v>
      </c>
    </row>
    <row r="1095" spans="1:38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#N/A, OFFSET(data!$A$1, ROW()-1, AA$1-1))</f>
        <v>0</v>
      </c>
      <c r="AB1095">
        <f t="shared" ca="1" si="228"/>
        <v>0</v>
      </c>
      <c r="AC1095" t="e">
        <f t="shared" ca="1" si="229"/>
        <v>#VALUE!</v>
      </c>
      <c r="AD1095" t="str">
        <f t="shared" ca="1" si="230"/>
        <v>0</v>
      </c>
      <c r="AE1095" t="str">
        <f t="shared" ca="1" si="231"/>
        <v/>
      </c>
      <c r="AF1095" s="6">
        <f t="shared" ca="1" si="232"/>
        <v>0</v>
      </c>
      <c r="AG1095">
        <f t="shared" ca="1" si="227"/>
        <v>0</v>
      </c>
      <c r="AH1095">
        <f t="shared" ca="1" si="233"/>
        <v>0</v>
      </c>
      <c r="AI1095">
        <f t="shared" ca="1" si="234"/>
        <v>0</v>
      </c>
      <c r="AJ1095">
        <f t="shared" ca="1" si="235"/>
        <v>0</v>
      </c>
      <c r="AK1095">
        <f t="shared" ca="1" si="236"/>
        <v>0</v>
      </c>
      <c r="AL1095">
        <f t="shared" ca="1" si="237"/>
        <v>0</v>
      </c>
    </row>
    <row r="1096" spans="1:38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#N/A, OFFSET(data!$A$1, ROW()-1, AA$1-1))</f>
        <v>0</v>
      </c>
      <c r="AB1096">
        <f t="shared" ca="1" si="228"/>
        <v>0</v>
      </c>
      <c r="AC1096" t="e">
        <f t="shared" ca="1" si="229"/>
        <v>#VALUE!</v>
      </c>
      <c r="AD1096" t="str">
        <f t="shared" ca="1" si="230"/>
        <v>0</v>
      </c>
      <c r="AE1096" t="str">
        <f t="shared" ca="1" si="231"/>
        <v/>
      </c>
      <c r="AF1096" s="6">
        <f t="shared" ca="1" si="232"/>
        <v>0</v>
      </c>
      <c r="AG1096">
        <f t="shared" ca="1" si="227"/>
        <v>0</v>
      </c>
      <c r="AH1096">
        <f t="shared" ca="1" si="233"/>
        <v>0</v>
      </c>
      <c r="AI1096">
        <f t="shared" ca="1" si="234"/>
        <v>0</v>
      </c>
      <c r="AJ1096">
        <f t="shared" ca="1" si="235"/>
        <v>0</v>
      </c>
      <c r="AK1096">
        <f t="shared" ca="1" si="236"/>
        <v>0</v>
      </c>
      <c r="AL1096">
        <f t="shared" ca="1" si="237"/>
        <v>0</v>
      </c>
    </row>
    <row r="1097" spans="1:38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#N/A, OFFSET(data!$A$1, ROW()-1, AA$1-1))</f>
        <v>0</v>
      </c>
      <c r="AB1097">
        <f t="shared" ca="1" si="228"/>
        <v>0</v>
      </c>
      <c r="AC1097" t="e">
        <f t="shared" ca="1" si="229"/>
        <v>#VALUE!</v>
      </c>
      <c r="AD1097" t="str">
        <f t="shared" ca="1" si="230"/>
        <v>0</v>
      </c>
      <c r="AE1097" t="str">
        <f t="shared" ca="1" si="231"/>
        <v/>
      </c>
      <c r="AF1097" s="6">
        <f t="shared" ca="1" si="232"/>
        <v>0</v>
      </c>
      <c r="AG1097">
        <f t="shared" ca="1" si="227"/>
        <v>0</v>
      </c>
      <c r="AH1097">
        <f t="shared" ca="1" si="233"/>
        <v>0</v>
      </c>
      <c r="AI1097">
        <f t="shared" ca="1" si="234"/>
        <v>0</v>
      </c>
      <c r="AJ1097">
        <f t="shared" ca="1" si="235"/>
        <v>0</v>
      </c>
      <c r="AK1097">
        <f t="shared" ca="1" si="236"/>
        <v>0</v>
      </c>
      <c r="AL1097">
        <f t="shared" ca="1" si="237"/>
        <v>0</v>
      </c>
    </row>
    <row r="1098" spans="1:38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#N/A, OFFSET(data!$A$1, ROW()-1, AA$1-1))</f>
        <v>0</v>
      </c>
      <c r="AB1098">
        <f t="shared" ca="1" si="228"/>
        <v>0</v>
      </c>
      <c r="AC1098" t="e">
        <f t="shared" ca="1" si="229"/>
        <v>#VALUE!</v>
      </c>
      <c r="AD1098" t="str">
        <f t="shared" ca="1" si="230"/>
        <v>0</v>
      </c>
      <c r="AE1098" t="str">
        <f t="shared" ca="1" si="231"/>
        <v/>
      </c>
      <c r="AF1098" s="6">
        <f t="shared" ca="1" si="232"/>
        <v>0</v>
      </c>
      <c r="AG1098">
        <f t="shared" ca="1" si="227"/>
        <v>0</v>
      </c>
      <c r="AH1098">
        <f t="shared" ca="1" si="233"/>
        <v>0</v>
      </c>
      <c r="AI1098">
        <f t="shared" ca="1" si="234"/>
        <v>0</v>
      </c>
      <c r="AJ1098">
        <f t="shared" ca="1" si="235"/>
        <v>0</v>
      </c>
      <c r="AK1098">
        <f t="shared" ca="1" si="236"/>
        <v>0</v>
      </c>
      <c r="AL1098">
        <f t="shared" ca="1" si="237"/>
        <v>0</v>
      </c>
    </row>
    <row r="1099" spans="1:38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#N/A, OFFSET(data!$A$1, ROW()-1, AA$1-1))</f>
        <v>0</v>
      </c>
      <c r="AB1099">
        <f t="shared" ca="1" si="228"/>
        <v>0</v>
      </c>
      <c r="AC1099" t="e">
        <f t="shared" ca="1" si="229"/>
        <v>#VALUE!</v>
      </c>
      <c r="AD1099" t="str">
        <f t="shared" ca="1" si="230"/>
        <v>0</v>
      </c>
      <c r="AE1099" t="str">
        <f t="shared" ca="1" si="231"/>
        <v/>
      </c>
      <c r="AF1099" s="6">
        <f t="shared" ca="1" si="232"/>
        <v>0</v>
      </c>
      <c r="AG1099">
        <f t="shared" ca="1" si="227"/>
        <v>0</v>
      </c>
      <c r="AH1099">
        <f t="shared" ca="1" si="233"/>
        <v>0</v>
      </c>
      <c r="AI1099">
        <f t="shared" ca="1" si="234"/>
        <v>0</v>
      </c>
      <c r="AJ1099">
        <f t="shared" ca="1" si="235"/>
        <v>0</v>
      </c>
      <c r="AK1099">
        <f t="shared" ca="1" si="236"/>
        <v>0</v>
      </c>
      <c r="AL1099">
        <f t="shared" ca="1" si="237"/>
        <v>0</v>
      </c>
    </row>
    <row r="1100" spans="1:38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#N/A, OFFSET(data!$A$1, ROW()-1, AA$1-1))</f>
        <v>0</v>
      </c>
      <c r="AB1100">
        <f t="shared" ca="1" si="228"/>
        <v>0</v>
      </c>
      <c r="AC1100" t="e">
        <f t="shared" ca="1" si="229"/>
        <v>#VALUE!</v>
      </c>
      <c r="AD1100" t="str">
        <f t="shared" ca="1" si="230"/>
        <v>0</v>
      </c>
      <c r="AE1100" t="str">
        <f t="shared" ca="1" si="231"/>
        <v/>
      </c>
      <c r="AF1100" s="6">
        <f t="shared" ca="1" si="232"/>
        <v>0</v>
      </c>
      <c r="AG1100">
        <f t="shared" ca="1" si="227"/>
        <v>0</v>
      </c>
      <c r="AH1100">
        <f t="shared" ca="1" si="233"/>
        <v>0</v>
      </c>
      <c r="AI1100">
        <f t="shared" ca="1" si="234"/>
        <v>0</v>
      </c>
      <c r="AJ1100">
        <f t="shared" ca="1" si="235"/>
        <v>0</v>
      </c>
      <c r="AK1100">
        <f t="shared" ca="1" si="236"/>
        <v>0</v>
      </c>
      <c r="AL1100">
        <f t="shared" ca="1" si="237"/>
        <v>0</v>
      </c>
    </row>
    <row r="1101" spans="1:38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#N/A, OFFSET(data!$A$1, ROW()-1, AA$1-1))</f>
        <v>0</v>
      </c>
      <c r="AB1101">
        <f t="shared" ca="1" si="228"/>
        <v>0</v>
      </c>
      <c r="AC1101" t="e">
        <f t="shared" ca="1" si="229"/>
        <v>#VALUE!</v>
      </c>
      <c r="AD1101" t="str">
        <f t="shared" ca="1" si="230"/>
        <v>0</v>
      </c>
      <c r="AE1101" t="str">
        <f t="shared" ca="1" si="231"/>
        <v/>
      </c>
      <c r="AF1101" s="6">
        <f t="shared" ca="1" si="232"/>
        <v>0</v>
      </c>
      <c r="AG1101">
        <f t="shared" ca="1" si="227"/>
        <v>0</v>
      </c>
      <c r="AH1101">
        <f t="shared" ca="1" si="233"/>
        <v>0</v>
      </c>
      <c r="AI1101">
        <f t="shared" ca="1" si="234"/>
        <v>0</v>
      </c>
      <c r="AJ1101">
        <f t="shared" ca="1" si="235"/>
        <v>0</v>
      </c>
      <c r="AK1101">
        <f t="shared" ca="1" si="236"/>
        <v>0</v>
      </c>
      <c r="AL1101">
        <f t="shared" ca="1" si="237"/>
        <v>0</v>
      </c>
    </row>
    <row r="1102" spans="1:38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#N/A, OFFSET(data!$A$1, ROW()-1, AA$1-1))</f>
        <v>0</v>
      </c>
      <c r="AB1102">
        <f t="shared" ca="1" si="228"/>
        <v>0</v>
      </c>
      <c r="AC1102" t="e">
        <f t="shared" ca="1" si="229"/>
        <v>#VALUE!</v>
      </c>
      <c r="AD1102" t="str">
        <f t="shared" ca="1" si="230"/>
        <v>0</v>
      </c>
      <c r="AE1102" t="str">
        <f t="shared" ca="1" si="231"/>
        <v/>
      </c>
      <c r="AF1102" s="6">
        <f t="shared" ca="1" si="232"/>
        <v>0</v>
      </c>
      <c r="AG1102">
        <f t="shared" ca="1" si="227"/>
        <v>0</v>
      </c>
      <c r="AH1102">
        <f t="shared" ca="1" si="233"/>
        <v>0</v>
      </c>
      <c r="AI1102">
        <f t="shared" ca="1" si="234"/>
        <v>0</v>
      </c>
      <c r="AJ1102">
        <f t="shared" ca="1" si="235"/>
        <v>0</v>
      </c>
      <c r="AK1102">
        <f t="shared" ca="1" si="236"/>
        <v>0</v>
      </c>
      <c r="AL1102">
        <f t="shared" ca="1" si="237"/>
        <v>0</v>
      </c>
    </row>
    <row r="1103" spans="1:38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#N/A, OFFSET(data!$A$1, ROW()-1, AA$1-1))</f>
        <v>0</v>
      </c>
      <c r="AB1103">
        <f t="shared" ca="1" si="228"/>
        <v>0</v>
      </c>
      <c r="AC1103" t="e">
        <f t="shared" ca="1" si="229"/>
        <v>#VALUE!</v>
      </c>
      <c r="AD1103" t="str">
        <f t="shared" ca="1" si="230"/>
        <v>0</v>
      </c>
      <c r="AE1103" t="str">
        <f t="shared" ca="1" si="231"/>
        <v/>
      </c>
      <c r="AF1103" s="6">
        <f t="shared" ca="1" si="232"/>
        <v>0</v>
      </c>
      <c r="AG1103">
        <f t="shared" ca="1" si="227"/>
        <v>0</v>
      </c>
      <c r="AH1103">
        <f t="shared" ca="1" si="233"/>
        <v>0</v>
      </c>
      <c r="AI1103">
        <f t="shared" ca="1" si="234"/>
        <v>0</v>
      </c>
      <c r="AJ1103">
        <f t="shared" ca="1" si="235"/>
        <v>0</v>
      </c>
      <c r="AK1103">
        <f t="shared" ca="1" si="236"/>
        <v>0</v>
      </c>
      <c r="AL1103">
        <f t="shared" ca="1" si="237"/>
        <v>0</v>
      </c>
    </row>
    <row r="1104" spans="1:38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#N/A, OFFSET(data!$A$1, ROW()-1, AA$1-1))</f>
        <v>0</v>
      </c>
      <c r="AB1104">
        <f t="shared" ca="1" si="228"/>
        <v>0</v>
      </c>
      <c r="AC1104" t="e">
        <f t="shared" ca="1" si="229"/>
        <v>#VALUE!</v>
      </c>
      <c r="AD1104" t="str">
        <f t="shared" ca="1" si="230"/>
        <v>0</v>
      </c>
      <c r="AE1104" t="str">
        <f t="shared" ca="1" si="231"/>
        <v/>
      </c>
      <c r="AF1104" s="6">
        <f t="shared" ca="1" si="232"/>
        <v>0</v>
      </c>
      <c r="AG1104">
        <f t="shared" ca="1" si="227"/>
        <v>0</v>
      </c>
      <c r="AH1104">
        <f t="shared" ca="1" si="233"/>
        <v>0</v>
      </c>
      <c r="AI1104">
        <f t="shared" ca="1" si="234"/>
        <v>0</v>
      </c>
      <c r="AJ1104">
        <f t="shared" ca="1" si="235"/>
        <v>0</v>
      </c>
      <c r="AK1104">
        <f t="shared" ca="1" si="236"/>
        <v>0</v>
      </c>
      <c r="AL1104">
        <f t="shared" ca="1" si="237"/>
        <v>0</v>
      </c>
    </row>
    <row r="1105" spans="1:38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#N/A, OFFSET(data!$A$1, ROW()-1, AA$1-1))</f>
        <v>0</v>
      </c>
      <c r="AB1105">
        <f t="shared" ca="1" si="228"/>
        <v>0</v>
      </c>
      <c r="AC1105" t="e">
        <f t="shared" ca="1" si="229"/>
        <v>#VALUE!</v>
      </c>
      <c r="AD1105" t="str">
        <f t="shared" ca="1" si="230"/>
        <v>0</v>
      </c>
      <c r="AE1105" t="str">
        <f t="shared" ca="1" si="231"/>
        <v/>
      </c>
      <c r="AF1105" s="6">
        <f t="shared" ca="1" si="232"/>
        <v>0</v>
      </c>
      <c r="AG1105">
        <f t="shared" ca="1" si="227"/>
        <v>0</v>
      </c>
      <c r="AH1105">
        <f t="shared" ca="1" si="233"/>
        <v>0</v>
      </c>
      <c r="AI1105">
        <f t="shared" ca="1" si="234"/>
        <v>0</v>
      </c>
      <c r="AJ1105">
        <f t="shared" ca="1" si="235"/>
        <v>0</v>
      </c>
      <c r="AK1105">
        <f t="shared" ca="1" si="236"/>
        <v>0</v>
      </c>
      <c r="AL1105">
        <f t="shared" ca="1" si="237"/>
        <v>0</v>
      </c>
    </row>
    <row r="1106" spans="1:38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#N/A, OFFSET(data!$A$1, ROW()-1, AA$1-1))</f>
        <v>0</v>
      </c>
      <c r="AB1106">
        <f t="shared" ca="1" si="228"/>
        <v>0</v>
      </c>
      <c r="AC1106" t="e">
        <f t="shared" ca="1" si="229"/>
        <v>#VALUE!</v>
      </c>
      <c r="AD1106" t="str">
        <f t="shared" ca="1" si="230"/>
        <v>0</v>
      </c>
      <c r="AE1106" t="str">
        <f t="shared" ca="1" si="231"/>
        <v/>
      </c>
      <c r="AF1106" s="6">
        <f t="shared" ca="1" si="232"/>
        <v>0</v>
      </c>
      <c r="AG1106">
        <f t="shared" ca="1" si="227"/>
        <v>0</v>
      </c>
      <c r="AH1106">
        <f t="shared" ca="1" si="233"/>
        <v>0</v>
      </c>
      <c r="AI1106">
        <f t="shared" ca="1" si="234"/>
        <v>0</v>
      </c>
      <c r="AJ1106">
        <f t="shared" ca="1" si="235"/>
        <v>0</v>
      </c>
      <c r="AK1106">
        <f t="shared" ca="1" si="236"/>
        <v>0</v>
      </c>
      <c r="AL1106">
        <f t="shared" ca="1" si="237"/>
        <v>0</v>
      </c>
    </row>
    <row r="1107" spans="1:38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#N/A, OFFSET(data!$A$1, ROW()-1, AA$1-1))</f>
        <v>0</v>
      </c>
      <c r="AB1107">
        <f t="shared" ca="1" si="228"/>
        <v>0</v>
      </c>
      <c r="AC1107" t="e">
        <f t="shared" ca="1" si="229"/>
        <v>#VALUE!</v>
      </c>
      <c r="AD1107" t="str">
        <f t="shared" ca="1" si="230"/>
        <v>0</v>
      </c>
      <c r="AE1107" t="str">
        <f t="shared" ca="1" si="231"/>
        <v/>
      </c>
      <c r="AF1107" s="6">
        <f t="shared" ca="1" si="232"/>
        <v>0</v>
      </c>
      <c r="AG1107">
        <f t="shared" ca="1" si="227"/>
        <v>0</v>
      </c>
      <c r="AH1107">
        <f t="shared" ca="1" si="233"/>
        <v>0</v>
      </c>
      <c r="AI1107">
        <f t="shared" ca="1" si="234"/>
        <v>0</v>
      </c>
      <c r="AJ1107">
        <f t="shared" ca="1" si="235"/>
        <v>0</v>
      </c>
      <c r="AK1107">
        <f t="shared" ca="1" si="236"/>
        <v>0</v>
      </c>
      <c r="AL1107">
        <f t="shared" ca="1" si="237"/>
        <v>0</v>
      </c>
    </row>
    <row r="1108" spans="1:38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#N/A, OFFSET(data!$A$1, ROW()-1, AA$1-1))</f>
        <v>0</v>
      </c>
      <c r="AB1108">
        <f t="shared" ca="1" si="228"/>
        <v>0</v>
      </c>
      <c r="AC1108" t="e">
        <f t="shared" ca="1" si="229"/>
        <v>#VALUE!</v>
      </c>
      <c r="AD1108" t="str">
        <f t="shared" ca="1" si="230"/>
        <v>0</v>
      </c>
      <c r="AE1108" t="str">
        <f t="shared" ca="1" si="231"/>
        <v/>
      </c>
      <c r="AF1108" s="6">
        <f t="shared" ca="1" si="232"/>
        <v>0</v>
      </c>
      <c r="AG1108">
        <f t="shared" ca="1" si="227"/>
        <v>0</v>
      </c>
      <c r="AH1108">
        <f t="shared" ca="1" si="233"/>
        <v>0</v>
      </c>
      <c r="AI1108">
        <f t="shared" ca="1" si="234"/>
        <v>0</v>
      </c>
      <c r="AJ1108">
        <f t="shared" ca="1" si="235"/>
        <v>0</v>
      </c>
      <c r="AK1108">
        <f t="shared" ca="1" si="236"/>
        <v>0</v>
      </c>
      <c r="AL1108">
        <f t="shared" ca="1" si="237"/>
        <v>0</v>
      </c>
    </row>
    <row r="1109" spans="1:38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#N/A, OFFSET(data!$A$1, ROW()-1, AA$1-1))</f>
        <v>0</v>
      </c>
      <c r="AB1109">
        <f t="shared" ca="1" si="228"/>
        <v>0</v>
      </c>
      <c r="AC1109" t="e">
        <f t="shared" ca="1" si="229"/>
        <v>#VALUE!</v>
      </c>
      <c r="AD1109" t="str">
        <f t="shared" ca="1" si="230"/>
        <v>0</v>
      </c>
      <c r="AE1109" t="str">
        <f t="shared" ca="1" si="231"/>
        <v/>
      </c>
      <c r="AF1109" s="6">
        <f t="shared" ca="1" si="232"/>
        <v>0</v>
      </c>
      <c r="AG1109">
        <f t="shared" ca="1" si="227"/>
        <v>0</v>
      </c>
      <c r="AH1109">
        <f t="shared" ca="1" si="233"/>
        <v>0</v>
      </c>
      <c r="AI1109">
        <f t="shared" ca="1" si="234"/>
        <v>0</v>
      </c>
      <c r="AJ1109">
        <f t="shared" ca="1" si="235"/>
        <v>0</v>
      </c>
      <c r="AK1109">
        <f t="shared" ca="1" si="236"/>
        <v>0</v>
      </c>
      <c r="AL1109">
        <f t="shared" ca="1" si="237"/>
        <v>0</v>
      </c>
    </row>
    <row r="1110" spans="1:38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#N/A, OFFSET(data!$A$1, ROW()-1, AA$1-1))</f>
        <v>0</v>
      </c>
      <c r="AB1110">
        <f t="shared" ca="1" si="228"/>
        <v>0</v>
      </c>
      <c r="AC1110" t="e">
        <f t="shared" ca="1" si="229"/>
        <v>#VALUE!</v>
      </c>
      <c r="AD1110" t="str">
        <f t="shared" ca="1" si="230"/>
        <v>0</v>
      </c>
      <c r="AE1110" t="str">
        <f t="shared" ca="1" si="231"/>
        <v/>
      </c>
      <c r="AF1110" s="6">
        <f t="shared" ca="1" si="232"/>
        <v>0</v>
      </c>
      <c r="AG1110">
        <f t="shared" ca="1" si="227"/>
        <v>0</v>
      </c>
      <c r="AH1110">
        <f t="shared" ca="1" si="233"/>
        <v>0</v>
      </c>
      <c r="AI1110">
        <f t="shared" ca="1" si="234"/>
        <v>0</v>
      </c>
      <c r="AJ1110">
        <f t="shared" ca="1" si="235"/>
        <v>0</v>
      </c>
      <c r="AK1110">
        <f t="shared" ca="1" si="236"/>
        <v>0</v>
      </c>
      <c r="AL1110">
        <f t="shared" ca="1" si="237"/>
        <v>0</v>
      </c>
    </row>
    <row r="1111" spans="1:38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#N/A, OFFSET(data!$A$1, ROW()-1, AA$1-1))</f>
        <v>0</v>
      </c>
      <c r="AB1111">
        <f t="shared" ca="1" si="228"/>
        <v>0</v>
      </c>
      <c r="AC1111" t="e">
        <f t="shared" ca="1" si="229"/>
        <v>#VALUE!</v>
      </c>
      <c r="AD1111" t="str">
        <f t="shared" ca="1" si="230"/>
        <v>0</v>
      </c>
      <c r="AE1111" t="str">
        <f t="shared" ca="1" si="231"/>
        <v/>
      </c>
      <c r="AF1111" s="6">
        <f t="shared" ca="1" si="232"/>
        <v>0</v>
      </c>
      <c r="AG1111">
        <f t="shared" ca="1" si="227"/>
        <v>0</v>
      </c>
      <c r="AH1111">
        <f t="shared" ca="1" si="233"/>
        <v>0</v>
      </c>
      <c r="AI1111">
        <f t="shared" ca="1" si="234"/>
        <v>0</v>
      </c>
      <c r="AJ1111">
        <f t="shared" ca="1" si="235"/>
        <v>0</v>
      </c>
      <c r="AK1111">
        <f t="shared" ca="1" si="236"/>
        <v>0</v>
      </c>
      <c r="AL1111">
        <f t="shared" ca="1" si="237"/>
        <v>0</v>
      </c>
    </row>
    <row r="1112" spans="1:38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#N/A, OFFSET(data!$A$1, ROW()-1, AA$1-1))</f>
        <v>0</v>
      </c>
      <c r="AB1112">
        <f t="shared" ca="1" si="228"/>
        <v>0</v>
      </c>
      <c r="AC1112" t="e">
        <f t="shared" ca="1" si="229"/>
        <v>#VALUE!</v>
      </c>
      <c r="AD1112" t="str">
        <f t="shared" ca="1" si="230"/>
        <v>0</v>
      </c>
      <c r="AE1112" t="str">
        <f t="shared" ca="1" si="231"/>
        <v/>
      </c>
      <c r="AF1112" s="6">
        <f t="shared" ca="1" si="232"/>
        <v>0</v>
      </c>
      <c r="AG1112">
        <f t="shared" ca="1" si="227"/>
        <v>0</v>
      </c>
      <c r="AH1112">
        <f t="shared" ca="1" si="233"/>
        <v>0</v>
      </c>
      <c r="AI1112">
        <f t="shared" ca="1" si="234"/>
        <v>0</v>
      </c>
      <c r="AJ1112">
        <f t="shared" ca="1" si="235"/>
        <v>0</v>
      </c>
      <c r="AK1112">
        <f t="shared" ca="1" si="236"/>
        <v>0</v>
      </c>
      <c r="AL1112">
        <f t="shared" ca="1" si="237"/>
        <v>0</v>
      </c>
    </row>
    <row r="1113" spans="1:38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#N/A, OFFSET(data!$A$1, ROW()-1, AA$1-1))</f>
        <v>0</v>
      </c>
      <c r="AB1113">
        <f t="shared" ca="1" si="228"/>
        <v>0</v>
      </c>
      <c r="AC1113" t="e">
        <f t="shared" ca="1" si="229"/>
        <v>#VALUE!</v>
      </c>
      <c r="AD1113" t="str">
        <f t="shared" ca="1" si="230"/>
        <v>0</v>
      </c>
      <c r="AE1113" t="str">
        <f t="shared" ca="1" si="231"/>
        <v/>
      </c>
      <c r="AF1113" s="6">
        <f t="shared" ca="1" si="232"/>
        <v>0</v>
      </c>
      <c r="AG1113">
        <f t="shared" ca="1" si="227"/>
        <v>0</v>
      </c>
      <c r="AH1113">
        <f t="shared" ca="1" si="233"/>
        <v>0</v>
      </c>
      <c r="AI1113">
        <f t="shared" ca="1" si="234"/>
        <v>0</v>
      </c>
      <c r="AJ1113">
        <f t="shared" ca="1" si="235"/>
        <v>0</v>
      </c>
      <c r="AK1113">
        <f t="shared" ca="1" si="236"/>
        <v>0</v>
      </c>
      <c r="AL1113">
        <f t="shared" ca="1" si="237"/>
        <v>0</v>
      </c>
    </row>
    <row r="1114" spans="1:38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#N/A, OFFSET(data!$A$1, ROW()-1, AA$1-1))</f>
        <v>0</v>
      </c>
      <c r="AB1114">
        <f t="shared" ca="1" si="228"/>
        <v>0</v>
      </c>
      <c r="AC1114" t="e">
        <f t="shared" ca="1" si="229"/>
        <v>#VALUE!</v>
      </c>
      <c r="AD1114" t="str">
        <f t="shared" ca="1" si="230"/>
        <v>0</v>
      </c>
      <c r="AE1114" t="str">
        <f t="shared" ca="1" si="231"/>
        <v/>
      </c>
      <c r="AF1114" s="6">
        <f t="shared" ca="1" si="232"/>
        <v>0</v>
      </c>
      <c r="AG1114">
        <f t="shared" ca="1" si="227"/>
        <v>0</v>
      </c>
      <c r="AH1114">
        <f t="shared" ca="1" si="233"/>
        <v>0</v>
      </c>
      <c r="AI1114">
        <f t="shared" ca="1" si="234"/>
        <v>0</v>
      </c>
      <c r="AJ1114">
        <f t="shared" ca="1" si="235"/>
        <v>0</v>
      </c>
      <c r="AK1114">
        <f t="shared" ca="1" si="236"/>
        <v>0</v>
      </c>
      <c r="AL1114">
        <f t="shared" ca="1" si="237"/>
        <v>0</v>
      </c>
    </row>
    <row r="1115" spans="1:38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#N/A, OFFSET(data!$A$1, ROW()-1, AA$1-1))</f>
        <v>0</v>
      </c>
      <c r="AB1115">
        <f t="shared" ca="1" si="228"/>
        <v>0</v>
      </c>
      <c r="AC1115" t="e">
        <f t="shared" ca="1" si="229"/>
        <v>#VALUE!</v>
      </c>
      <c r="AD1115" t="str">
        <f t="shared" ca="1" si="230"/>
        <v>0</v>
      </c>
      <c r="AE1115" t="str">
        <f t="shared" ca="1" si="231"/>
        <v/>
      </c>
      <c r="AF1115" s="6">
        <f t="shared" ca="1" si="232"/>
        <v>0</v>
      </c>
      <c r="AG1115">
        <f t="shared" ca="1" si="227"/>
        <v>0</v>
      </c>
      <c r="AH1115">
        <f t="shared" ca="1" si="233"/>
        <v>0</v>
      </c>
      <c r="AI1115">
        <f t="shared" ca="1" si="234"/>
        <v>0</v>
      </c>
      <c r="AJ1115">
        <f t="shared" ca="1" si="235"/>
        <v>0</v>
      </c>
      <c r="AK1115">
        <f t="shared" ca="1" si="236"/>
        <v>0</v>
      </c>
      <c r="AL1115">
        <f t="shared" ca="1" si="237"/>
        <v>0</v>
      </c>
    </row>
    <row r="1116" spans="1:38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#N/A, OFFSET(data!$A$1, ROW()-1, AA$1-1))</f>
        <v>0</v>
      </c>
      <c r="AB1116">
        <f t="shared" ca="1" si="228"/>
        <v>0</v>
      </c>
      <c r="AC1116" t="e">
        <f t="shared" ca="1" si="229"/>
        <v>#VALUE!</v>
      </c>
      <c r="AD1116" t="str">
        <f t="shared" ca="1" si="230"/>
        <v>0</v>
      </c>
      <c r="AE1116" t="str">
        <f t="shared" ca="1" si="231"/>
        <v/>
      </c>
      <c r="AF1116" s="6">
        <f t="shared" ca="1" si="232"/>
        <v>0</v>
      </c>
      <c r="AG1116">
        <f t="shared" ca="1" si="227"/>
        <v>0</v>
      </c>
      <c r="AH1116">
        <f t="shared" ca="1" si="233"/>
        <v>0</v>
      </c>
      <c r="AI1116">
        <f t="shared" ca="1" si="234"/>
        <v>0</v>
      </c>
      <c r="AJ1116">
        <f t="shared" ca="1" si="235"/>
        <v>0</v>
      </c>
      <c r="AK1116">
        <f t="shared" ca="1" si="236"/>
        <v>0</v>
      </c>
      <c r="AL1116">
        <f t="shared" ca="1" si="237"/>
        <v>0</v>
      </c>
    </row>
    <row r="1117" spans="1:38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#N/A, OFFSET(data!$A$1, ROW()-1, AA$1-1))</f>
        <v>0</v>
      </c>
      <c r="AB1117">
        <f t="shared" ca="1" si="228"/>
        <v>0</v>
      </c>
      <c r="AC1117" t="e">
        <f t="shared" ca="1" si="229"/>
        <v>#VALUE!</v>
      </c>
      <c r="AD1117" t="str">
        <f t="shared" ca="1" si="230"/>
        <v>0</v>
      </c>
      <c r="AE1117" t="str">
        <f t="shared" ca="1" si="231"/>
        <v/>
      </c>
      <c r="AF1117" s="6">
        <f t="shared" ca="1" si="232"/>
        <v>0</v>
      </c>
      <c r="AG1117">
        <f t="shared" ca="1" si="227"/>
        <v>0</v>
      </c>
      <c r="AH1117">
        <f t="shared" ca="1" si="233"/>
        <v>0</v>
      </c>
      <c r="AI1117">
        <f t="shared" ca="1" si="234"/>
        <v>0</v>
      </c>
      <c r="AJ1117">
        <f t="shared" ca="1" si="235"/>
        <v>0</v>
      </c>
      <c r="AK1117">
        <f t="shared" ca="1" si="236"/>
        <v>0</v>
      </c>
      <c r="AL1117">
        <f t="shared" ca="1" si="237"/>
        <v>0</v>
      </c>
    </row>
    <row r="1118" spans="1:38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#N/A, OFFSET(data!$A$1, ROW()-1, AA$1-1))</f>
        <v>0</v>
      </c>
      <c r="AB1118">
        <f t="shared" ca="1" si="228"/>
        <v>0</v>
      </c>
      <c r="AC1118" t="e">
        <f t="shared" ca="1" si="229"/>
        <v>#VALUE!</v>
      </c>
      <c r="AD1118" t="str">
        <f t="shared" ca="1" si="230"/>
        <v>0</v>
      </c>
      <c r="AE1118" t="str">
        <f t="shared" ca="1" si="231"/>
        <v/>
      </c>
      <c r="AF1118" s="6">
        <f t="shared" ca="1" si="232"/>
        <v>0</v>
      </c>
      <c r="AG1118">
        <f t="shared" ca="1" si="227"/>
        <v>0</v>
      </c>
      <c r="AH1118">
        <f t="shared" ca="1" si="233"/>
        <v>0</v>
      </c>
      <c r="AI1118">
        <f t="shared" ca="1" si="234"/>
        <v>0</v>
      </c>
      <c r="AJ1118">
        <f t="shared" ca="1" si="235"/>
        <v>0</v>
      </c>
      <c r="AK1118">
        <f t="shared" ca="1" si="236"/>
        <v>0</v>
      </c>
      <c r="AL1118">
        <f t="shared" ca="1" si="237"/>
        <v>0</v>
      </c>
    </row>
    <row r="1119" spans="1:38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#N/A, OFFSET(data!$A$1, ROW()-1, AA$1-1))</f>
        <v>0</v>
      </c>
      <c r="AB1119">
        <f t="shared" ca="1" si="228"/>
        <v>0</v>
      </c>
      <c r="AC1119" t="e">
        <f t="shared" ca="1" si="229"/>
        <v>#VALUE!</v>
      </c>
      <c r="AD1119" t="str">
        <f t="shared" ca="1" si="230"/>
        <v>0</v>
      </c>
      <c r="AE1119" t="str">
        <f t="shared" ca="1" si="231"/>
        <v/>
      </c>
      <c r="AF1119" s="6">
        <f t="shared" ca="1" si="232"/>
        <v>0</v>
      </c>
      <c r="AG1119">
        <f t="shared" ca="1" si="227"/>
        <v>0</v>
      </c>
      <c r="AH1119">
        <f t="shared" ca="1" si="233"/>
        <v>0</v>
      </c>
      <c r="AI1119">
        <f t="shared" ca="1" si="234"/>
        <v>0</v>
      </c>
      <c r="AJ1119">
        <f t="shared" ca="1" si="235"/>
        <v>0</v>
      </c>
      <c r="AK1119">
        <f t="shared" ca="1" si="236"/>
        <v>0</v>
      </c>
      <c r="AL1119">
        <f t="shared" ca="1" si="237"/>
        <v>0</v>
      </c>
    </row>
    <row r="1120" spans="1:38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#N/A, OFFSET(data!$A$1, ROW()-1, AA$1-1))</f>
        <v>0</v>
      </c>
      <c r="AB1120">
        <f t="shared" ca="1" si="228"/>
        <v>0</v>
      </c>
      <c r="AC1120" t="e">
        <f t="shared" ca="1" si="229"/>
        <v>#VALUE!</v>
      </c>
      <c r="AD1120" t="str">
        <f t="shared" ca="1" si="230"/>
        <v>0</v>
      </c>
      <c r="AE1120" t="str">
        <f t="shared" ca="1" si="231"/>
        <v/>
      </c>
      <c r="AF1120" s="6">
        <f t="shared" ca="1" si="232"/>
        <v>0</v>
      </c>
      <c r="AG1120">
        <f t="shared" ca="1" si="227"/>
        <v>0</v>
      </c>
      <c r="AH1120">
        <f t="shared" ca="1" si="233"/>
        <v>0</v>
      </c>
      <c r="AI1120">
        <f t="shared" ca="1" si="234"/>
        <v>0</v>
      </c>
      <c r="AJ1120">
        <f t="shared" ca="1" si="235"/>
        <v>0</v>
      </c>
      <c r="AK1120">
        <f t="shared" ca="1" si="236"/>
        <v>0</v>
      </c>
      <c r="AL1120">
        <f t="shared" ca="1" si="237"/>
        <v>0</v>
      </c>
    </row>
    <row r="1121" spans="1:38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#N/A, OFFSET(data!$A$1, ROW()-1, AA$1-1))</f>
        <v>0</v>
      </c>
      <c r="AB1121">
        <f t="shared" ca="1" si="228"/>
        <v>0</v>
      </c>
      <c r="AC1121" t="e">
        <f t="shared" ca="1" si="229"/>
        <v>#VALUE!</v>
      </c>
      <c r="AD1121" t="str">
        <f t="shared" ca="1" si="230"/>
        <v>0</v>
      </c>
      <c r="AE1121" t="str">
        <f t="shared" ca="1" si="231"/>
        <v/>
      </c>
      <c r="AF1121" s="6">
        <f t="shared" ca="1" si="232"/>
        <v>0</v>
      </c>
      <c r="AG1121">
        <f t="shared" ca="1" si="227"/>
        <v>0</v>
      </c>
      <c r="AH1121">
        <f t="shared" ca="1" si="233"/>
        <v>0</v>
      </c>
      <c r="AI1121">
        <f t="shared" ca="1" si="234"/>
        <v>0</v>
      </c>
      <c r="AJ1121">
        <f t="shared" ca="1" si="235"/>
        <v>0</v>
      </c>
      <c r="AK1121">
        <f t="shared" ca="1" si="236"/>
        <v>0</v>
      </c>
      <c r="AL1121">
        <f t="shared" ca="1" si="237"/>
        <v>0</v>
      </c>
    </row>
    <row r="1122" spans="1:38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#N/A, OFFSET(data!$A$1, ROW()-1, AA$1-1))</f>
        <v>0</v>
      </c>
      <c r="AB1122">
        <f t="shared" ca="1" si="228"/>
        <v>0</v>
      </c>
      <c r="AC1122" t="e">
        <f t="shared" ca="1" si="229"/>
        <v>#VALUE!</v>
      </c>
      <c r="AD1122" t="str">
        <f t="shared" ca="1" si="230"/>
        <v>0</v>
      </c>
      <c r="AE1122" t="str">
        <f t="shared" ca="1" si="231"/>
        <v/>
      </c>
      <c r="AF1122" s="6">
        <f t="shared" ca="1" si="232"/>
        <v>0</v>
      </c>
      <c r="AG1122">
        <f t="shared" ca="1" si="227"/>
        <v>0</v>
      </c>
      <c r="AH1122">
        <f t="shared" ca="1" si="233"/>
        <v>0</v>
      </c>
      <c r="AI1122">
        <f t="shared" ca="1" si="234"/>
        <v>0</v>
      </c>
      <c r="AJ1122">
        <f t="shared" ca="1" si="235"/>
        <v>0</v>
      </c>
      <c r="AK1122">
        <f t="shared" ca="1" si="236"/>
        <v>0</v>
      </c>
      <c r="AL1122">
        <f t="shared" ca="1" si="237"/>
        <v>0</v>
      </c>
    </row>
    <row r="1123" spans="1:38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#N/A, OFFSET(data!$A$1, ROW()-1, AA$1-1))</f>
        <v>0</v>
      </c>
      <c r="AB1123">
        <f t="shared" ca="1" si="228"/>
        <v>0</v>
      </c>
      <c r="AC1123" t="e">
        <f t="shared" ca="1" si="229"/>
        <v>#VALUE!</v>
      </c>
      <c r="AD1123" t="str">
        <f t="shared" ca="1" si="230"/>
        <v>0</v>
      </c>
      <c r="AE1123" t="str">
        <f t="shared" ca="1" si="231"/>
        <v/>
      </c>
      <c r="AF1123" s="6">
        <f t="shared" ca="1" si="232"/>
        <v>0</v>
      </c>
      <c r="AG1123">
        <f t="shared" ca="1" si="227"/>
        <v>0</v>
      </c>
      <c r="AH1123">
        <f t="shared" ca="1" si="233"/>
        <v>0</v>
      </c>
      <c r="AI1123">
        <f t="shared" ca="1" si="234"/>
        <v>0</v>
      </c>
      <c r="AJ1123">
        <f t="shared" ca="1" si="235"/>
        <v>0</v>
      </c>
      <c r="AK1123">
        <f t="shared" ca="1" si="236"/>
        <v>0</v>
      </c>
      <c r="AL1123">
        <f t="shared" ca="1" si="237"/>
        <v>0</v>
      </c>
    </row>
    <row r="1124" spans="1:38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#N/A, OFFSET(data!$A$1, ROW()-1, AA$1-1))</f>
        <v>0</v>
      </c>
      <c r="AB1124">
        <f t="shared" ca="1" si="228"/>
        <v>0</v>
      </c>
      <c r="AC1124" t="e">
        <f t="shared" ca="1" si="229"/>
        <v>#VALUE!</v>
      </c>
      <c r="AD1124" t="str">
        <f t="shared" ca="1" si="230"/>
        <v>0</v>
      </c>
      <c r="AE1124" t="str">
        <f t="shared" ca="1" si="231"/>
        <v/>
      </c>
      <c r="AF1124" s="6">
        <f t="shared" ca="1" si="232"/>
        <v>0</v>
      </c>
      <c r="AG1124">
        <f t="shared" ca="1" si="227"/>
        <v>0</v>
      </c>
      <c r="AH1124">
        <f t="shared" ca="1" si="233"/>
        <v>0</v>
      </c>
      <c r="AI1124">
        <f t="shared" ca="1" si="234"/>
        <v>0</v>
      </c>
      <c r="AJ1124">
        <f t="shared" ca="1" si="235"/>
        <v>0</v>
      </c>
      <c r="AK1124">
        <f t="shared" ca="1" si="236"/>
        <v>0</v>
      </c>
      <c r="AL1124">
        <f t="shared" ca="1" si="237"/>
        <v>0</v>
      </c>
    </row>
    <row r="1125" spans="1:38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#N/A, OFFSET(data!$A$1, ROW()-1, AA$1-1))</f>
        <v>0</v>
      </c>
      <c r="AB1125">
        <f t="shared" ca="1" si="228"/>
        <v>0</v>
      </c>
      <c r="AC1125" t="e">
        <f t="shared" ca="1" si="229"/>
        <v>#VALUE!</v>
      </c>
      <c r="AD1125" t="str">
        <f t="shared" ca="1" si="230"/>
        <v>0</v>
      </c>
      <c r="AE1125" t="str">
        <f t="shared" ca="1" si="231"/>
        <v/>
      </c>
      <c r="AF1125" s="6">
        <f t="shared" ca="1" si="232"/>
        <v>0</v>
      </c>
      <c r="AG1125">
        <f t="shared" ca="1" si="227"/>
        <v>0</v>
      </c>
      <c r="AH1125">
        <f t="shared" ca="1" si="233"/>
        <v>0</v>
      </c>
      <c r="AI1125">
        <f t="shared" ca="1" si="234"/>
        <v>0</v>
      </c>
      <c r="AJ1125">
        <f t="shared" ca="1" si="235"/>
        <v>0</v>
      </c>
      <c r="AK1125">
        <f t="shared" ca="1" si="236"/>
        <v>0</v>
      </c>
      <c r="AL1125">
        <f t="shared" ca="1" si="237"/>
        <v>0</v>
      </c>
    </row>
    <row r="1126" spans="1:38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#N/A, OFFSET(data!$A$1, ROW()-1, AA$1-1))</f>
        <v>0</v>
      </c>
      <c r="AB1126">
        <f t="shared" ca="1" si="228"/>
        <v>0</v>
      </c>
      <c r="AC1126" t="e">
        <f t="shared" ca="1" si="229"/>
        <v>#VALUE!</v>
      </c>
      <c r="AD1126" t="str">
        <f t="shared" ca="1" si="230"/>
        <v>0</v>
      </c>
      <c r="AE1126" t="str">
        <f t="shared" ca="1" si="231"/>
        <v/>
      </c>
      <c r="AF1126" s="6">
        <f t="shared" ca="1" si="232"/>
        <v>0</v>
      </c>
      <c r="AG1126">
        <f t="shared" ca="1" si="227"/>
        <v>0</v>
      </c>
      <c r="AH1126">
        <f t="shared" ca="1" si="233"/>
        <v>0</v>
      </c>
      <c r="AI1126">
        <f t="shared" ca="1" si="234"/>
        <v>0</v>
      </c>
      <c r="AJ1126">
        <f t="shared" ca="1" si="235"/>
        <v>0</v>
      </c>
      <c r="AK1126">
        <f t="shared" ca="1" si="236"/>
        <v>0</v>
      </c>
      <c r="AL1126">
        <f t="shared" ca="1" si="237"/>
        <v>0</v>
      </c>
    </row>
    <row r="1127" spans="1:38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#N/A, OFFSET(data!$A$1, ROW()-1, AA$1-1))</f>
        <v>0</v>
      </c>
      <c r="AB1127">
        <f t="shared" ca="1" si="228"/>
        <v>0</v>
      </c>
      <c r="AC1127" t="e">
        <f t="shared" ca="1" si="229"/>
        <v>#VALUE!</v>
      </c>
      <c r="AD1127" t="str">
        <f t="shared" ca="1" si="230"/>
        <v>0</v>
      </c>
      <c r="AE1127" t="str">
        <f t="shared" ca="1" si="231"/>
        <v/>
      </c>
      <c r="AF1127" s="6">
        <f t="shared" ca="1" si="232"/>
        <v>0</v>
      </c>
      <c r="AG1127">
        <f t="shared" ca="1" si="227"/>
        <v>0</v>
      </c>
      <c r="AH1127">
        <f t="shared" ca="1" si="233"/>
        <v>0</v>
      </c>
      <c r="AI1127">
        <f t="shared" ca="1" si="234"/>
        <v>0</v>
      </c>
      <c r="AJ1127">
        <f t="shared" ca="1" si="235"/>
        <v>0</v>
      </c>
      <c r="AK1127">
        <f t="shared" ca="1" si="236"/>
        <v>0</v>
      </c>
      <c r="AL1127">
        <f t="shared" ca="1" si="237"/>
        <v>0</v>
      </c>
    </row>
    <row r="1128" spans="1:38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#N/A, OFFSET(data!$A$1, ROW()-1, AA$1-1))</f>
        <v>0</v>
      </c>
      <c r="AB1128">
        <f t="shared" ca="1" si="228"/>
        <v>0</v>
      </c>
      <c r="AC1128" t="e">
        <f t="shared" ca="1" si="229"/>
        <v>#VALUE!</v>
      </c>
      <c r="AD1128" t="str">
        <f t="shared" ca="1" si="230"/>
        <v>0</v>
      </c>
      <c r="AE1128" t="str">
        <f t="shared" ca="1" si="231"/>
        <v/>
      </c>
      <c r="AF1128" s="6">
        <f t="shared" ca="1" si="232"/>
        <v>0</v>
      </c>
      <c r="AG1128">
        <f t="shared" ca="1" si="227"/>
        <v>0</v>
      </c>
      <c r="AH1128">
        <f t="shared" ca="1" si="233"/>
        <v>0</v>
      </c>
      <c r="AI1128">
        <f t="shared" ca="1" si="234"/>
        <v>0</v>
      </c>
      <c r="AJ1128">
        <f t="shared" ca="1" si="235"/>
        <v>0</v>
      </c>
      <c r="AK1128">
        <f t="shared" ca="1" si="236"/>
        <v>0</v>
      </c>
      <c r="AL1128">
        <f t="shared" ca="1" si="237"/>
        <v>0</v>
      </c>
    </row>
    <row r="1129" spans="1:38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#N/A, OFFSET(data!$A$1, ROW()-1, AA$1-1))</f>
        <v>0</v>
      </c>
      <c r="AB1129">
        <f t="shared" ca="1" si="228"/>
        <v>0</v>
      </c>
      <c r="AC1129" t="e">
        <f t="shared" ca="1" si="229"/>
        <v>#VALUE!</v>
      </c>
      <c r="AD1129" t="str">
        <f t="shared" ca="1" si="230"/>
        <v>0</v>
      </c>
      <c r="AE1129" t="str">
        <f t="shared" ca="1" si="231"/>
        <v/>
      </c>
      <c r="AF1129" s="6">
        <f t="shared" ca="1" si="232"/>
        <v>0</v>
      </c>
      <c r="AG1129">
        <f t="shared" ca="1" si="227"/>
        <v>0</v>
      </c>
      <c r="AH1129">
        <f t="shared" ca="1" si="233"/>
        <v>0</v>
      </c>
      <c r="AI1129">
        <f t="shared" ca="1" si="234"/>
        <v>0</v>
      </c>
      <c r="AJ1129">
        <f t="shared" ca="1" si="235"/>
        <v>0</v>
      </c>
      <c r="AK1129">
        <f t="shared" ca="1" si="236"/>
        <v>0</v>
      </c>
      <c r="AL1129">
        <f t="shared" ca="1" si="237"/>
        <v>0</v>
      </c>
    </row>
    <row r="1130" spans="1:38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#N/A, OFFSET(data!$A$1, ROW()-1, AA$1-1))</f>
        <v>0</v>
      </c>
      <c r="AB1130">
        <f t="shared" ca="1" si="228"/>
        <v>0</v>
      </c>
      <c r="AC1130" t="e">
        <f t="shared" ca="1" si="229"/>
        <v>#VALUE!</v>
      </c>
      <c r="AD1130" t="str">
        <f t="shared" ca="1" si="230"/>
        <v>0</v>
      </c>
      <c r="AE1130" t="str">
        <f t="shared" ca="1" si="231"/>
        <v/>
      </c>
      <c r="AF1130" s="6">
        <f t="shared" ca="1" si="232"/>
        <v>0</v>
      </c>
      <c r="AG1130">
        <f t="shared" ca="1" si="227"/>
        <v>0</v>
      </c>
      <c r="AH1130">
        <f t="shared" ca="1" si="233"/>
        <v>0</v>
      </c>
      <c r="AI1130">
        <f t="shared" ca="1" si="234"/>
        <v>0</v>
      </c>
      <c r="AJ1130">
        <f t="shared" ca="1" si="235"/>
        <v>0</v>
      </c>
      <c r="AK1130">
        <f t="shared" ca="1" si="236"/>
        <v>0</v>
      </c>
      <c r="AL1130">
        <f t="shared" ca="1" si="237"/>
        <v>0</v>
      </c>
    </row>
    <row r="1131" spans="1:38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#N/A, OFFSET(data!$A$1, ROW()-1, AA$1-1))</f>
        <v>0</v>
      </c>
      <c r="AB1131">
        <f t="shared" ca="1" si="228"/>
        <v>0</v>
      </c>
      <c r="AC1131" t="e">
        <f t="shared" ca="1" si="229"/>
        <v>#VALUE!</v>
      </c>
      <c r="AD1131" t="str">
        <f t="shared" ca="1" si="230"/>
        <v>0</v>
      </c>
      <c r="AE1131" t="str">
        <f t="shared" ca="1" si="231"/>
        <v/>
      </c>
      <c r="AF1131" s="6">
        <f t="shared" ca="1" si="232"/>
        <v>0</v>
      </c>
      <c r="AG1131">
        <f t="shared" ca="1" si="227"/>
        <v>0</v>
      </c>
      <c r="AH1131">
        <f t="shared" ca="1" si="233"/>
        <v>0</v>
      </c>
      <c r="AI1131">
        <f t="shared" ca="1" si="234"/>
        <v>0</v>
      </c>
      <c r="AJ1131">
        <f t="shared" ca="1" si="235"/>
        <v>0</v>
      </c>
      <c r="AK1131">
        <f t="shared" ca="1" si="236"/>
        <v>0</v>
      </c>
      <c r="AL1131">
        <f t="shared" ca="1" si="237"/>
        <v>0</v>
      </c>
    </row>
    <row r="1132" spans="1:38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#N/A, OFFSET(data!$A$1, ROW()-1, AA$1-1))</f>
        <v>0</v>
      </c>
      <c r="AB1132">
        <f t="shared" ca="1" si="228"/>
        <v>0</v>
      </c>
      <c r="AC1132" t="e">
        <f t="shared" ca="1" si="229"/>
        <v>#VALUE!</v>
      </c>
      <c r="AD1132" t="str">
        <f t="shared" ca="1" si="230"/>
        <v>0</v>
      </c>
      <c r="AE1132" t="str">
        <f t="shared" ca="1" si="231"/>
        <v/>
      </c>
      <c r="AF1132" s="6">
        <f t="shared" ca="1" si="232"/>
        <v>0</v>
      </c>
      <c r="AG1132">
        <f t="shared" ca="1" si="227"/>
        <v>0</v>
      </c>
      <c r="AH1132">
        <f t="shared" ca="1" si="233"/>
        <v>0</v>
      </c>
      <c r="AI1132">
        <f t="shared" ca="1" si="234"/>
        <v>0</v>
      </c>
      <c r="AJ1132">
        <f t="shared" ca="1" si="235"/>
        <v>0</v>
      </c>
      <c r="AK1132">
        <f t="shared" ca="1" si="236"/>
        <v>0</v>
      </c>
      <c r="AL1132">
        <f t="shared" ca="1" si="237"/>
        <v>0</v>
      </c>
    </row>
    <row r="1133" spans="1:38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#N/A, OFFSET(data!$A$1, ROW()-1, AA$1-1))</f>
        <v>0</v>
      </c>
      <c r="AB1133">
        <f t="shared" ca="1" si="228"/>
        <v>0</v>
      </c>
      <c r="AC1133" t="e">
        <f t="shared" ca="1" si="229"/>
        <v>#VALUE!</v>
      </c>
      <c r="AD1133" t="str">
        <f t="shared" ca="1" si="230"/>
        <v>0</v>
      </c>
      <c r="AE1133" t="str">
        <f t="shared" ca="1" si="231"/>
        <v/>
      </c>
      <c r="AF1133" s="6">
        <f t="shared" ca="1" si="232"/>
        <v>0</v>
      </c>
      <c r="AG1133">
        <f t="shared" ca="1" si="227"/>
        <v>0</v>
      </c>
      <c r="AH1133">
        <f t="shared" ca="1" si="233"/>
        <v>0</v>
      </c>
      <c r="AI1133">
        <f t="shared" ca="1" si="234"/>
        <v>0</v>
      </c>
      <c r="AJ1133">
        <f t="shared" ca="1" si="235"/>
        <v>0</v>
      </c>
      <c r="AK1133">
        <f t="shared" ca="1" si="236"/>
        <v>0</v>
      </c>
      <c r="AL1133">
        <f t="shared" ca="1" si="237"/>
        <v>0</v>
      </c>
    </row>
    <row r="1134" spans="1:38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#N/A, OFFSET(data!$A$1, ROW()-1, AA$1-1))</f>
        <v>0</v>
      </c>
      <c r="AB1134">
        <f t="shared" ca="1" si="228"/>
        <v>0</v>
      </c>
      <c r="AC1134" t="e">
        <f t="shared" ca="1" si="229"/>
        <v>#VALUE!</v>
      </c>
      <c r="AD1134" t="str">
        <f t="shared" ca="1" si="230"/>
        <v>0</v>
      </c>
      <c r="AE1134" t="str">
        <f t="shared" ca="1" si="231"/>
        <v/>
      </c>
      <c r="AF1134" s="6">
        <f t="shared" ca="1" si="232"/>
        <v>0</v>
      </c>
      <c r="AG1134">
        <f t="shared" ca="1" si="227"/>
        <v>0</v>
      </c>
      <c r="AH1134">
        <f t="shared" ca="1" si="233"/>
        <v>0</v>
      </c>
      <c r="AI1134">
        <f t="shared" ca="1" si="234"/>
        <v>0</v>
      </c>
      <c r="AJ1134">
        <f t="shared" ca="1" si="235"/>
        <v>0</v>
      </c>
      <c r="AK1134">
        <f t="shared" ca="1" si="236"/>
        <v>0</v>
      </c>
      <c r="AL1134">
        <f t="shared" ca="1" si="237"/>
        <v>0</v>
      </c>
    </row>
    <row r="1135" spans="1:38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#N/A, OFFSET(data!$A$1, ROW()-1, AA$1-1))</f>
        <v>0</v>
      </c>
      <c r="AB1135">
        <f t="shared" ca="1" si="228"/>
        <v>0</v>
      </c>
      <c r="AC1135" t="e">
        <f t="shared" ca="1" si="229"/>
        <v>#VALUE!</v>
      </c>
      <c r="AD1135" t="str">
        <f t="shared" ca="1" si="230"/>
        <v>0</v>
      </c>
      <c r="AE1135" t="str">
        <f t="shared" ca="1" si="231"/>
        <v/>
      </c>
      <c r="AF1135" s="6">
        <f t="shared" ca="1" si="232"/>
        <v>0</v>
      </c>
      <c r="AG1135">
        <f t="shared" ca="1" si="227"/>
        <v>0</v>
      </c>
      <c r="AH1135">
        <f t="shared" ca="1" si="233"/>
        <v>0</v>
      </c>
      <c r="AI1135">
        <f t="shared" ca="1" si="234"/>
        <v>0</v>
      </c>
      <c r="AJ1135">
        <f t="shared" ca="1" si="235"/>
        <v>0</v>
      </c>
      <c r="AK1135">
        <f t="shared" ca="1" si="236"/>
        <v>0</v>
      </c>
      <c r="AL1135">
        <f t="shared" ca="1" si="237"/>
        <v>0</v>
      </c>
    </row>
    <row r="1136" spans="1:38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#N/A, OFFSET(data!$A$1, ROW()-1, AA$1-1))</f>
        <v>0</v>
      </c>
      <c r="AB1136">
        <f t="shared" ca="1" si="228"/>
        <v>0</v>
      </c>
      <c r="AC1136" t="e">
        <f t="shared" ca="1" si="229"/>
        <v>#VALUE!</v>
      </c>
      <c r="AD1136" t="str">
        <f t="shared" ca="1" si="230"/>
        <v>0</v>
      </c>
      <c r="AE1136" t="str">
        <f t="shared" ca="1" si="231"/>
        <v/>
      </c>
      <c r="AF1136" s="6">
        <f t="shared" ca="1" si="232"/>
        <v>0</v>
      </c>
      <c r="AG1136">
        <f t="shared" ca="1" si="227"/>
        <v>0</v>
      </c>
      <c r="AH1136">
        <f t="shared" ca="1" si="233"/>
        <v>0</v>
      </c>
      <c r="AI1136">
        <f t="shared" ca="1" si="234"/>
        <v>0</v>
      </c>
      <c r="AJ1136">
        <f t="shared" ca="1" si="235"/>
        <v>0</v>
      </c>
      <c r="AK1136">
        <f t="shared" ca="1" si="236"/>
        <v>0</v>
      </c>
      <c r="AL1136">
        <f t="shared" ca="1" si="237"/>
        <v>0</v>
      </c>
    </row>
    <row r="1137" spans="1:38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#N/A, OFFSET(data!$A$1, ROW()-1, AA$1-1))</f>
        <v>0</v>
      </c>
      <c r="AB1137">
        <f t="shared" ca="1" si="228"/>
        <v>0</v>
      </c>
      <c r="AC1137" t="e">
        <f t="shared" ca="1" si="229"/>
        <v>#VALUE!</v>
      </c>
      <c r="AD1137" t="str">
        <f t="shared" ca="1" si="230"/>
        <v>0</v>
      </c>
      <c r="AE1137" t="str">
        <f t="shared" ca="1" si="231"/>
        <v/>
      </c>
      <c r="AF1137" s="6">
        <f t="shared" ca="1" si="232"/>
        <v>0</v>
      </c>
      <c r="AG1137">
        <f t="shared" ca="1" si="227"/>
        <v>0</v>
      </c>
      <c r="AH1137">
        <f t="shared" ca="1" si="233"/>
        <v>0</v>
      </c>
      <c r="AI1137">
        <f t="shared" ca="1" si="234"/>
        <v>0</v>
      </c>
      <c r="AJ1137">
        <f t="shared" ca="1" si="235"/>
        <v>0</v>
      </c>
      <c r="AK1137">
        <f t="shared" ca="1" si="236"/>
        <v>0</v>
      </c>
      <c r="AL1137">
        <f t="shared" ca="1" si="237"/>
        <v>0</v>
      </c>
    </row>
    <row r="1138" spans="1:38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#N/A, OFFSET(data!$A$1, ROW()-1, AA$1-1))</f>
        <v>0</v>
      </c>
      <c r="AB1138">
        <f t="shared" ca="1" si="228"/>
        <v>0</v>
      </c>
      <c r="AC1138" t="e">
        <f t="shared" ca="1" si="229"/>
        <v>#VALUE!</v>
      </c>
      <c r="AD1138" t="str">
        <f t="shared" ca="1" si="230"/>
        <v>0</v>
      </c>
      <c r="AE1138" t="str">
        <f t="shared" ca="1" si="231"/>
        <v/>
      </c>
      <c r="AF1138" s="6">
        <f t="shared" ca="1" si="232"/>
        <v>0</v>
      </c>
      <c r="AG1138">
        <f t="shared" ca="1" si="227"/>
        <v>0</v>
      </c>
      <c r="AH1138">
        <f t="shared" ca="1" si="233"/>
        <v>0</v>
      </c>
      <c r="AI1138">
        <f t="shared" ca="1" si="234"/>
        <v>0</v>
      </c>
      <c r="AJ1138">
        <f t="shared" ca="1" si="235"/>
        <v>0</v>
      </c>
      <c r="AK1138">
        <f t="shared" ca="1" si="236"/>
        <v>0</v>
      </c>
      <c r="AL1138">
        <f t="shared" ca="1" si="237"/>
        <v>0</v>
      </c>
    </row>
    <row r="1139" spans="1:38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#N/A, OFFSET(data!$A$1, ROW()-1, AA$1-1))</f>
        <v>0</v>
      </c>
      <c r="AB1139">
        <f t="shared" ca="1" si="228"/>
        <v>0</v>
      </c>
      <c r="AC1139" t="e">
        <f t="shared" ca="1" si="229"/>
        <v>#VALUE!</v>
      </c>
      <c r="AD1139" t="str">
        <f t="shared" ca="1" si="230"/>
        <v>0</v>
      </c>
      <c r="AE1139" t="str">
        <f t="shared" ca="1" si="231"/>
        <v/>
      </c>
      <c r="AF1139" s="6">
        <f t="shared" ca="1" si="232"/>
        <v>0</v>
      </c>
      <c r="AG1139">
        <f t="shared" ca="1" si="227"/>
        <v>0</v>
      </c>
      <c r="AH1139">
        <f t="shared" ca="1" si="233"/>
        <v>0</v>
      </c>
      <c r="AI1139">
        <f t="shared" ca="1" si="234"/>
        <v>0</v>
      </c>
      <c r="AJ1139">
        <f t="shared" ca="1" si="235"/>
        <v>0</v>
      </c>
      <c r="AK1139">
        <f t="shared" ca="1" si="236"/>
        <v>0</v>
      </c>
      <c r="AL1139">
        <f t="shared" ca="1" si="237"/>
        <v>0</v>
      </c>
    </row>
    <row r="1140" spans="1:38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#N/A, OFFSET(data!$A$1, ROW()-1, AA$1-1))</f>
        <v>0</v>
      </c>
      <c r="AB1140">
        <f t="shared" ca="1" si="228"/>
        <v>0</v>
      </c>
      <c r="AC1140" t="e">
        <f t="shared" ca="1" si="229"/>
        <v>#VALUE!</v>
      </c>
      <c r="AD1140" t="str">
        <f t="shared" ca="1" si="230"/>
        <v>0</v>
      </c>
      <c r="AE1140" t="str">
        <f t="shared" ca="1" si="231"/>
        <v/>
      </c>
      <c r="AF1140" s="6">
        <f t="shared" ca="1" si="232"/>
        <v>0</v>
      </c>
      <c r="AG1140">
        <f t="shared" ref="AG1140:AG1203" ca="1" si="238">T1140+W1140</f>
        <v>0</v>
      </c>
      <c r="AH1140">
        <f t="shared" ca="1" si="233"/>
        <v>0</v>
      </c>
      <c r="AI1140">
        <f t="shared" ca="1" si="234"/>
        <v>0</v>
      </c>
      <c r="AJ1140">
        <f t="shared" ca="1" si="235"/>
        <v>0</v>
      </c>
      <c r="AK1140">
        <f t="shared" ca="1" si="236"/>
        <v>0</v>
      </c>
      <c r="AL1140">
        <f t="shared" ca="1" si="237"/>
        <v>0</v>
      </c>
    </row>
    <row r="1141" spans="1:38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#N/A, OFFSET(data!$A$1, ROW()-1, AA$1-1))</f>
        <v>0</v>
      </c>
      <c r="AB1141">
        <f t="shared" ca="1" si="228"/>
        <v>0</v>
      </c>
      <c r="AC1141" t="e">
        <f t="shared" ca="1" si="229"/>
        <v>#VALUE!</v>
      </c>
      <c r="AD1141" t="str">
        <f t="shared" ca="1" si="230"/>
        <v>0</v>
      </c>
      <c r="AE1141" t="str">
        <f t="shared" ca="1" si="231"/>
        <v/>
      </c>
      <c r="AF1141" s="6">
        <f t="shared" ca="1" si="232"/>
        <v>0</v>
      </c>
      <c r="AG1141">
        <f t="shared" ca="1" si="238"/>
        <v>0</v>
      </c>
      <c r="AH1141">
        <f t="shared" ca="1" si="233"/>
        <v>0</v>
      </c>
      <c r="AI1141">
        <f t="shared" ca="1" si="234"/>
        <v>0</v>
      </c>
      <c r="AJ1141">
        <f t="shared" ca="1" si="235"/>
        <v>0</v>
      </c>
      <c r="AK1141">
        <f t="shared" ca="1" si="236"/>
        <v>0</v>
      </c>
      <c r="AL1141">
        <f t="shared" ca="1" si="237"/>
        <v>0</v>
      </c>
    </row>
    <row r="1142" spans="1:38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#N/A, OFFSET(data!$A$1, ROW()-1, AA$1-1))</f>
        <v>0</v>
      </c>
      <c r="AB1142">
        <f t="shared" ca="1" si="228"/>
        <v>0</v>
      </c>
      <c r="AC1142" t="e">
        <f t="shared" ca="1" si="229"/>
        <v>#VALUE!</v>
      </c>
      <c r="AD1142" t="str">
        <f t="shared" ca="1" si="230"/>
        <v>0</v>
      </c>
      <c r="AE1142" t="str">
        <f t="shared" ca="1" si="231"/>
        <v/>
      </c>
      <c r="AF1142" s="6">
        <f t="shared" ca="1" si="232"/>
        <v>0</v>
      </c>
      <c r="AG1142">
        <f t="shared" ca="1" si="238"/>
        <v>0</v>
      </c>
      <c r="AH1142">
        <f t="shared" ca="1" si="233"/>
        <v>0</v>
      </c>
      <c r="AI1142">
        <f t="shared" ca="1" si="234"/>
        <v>0</v>
      </c>
      <c r="AJ1142">
        <f t="shared" ca="1" si="235"/>
        <v>0</v>
      </c>
      <c r="AK1142">
        <f t="shared" ca="1" si="236"/>
        <v>0</v>
      </c>
      <c r="AL1142">
        <f t="shared" ca="1" si="237"/>
        <v>0</v>
      </c>
    </row>
    <row r="1143" spans="1:38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#N/A, OFFSET(data!$A$1, ROW()-1, AA$1-1))</f>
        <v>0</v>
      </c>
      <c r="AB1143">
        <f t="shared" ca="1" si="228"/>
        <v>0</v>
      </c>
      <c r="AC1143" t="e">
        <f t="shared" ca="1" si="229"/>
        <v>#VALUE!</v>
      </c>
      <c r="AD1143" t="str">
        <f t="shared" ca="1" si="230"/>
        <v>0</v>
      </c>
      <c r="AE1143" t="str">
        <f t="shared" ca="1" si="231"/>
        <v/>
      </c>
      <c r="AF1143" s="6">
        <f t="shared" ca="1" si="232"/>
        <v>0</v>
      </c>
      <c r="AG1143">
        <f t="shared" ca="1" si="238"/>
        <v>0</v>
      </c>
      <c r="AH1143">
        <f t="shared" ca="1" si="233"/>
        <v>0</v>
      </c>
      <c r="AI1143">
        <f t="shared" ca="1" si="234"/>
        <v>0</v>
      </c>
      <c r="AJ1143">
        <f t="shared" ca="1" si="235"/>
        <v>0</v>
      </c>
      <c r="AK1143">
        <f t="shared" ca="1" si="236"/>
        <v>0</v>
      </c>
      <c r="AL1143">
        <f t="shared" ca="1" si="237"/>
        <v>0</v>
      </c>
    </row>
    <row r="1144" spans="1:38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#N/A, OFFSET(data!$A$1, ROW()-1, AA$1-1))</f>
        <v>0</v>
      </c>
      <c r="AB1144">
        <f t="shared" ca="1" si="228"/>
        <v>0</v>
      </c>
      <c r="AC1144" t="e">
        <f t="shared" ca="1" si="229"/>
        <v>#VALUE!</v>
      </c>
      <c r="AD1144" t="str">
        <f t="shared" ca="1" si="230"/>
        <v>0</v>
      </c>
      <c r="AE1144" t="str">
        <f t="shared" ca="1" si="231"/>
        <v/>
      </c>
      <c r="AF1144" s="6">
        <f t="shared" ca="1" si="232"/>
        <v>0</v>
      </c>
      <c r="AG1144">
        <f t="shared" ca="1" si="238"/>
        <v>0</v>
      </c>
      <c r="AH1144">
        <f t="shared" ca="1" si="233"/>
        <v>0</v>
      </c>
      <c r="AI1144">
        <f t="shared" ca="1" si="234"/>
        <v>0</v>
      </c>
      <c r="AJ1144">
        <f t="shared" ca="1" si="235"/>
        <v>0</v>
      </c>
      <c r="AK1144">
        <f t="shared" ca="1" si="236"/>
        <v>0</v>
      </c>
      <c r="AL1144">
        <f t="shared" ca="1" si="237"/>
        <v>0</v>
      </c>
    </row>
    <row r="1145" spans="1:38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#N/A, OFFSET(data!$A$1, ROW()-1, AA$1-1))</f>
        <v>0</v>
      </c>
      <c r="AB1145">
        <f t="shared" ca="1" si="228"/>
        <v>0</v>
      </c>
      <c r="AC1145" t="e">
        <f t="shared" ca="1" si="229"/>
        <v>#VALUE!</v>
      </c>
      <c r="AD1145" t="str">
        <f t="shared" ca="1" si="230"/>
        <v>0</v>
      </c>
      <c r="AE1145" t="str">
        <f t="shared" ca="1" si="231"/>
        <v/>
      </c>
      <c r="AF1145" s="6">
        <f t="shared" ca="1" si="232"/>
        <v>0</v>
      </c>
      <c r="AG1145">
        <f t="shared" ca="1" si="238"/>
        <v>0</v>
      </c>
      <c r="AH1145">
        <f t="shared" ca="1" si="233"/>
        <v>0</v>
      </c>
      <c r="AI1145">
        <f t="shared" ca="1" si="234"/>
        <v>0</v>
      </c>
      <c r="AJ1145">
        <f t="shared" ca="1" si="235"/>
        <v>0</v>
      </c>
      <c r="AK1145">
        <f t="shared" ca="1" si="236"/>
        <v>0</v>
      </c>
      <c r="AL1145">
        <f t="shared" ca="1" si="237"/>
        <v>0</v>
      </c>
    </row>
    <row r="1146" spans="1:38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#N/A, OFFSET(data!$A$1, ROW()-1, AA$1-1))</f>
        <v>0</v>
      </c>
      <c r="AB1146">
        <f t="shared" ca="1" si="228"/>
        <v>0</v>
      </c>
      <c r="AC1146" t="e">
        <f t="shared" ca="1" si="229"/>
        <v>#VALUE!</v>
      </c>
      <c r="AD1146" t="str">
        <f t="shared" ca="1" si="230"/>
        <v>0</v>
      </c>
      <c r="AE1146" t="str">
        <f t="shared" ca="1" si="231"/>
        <v/>
      </c>
      <c r="AF1146" s="6">
        <f t="shared" ca="1" si="232"/>
        <v>0</v>
      </c>
      <c r="AG1146">
        <f t="shared" ca="1" si="238"/>
        <v>0</v>
      </c>
      <c r="AH1146">
        <f t="shared" ca="1" si="233"/>
        <v>0</v>
      </c>
      <c r="AI1146">
        <f t="shared" ca="1" si="234"/>
        <v>0</v>
      </c>
      <c r="AJ1146">
        <f t="shared" ca="1" si="235"/>
        <v>0</v>
      </c>
      <c r="AK1146">
        <f t="shared" ca="1" si="236"/>
        <v>0</v>
      </c>
      <c r="AL1146">
        <f t="shared" ca="1" si="237"/>
        <v>0</v>
      </c>
    </row>
    <row r="1147" spans="1:38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#N/A, OFFSET(data!$A$1, ROW()-1, AA$1-1))</f>
        <v>0</v>
      </c>
      <c r="AB1147">
        <f t="shared" ca="1" si="228"/>
        <v>0</v>
      </c>
      <c r="AC1147" t="e">
        <f t="shared" ca="1" si="229"/>
        <v>#VALUE!</v>
      </c>
      <c r="AD1147" t="str">
        <f t="shared" ca="1" si="230"/>
        <v>0</v>
      </c>
      <c r="AE1147" t="str">
        <f t="shared" ca="1" si="231"/>
        <v/>
      </c>
      <c r="AF1147" s="6">
        <f t="shared" ca="1" si="232"/>
        <v>0</v>
      </c>
      <c r="AG1147">
        <f t="shared" ca="1" si="238"/>
        <v>0</v>
      </c>
      <c r="AH1147">
        <f t="shared" ca="1" si="233"/>
        <v>0</v>
      </c>
      <c r="AI1147">
        <f t="shared" ca="1" si="234"/>
        <v>0</v>
      </c>
      <c r="AJ1147">
        <f t="shared" ca="1" si="235"/>
        <v>0</v>
      </c>
      <c r="AK1147">
        <f t="shared" ca="1" si="236"/>
        <v>0</v>
      </c>
      <c r="AL1147">
        <f t="shared" ca="1" si="237"/>
        <v>0</v>
      </c>
    </row>
    <row r="1148" spans="1:38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#N/A, OFFSET(data!$A$1, ROW()-1, AA$1-1))</f>
        <v>0</v>
      </c>
      <c r="AB1148">
        <f t="shared" ca="1" si="228"/>
        <v>0</v>
      </c>
      <c r="AC1148" t="e">
        <f t="shared" ca="1" si="229"/>
        <v>#VALUE!</v>
      </c>
      <c r="AD1148" t="str">
        <f t="shared" ca="1" si="230"/>
        <v>0</v>
      </c>
      <c r="AE1148" t="str">
        <f t="shared" ca="1" si="231"/>
        <v/>
      </c>
      <c r="AF1148" s="6">
        <f t="shared" ca="1" si="232"/>
        <v>0</v>
      </c>
      <c r="AG1148">
        <f t="shared" ca="1" si="238"/>
        <v>0</v>
      </c>
      <c r="AH1148">
        <f t="shared" ca="1" si="233"/>
        <v>0</v>
      </c>
      <c r="AI1148">
        <f t="shared" ca="1" si="234"/>
        <v>0</v>
      </c>
      <c r="AJ1148">
        <f t="shared" ca="1" si="235"/>
        <v>0</v>
      </c>
      <c r="AK1148">
        <f t="shared" ca="1" si="236"/>
        <v>0</v>
      </c>
      <c r="AL1148">
        <f t="shared" ca="1" si="237"/>
        <v>0</v>
      </c>
    </row>
    <row r="1149" spans="1:38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#N/A, OFFSET(data!$A$1, ROW()-1, AA$1-1))</f>
        <v>0</v>
      </c>
      <c r="AB1149">
        <f t="shared" ca="1" si="228"/>
        <v>0</v>
      </c>
      <c r="AC1149" t="e">
        <f t="shared" ca="1" si="229"/>
        <v>#VALUE!</v>
      </c>
      <c r="AD1149" t="str">
        <f t="shared" ca="1" si="230"/>
        <v>0</v>
      </c>
      <c r="AE1149" t="str">
        <f t="shared" ca="1" si="231"/>
        <v/>
      </c>
      <c r="AF1149" s="6">
        <f t="shared" ca="1" si="232"/>
        <v>0</v>
      </c>
      <c r="AG1149">
        <f t="shared" ca="1" si="238"/>
        <v>0</v>
      </c>
      <c r="AH1149">
        <f t="shared" ca="1" si="233"/>
        <v>0</v>
      </c>
      <c r="AI1149">
        <f t="shared" ca="1" si="234"/>
        <v>0</v>
      </c>
      <c r="AJ1149">
        <f t="shared" ca="1" si="235"/>
        <v>0</v>
      </c>
      <c r="AK1149">
        <f t="shared" ca="1" si="236"/>
        <v>0</v>
      </c>
      <c r="AL1149">
        <f t="shared" ca="1" si="237"/>
        <v>0</v>
      </c>
    </row>
    <row r="1150" spans="1:38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#N/A, OFFSET(data!$A$1, ROW()-1, AA$1-1))</f>
        <v>0</v>
      </c>
      <c r="AB1150">
        <f t="shared" ca="1" si="228"/>
        <v>0</v>
      </c>
      <c r="AC1150" t="e">
        <f t="shared" ca="1" si="229"/>
        <v>#VALUE!</v>
      </c>
      <c r="AD1150" t="str">
        <f t="shared" ca="1" si="230"/>
        <v>0</v>
      </c>
      <c r="AE1150" t="str">
        <f t="shared" ca="1" si="231"/>
        <v/>
      </c>
      <c r="AF1150" s="6">
        <f t="shared" ca="1" si="232"/>
        <v>0</v>
      </c>
      <c r="AG1150">
        <f t="shared" ca="1" si="238"/>
        <v>0</v>
      </c>
      <c r="AH1150">
        <f t="shared" ca="1" si="233"/>
        <v>0</v>
      </c>
      <c r="AI1150">
        <f t="shared" ca="1" si="234"/>
        <v>0</v>
      </c>
      <c r="AJ1150">
        <f t="shared" ca="1" si="235"/>
        <v>0</v>
      </c>
      <c r="AK1150">
        <f t="shared" ca="1" si="236"/>
        <v>0</v>
      </c>
      <c r="AL1150">
        <f t="shared" ca="1" si="237"/>
        <v>0</v>
      </c>
    </row>
    <row r="1151" spans="1:38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#N/A, OFFSET(data!$A$1, ROW()-1, AA$1-1))</f>
        <v>0</v>
      </c>
      <c r="AB1151">
        <f t="shared" ca="1" si="228"/>
        <v>0</v>
      </c>
      <c r="AC1151" t="e">
        <f t="shared" ca="1" si="229"/>
        <v>#VALUE!</v>
      </c>
      <c r="AD1151" t="str">
        <f t="shared" ca="1" si="230"/>
        <v>0</v>
      </c>
      <c r="AE1151" t="str">
        <f t="shared" ca="1" si="231"/>
        <v/>
      </c>
      <c r="AF1151" s="6">
        <f t="shared" ca="1" si="232"/>
        <v>0</v>
      </c>
      <c r="AG1151">
        <f t="shared" ca="1" si="238"/>
        <v>0</v>
      </c>
      <c r="AH1151">
        <f t="shared" ca="1" si="233"/>
        <v>0</v>
      </c>
      <c r="AI1151">
        <f t="shared" ca="1" si="234"/>
        <v>0</v>
      </c>
      <c r="AJ1151">
        <f t="shared" ca="1" si="235"/>
        <v>0</v>
      </c>
      <c r="AK1151">
        <f t="shared" ca="1" si="236"/>
        <v>0</v>
      </c>
      <c r="AL1151">
        <f t="shared" ca="1" si="237"/>
        <v>0</v>
      </c>
    </row>
    <row r="1152" spans="1:38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#N/A, OFFSET(data!$A$1, ROW()-1, AA$1-1))</f>
        <v>0</v>
      </c>
      <c r="AB1152">
        <f t="shared" ca="1" si="228"/>
        <v>0</v>
      </c>
      <c r="AC1152" t="e">
        <f t="shared" ca="1" si="229"/>
        <v>#VALUE!</v>
      </c>
      <c r="AD1152" t="str">
        <f t="shared" ca="1" si="230"/>
        <v>0</v>
      </c>
      <c r="AE1152" t="str">
        <f t="shared" ca="1" si="231"/>
        <v/>
      </c>
      <c r="AF1152" s="6">
        <f t="shared" ca="1" si="232"/>
        <v>0</v>
      </c>
      <c r="AG1152">
        <f t="shared" ca="1" si="238"/>
        <v>0</v>
      </c>
      <c r="AH1152">
        <f t="shared" ca="1" si="233"/>
        <v>0</v>
      </c>
      <c r="AI1152">
        <f t="shared" ca="1" si="234"/>
        <v>0</v>
      </c>
      <c r="AJ1152">
        <f t="shared" ca="1" si="235"/>
        <v>0</v>
      </c>
      <c r="AK1152">
        <f t="shared" ca="1" si="236"/>
        <v>0</v>
      </c>
      <c r="AL1152">
        <f t="shared" ca="1" si="237"/>
        <v>0</v>
      </c>
    </row>
    <row r="1153" spans="1:38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#N/A, OFFSET(data!$A$1, ROW()-1, AA$1-1))</f>
        <v>0</v>
      </c>
      <c r="AB1153">
        <f t="shared" ca="1" si="228"/>
        <v>0</v>
      </c>
      <c r="AC1153" t="e">
        <f t="shared" ca="1" si="229"/>
        <v>#VALUE!</v>
      </c>
      <c r="AD1153" t="str">
        <f t="shared" ca="1" si="230"/>
        <v>0</v>
      </c>
      <c r="AE1153" t="str">
        <f t="shared" ca="1" si="231"/>
        <v/>
      </c>
      <c r="AF1153" s="6">
        <f t="shared" ca="1" si="232"/>
        <v>0</v>
      </c>
      <c r="AG1153">
        <f t="shared" ca="1" si="238"/>
        <v>0</v>
      </c>
      <c r="AH1153">
        <f t="shared" ca="1" si="233"/>
        <v>0</v>
      </c>
      <c r="AI1153">
        <f t="shared" ca="1" si="234"/>
        <v>0</v>
      </c>
      <c r="AJ1153">
        <f t="shared" ca="1" si="235"/>
        <v>0</v>
      </c>
      <c r="AK1153">
        <f t="shared" ca="1" si="236"/>
        <v>0</v>
      </c>
      <c r="AL1153">
        <f t="shared" ca="1" si="237"/>
        <v>0</v>
      </c>
    </row>
    <row r="1154" spans="1:38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#N/A, OFFSET(data!$A$1, ROW()-1, AA$1-1))</f>
        <v>0</v>
      </c>
      <c r="AB1154">
        <f t="shared" ca="1" si="228"/>
        <v>0</v>
      </c>
      <c r="AC1154" t="e">
        <f t="shared" ca="1" si="229"/>
        <v>#VALUE!</v>
      </c>
      <c r="AD1154" t="str">
        <f t="shared" ca="1" si="230"/>
        <v>0</v>
      </c>
      <c r="AE1154" t="str">
        <f t="shared" ca="1" si="231"/>
        <v/>
      </c>
      <c r="AF1154" s="6">
        <f t="shared" ca="1" si="232"/>
        <v>0</v>
      </c>
      <c r="AG1154">
        <f t="shared" ca="1" si="238"/>
        <v>0</v>
      </c>
      <c r="AH1154">
        <f t="shared" ca="1" si="233"/>
        <v>0</v>
      </c>
      <c r="AI1154">
        <f t="shared" ca="1" si="234"/>
        <v>0</v>
      </c>
      <c r="AJ1154">
        <f t="shared" ca="1" si="235"/>
        <v>0</v>
      </c>
      <c r="AK1154">
        <f t="shared" ca="1" si="236"/>
        <v>0</v>
      </c>
      <c r="AL1154">
        <f t="shared" ca="1" si="237"/>
        <v>0</v>
      </c>
    </row>
    <row r="1155" spans="1:38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#N/A, OFFSET(data!$A$1, ROW()-1, AA$1-1))</f>
        <v>0</v>
      </c>
      <c r="AB1155">
        <f t="shared" ref="AB1155:AB1218" ca="1" si="239">VALUE(LEFT(C1155, 4))</f>
        <v>0</v>
      </c>
      <c r="AC1155" t="e">
        <f t="shared" ref="AC1155:AC1218" ca="1" si="240">VALUE(MID(C1155, 6, 2))</f>
        <v>#VALUE!</v>
      </c>
      <c r="AD1155" t="str">
        <f t="shared" ref="AD1155:AD1218" ca="1" si="241">SUBSTITUTE(MID(C1155,6,6)&amp;LEFT(C1155,4), "-", "/")</f>
        <v>0</v>
      </c>
      <c r="AE1155" t="str">
        <f t="shared" ref="AE1155:AE1218" ca="1" si="242">IF(RIGHT(C1155, 5)="12:00", AD1155, "")</f>
        <v/>
      </c>
      <c r="AF1155" s="6">
        <f t="shared" ref="AF1155:AF1218" ca="1" si="243">Z1155/1000</f>
        <v>0</v>
      </c>
      <c r="AG1155">
        <f t="shared" ca="1" si="238"/>
        <v>0</v>
      </c>
      <c r="AH1155">
        <f t="shared" ca="1" si="233"/>
        <v>0</v>
      </c>
      <c r="AI1155">
        <f t="shared" ca="1" si="234"/>
        <v>0</v>
      </c>
      <c r="AJ1155">
        <f t="shared" ca="1" si="235"/>
        <v>0</v>
      </c>
      <c r="AK1155">
        <f t="shared" ca="1" si="236"/>
        <v>0</v>
      </c>
      <c r="AL1155">
        <f t="shared" ca="1" si="237"/>
        <v>0</v>
      </c>
    </row>
    <row r="1156" spans="1:38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#N/A, OFFSET(data!$A$1, ROW()-1, AA$1-1))</f>
        <v>0</v>
      </c>
      <c r="AB1156">
        <f t="shared" ca="1" si="239"/>
        <v>0</v>
      </c>
      <c r="AC1156" t="e">
        <f t="shared" ca="1" si="240"/>
        <v>#VALUE!</v>
      </c>
      <c r="AD1156" t="str">
        <f t="shared" ca="1" si="241"/>
        <v>0</v>
      </c>
      <c r="AE1156" t="str">
        <f t="shared" ca="1" si="242"/>
        <v/>
      </c>
      <c r="AF1156" s="6">
        <f t="shared" ca="1" si="243"/>
        <v>0</v>
      </c>
      <c r="AG1156">
        <f t="shared" ca="1" si="238"/>
        <v>0</v>
      </c>
      <c r="AH1156">
        <f t="shared" ref="AH1156:AH1219" ca="1" si="244">MAX(S1156,Y1156)</f>
        <v>0</v>
      </c>
      <c r="AI1156">
        <f t="shared" ref="AI1156:AI1219" ca="1" si="245">MAX(R1156,V1156)</f>
        <v>0</v>
      </c>
      <c r="AJ1156">
        <f t="shared" ref="AJ1156:AJ1219" ca="1" si="246">K1156+N1156</f>
        <v>0</v>
      </c>
      <c r="AK1156">
        <f t="shared" ref="AK1156:AK1219" ca="1" si="247">L1156+O1156</f>
        <v>0</v>
      </c>
      <c r="AL1156">
        <f t="shared" ref="AL1156:AL1219" ca="1" si="248">M1156+P1156</f>
        <v>0</v>
      </c>
    </row>
    <row r="1157" spans="1:38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#N/A, OFFSET(data!$A$1, ROW()-1, AA$1-1))</f>
        <v>0</v>
      </c>
      <c r="AB1157">
        <f t="shared" ca="1" si="239"/>
        <v>0</v>
      </c>
      <c r="AC1157" t="e">
        <f t="shared" ca="1" si="240"/>
        <v>#VALUE!</v>
      </c>
      <c r="AD1157" t="str">
        <f t="shared" ca="1" si="241"/>
        <v>0</v>
      </c>
      <c r="AE1157" t="str">
        <f t="shared" ca="1" si="242"/>
        <v/>
      </c>
      <c r="AF1157" s="6">
        <f t="shared" ca="1" si="243"/>
        <v>0</v>
      </c>
      <c r="AG1157">
        <f t="shared" ca="1" si="238"/>
        <v>0</v>
      </c>
      <c r="AH1157">
        <f t="shared" ca="1" si="244"/>
        <v>0</v>
      </c>
      <c r="AI1157">
        <f t="shared" ca="1" si="245"/>
        <v>0</v>
      </c>
      <c r="AJ1157">
        <f t="shared" ca="1" si="246"/>
        <v>0</v>
      </c>
      <c r="AK1157">
        <f t="shared" ca="1" si="247"/>
        <v>0</v>
      </c>
      <c r="AL1157">
        <f t="shared" ca="1" si="248"/>
        <v>0</v>
      </c>
    </row>
    <row r="1158" spans="1:38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#N/A, OFFSET(data!$A$1, ROW()-1, AA$1-1))</f>
        <v>0</v>
      </c>
      <c r="AB1158">
        <f t="shared" ca="1" si="239"/>
        <v>0</v>
      </c>
      <c r="AC1158" t="e">
        <f t="shared" ca="1" si="240"/>
        <v>#VALUE!</v>
      </c>
      <c r="AD1158" t="str">
        <f t="shared" ca="1" si="241"/>
        <v>0</v>
      </c>
      <c r="AE1158" t="str">
        <f t="shared" ca="1" si="242"/>
        <v/>
      </c>
      <c r="AF1158" s="6">
        <f t="shared" ca="1" si="243"/>
        <v>0</v>
      </c>
      <c r="AG1158">
        <f t="shared" ca="1" si="238"/>
        <v>0</v>
      </c>
      <c r="AH1158">
        <f t="shared" ca="1" si="244"/>
        <v>0</v>
      </c>
      <c r="AI1158">
        <f t="shared" ca="1" si="245"/>
        <v>0</v>
      </c>
      <c r="AJ1158">
        <f t="shared" ca="1" si="246"/>
        <v>0</v>
      </c>
      <c r="AK1158">
        <f t="shared" ca="1" si="247"/>
        <v>0</v>
      </c>
      <c r="AL1158">
        <f t="shared" ca="1" si="248"/>
        <v>0</v>
      </c>
    </row>
    <row r="1159" spans="1:38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#N/A, OFFSET(data!$A$1, ROW()-1, AA$1-1))</f>
        <v>0</v>
      </c>
      <c r="AB1159">
        <f t="shared" ca="1" si="239"/>
        <v>0</v>
      </c>
      <c r="AC1159" t="e">
        <f t="shared" ca="1" si="240"/>
        <v>#VALUE!</v>
      </c>
      <c r="AD1159" t="str">
        <f t="shared" ca="1" si="241"/>
        <v>0</v>
      </c>
      <c r="AE1159" t="str">
        <f t="shared" ca="1" si="242"/>
        <v/>
      </c>
      <c r="AF1159" s="6">
        <f t="shared" ca="1" si="243"/>
        <v>0</v>
      </c>
      <c r="AG1159">
        <f t="shared" ca="1" si="238"/>
        <v>0</v>
      </c>
      <c r="AH1159">
        <f t="shared" ca="1" si="244"/>
        <v>0</v>
      </c>
      <c r="AI1159">
        <f t="shared" ca="1" si="245"/>
        <v>0</v>
      </c>
      <c r="AJ1159">
        <f t="shared" ca="1" si="246"/>
        <v>0</v>
      </c>
      <c r="AK1159">
        <f t="shared" ca="1" si="247"/>
        <v>0</v>
      </c>
      <c r="AL1159">
        <f t="shared" ca="1" si="248"/>
        <v>0</v>
      </c>
    </row>
    <row r="1160" spans="1:38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#N/A, OFFSET(data!$A$1, ROW()-1, AA$1-1))</f>
        <v>0</v>
      </c>
      <c r="AB1160">
        <f t="shared" ca="1" si="239"/>
        <v>0</v>
      </c>
      <c r="AC1160" t="e">
        <f t="shared" ca="1" si="240"/>
        <v>#VALUE!</v>
      </c>
      <c r="AD1160" t="str">
        <f t="shared" ca="1" si="241"/>
        <v>0</v>
      </c>
      <c r="AE1160" t="str">
        <f t="shared" ca="1" si="242"/>
        <v/>
      </c>
      <c r="AF1160" s="6">
        <f t="shared" ca="1" si="243"/>
        <v>0</v>
      </c>
      <c r="AG1160">
        <f t="shared" ca="1" si="238"/>
        <v>0</v>
      </c>
      <c r="AH1160">
        <f t="shared" ca="1" si="244"/>
        <v>0</v>
      </c>
      <c r="AI1160">
        <f t="shared" ca="1" si="245"/>
        <v>0</v>
      </c>
      <c r="AJ1160">
        <f t="shared" ca="1" si="246"/>
        <v>0</v>
      </c>
      <c r="AK1160">
        <f t="shared" ca="1" si="247"/>
        <v>0</v>
      </c>
      <c r="AL1160">
        <f t="shared" ca="1" si="248"/>
        <v>0</v>
      </c>
    </row>
    <row r="1161" spans="1:38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#N/A, OFFSET(data!$A$1, ROW()-1, AA$1-1))</f>
        <v>0</v>
      </c>
      <c r="AB1161">
        <f t="shared" ca="1" si="239"/>
        <v>0</v>
      </c>
      <c r="AC1161" t="e">
        <f t="shared" ca="1" si="240"/>
        <v>#VALUE!</v>
      </c>
      <c r="AD1161" t="str">
        <f t="shared" ca="1" si="241"/>
        <v>0</v>
      </c>
      <c r="AE1161" t="str">
        <f t="shared" ca="1" si="242"/>
        <v/>
      </c>
      <c r="AF1161" s="6">
        <f t="shared" ca="1" si="243"/>
        <v>0</v>
      </c>
      <c r="AG1161">
        <f t="shared" ca="1" si="238"/>
        <v>0</v>
      </c>
      <c r="AH1161">
        <f t="shared" ca="1" si="244"/>
        <v>0</v>
      </c>
      <c r="AI1161">
        <f t="shared" ca="1" si="245"/>
        <v>0</v>
      </c>
      <c r="AJ1161">
        <f t="shared" ca="1" si="246"/>
        <v>0</v>
      </c>
      <c r="AK1161">
        <f t="shared" ca="1" si="247"/>
        <v>0</v>
      </c>
      <c r="AL1161">
        <f t="shared" ca="1" si="248"/>
        <v>0</v>
      </c>
    </row>
    <row r="1162" spans="1:38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#N/A, OFFSET(data!$A$1, ROW()-1, AA$1-1))</f>
        <v>0</v>
      </c>
      <c r="AB1162">
        <f t="shared" ca="1" si="239"/>
        <v>0</v>
      </c>
      <c r="AC1162" t="e">
        <f t="shared" ca="1" si="240"/>
        <v>#VALUE!</v>
      </c>
      <c r="AD1162" t="str">
        <f t="shared" ca="1" si="241"/>
        <v>0</v>
      </c>
      <c r="AE1162" t="str">
        <f t="shared" ca="1" si="242"/>
        <v/>
      </c>
      <c r="AF1162" s="6">
        <f t="shared" ca="1" si="243"/>
        <v>0</v>
      </c>
      <c r="AG1162">
        <f t="shared" ca="1" si="238"/>
        <v>0</v>
      </c>
      <c r="AH1162">
        <f t="shared" ca="1" si="244"/>
        <v>0</v>
      </c>
      <c r="AI1162">
        <f t="shared" ca="1" si="245"/>
        <v>0</v>
      </c>
      <c r="AJ1162">
        <f t="shared" ca="1" si="246"/>
        <v>0</v>
      </c>
      <c r="AK1162">
        <f t="shared" ca="1" si="247"/>
        <v>0</v>
      </c>
      <c r="AL1162">
        <f t="shared" ca="1" si="248"/>
        <v>0</v>
      </c>
    </row>
    <row r="1163" spans="1:38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#N/A, OFFSET(data!$A$1, ROW()-1, AA$1-1))</f>
        <v>0</v>
      </c>
      <c r="AB1163">
        <f t="shared" ca="1" si="239"/>
        <v>0</v>
      </c>
      <c r="AC1163" t="e">
        <f t="shared" ca="1" si="240"/>
        <v>#VALUE!</v>
      </c>
      <c r="AD1163" t="str">
        <f t="shared" ca="1" si="241"/>
        <v>0</v>
      </c>
      <c r="AE1163" t="str">
        <f t="shared" ca="1" si="242"/>
        <v/>
      </c>
      <c r="AF1163" s="6">
        <f t="shared" ca="1" si="243"/>
        <v>0</v>
      </c>
      <c r="AG1163">
        <f t="shared" ca="1" si="238"/>
        <v>0</v>
      </c>
      <c r="AH1163">
        <f t="shared" ca="1" si="244"/>
        <v>0</v>
      </c>
      <c r="AI1163">
        <f t="shared" ca="1" si="245"/>
        <v>0</v>
      </c>
      <c r="AJ1163">
        <f t="shared" ca="1" si="246"/>
        <v>0</v>
      </c>
      <c r="AK1163">
        <f t="shared" ca="1" si="247"/>
        <v>0</v>
      </c>
      <c r="AL1163">
        <f t="shared" ca="1" si="248"/>
        <v>0</v>
      </c>
    </row>
    <row r="1164" spans="1:38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#N/A, OFFSET(data!$A$1, ROW()-1, AA$1-1))</f>
        <v>0</v>
      </c>
      <c r="AB1164">
        <f t="shared" ca="1" si="239"/>
        <v>0</v>
      </c>
      <c r="AC1164" t="e">
        <f t="shared" ca="1" si="240"/>
        <v>#VALUE!</v>
      </c>
      <c r="AD1164" t="str">
        <f t="shared" ca="1" si="241"/>
        <v>0</v>
      </c>
      <c r="AE1164" t="str">
        <f t="shared" ca="1" si="242"/>
        <v/>
      </c>
      <c r="AF1164" s="6">
        <f t="shared" ca="1" si="243"/>
        <v>0</v>
      </c>
      <c r="AG1164">
        <f t="shared" ca="1" si="238"/>
        <v>0</v>
      </c>
      <c r="AH1164">
        <f t="shared" ca="1" si="244"/>
        <v>0</v>
      </c>
      <c r="AI1164">
        <f t="shared" ca="1" si="245"/>
        <v>0</v>
      </c>
      <c r="AJ1164">
        <f t="shared" ca="1" si="246"/>
        <v>0</v>
      </c>
      <c r="AK1164">
        <f t="shared" ca="1" si="247"/>
        <v>0</v>
      </c>
      <c r="AL1164">
        <f t="shared" ca="1" si="248"/>
        <v>0</v>
      </c>
    </row>
    <row r="1165" spans="1:38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#N/A, OFFSET(data!$A$1, ROW()-1, AA$1-1))</f>
        <v>0</v>
      </c>
      <c r="AB1165">
        <f t="shared" ca="1" si="239"/>
        <v>0</v>
      </c>
      <c r="AC1165" t="e">
        <f t="shared" ca="1" si="240"/>
        <v>#VALUE!</v>
      </c>
      <c r="AD1165" t="str">
        <f t="shared" ca="1" si="241"/>
        <v>0</v>
      </c>
      <c r="AE1165" t="str">
        <f t="shared" ca="1" si="242"/>
        <v/>
      </c>
      <c r="AF1165" s="6">
        <f t="shared" ca="1" si="243"/>
        <v>0</v>
      </c>
      <c r="AG1165">
        <f t="shared" ca="1" si="238"/>
        <v>0</v>
      </c>
      <c r="AH1165">
        <f t="shared" ca="1" si="244"/>
        <v>0</v>
      </c>
      <c r="AI1165">
        <f t="shared" ca="1" si="245"/>
        <v>0</v>
      </c>
      <c r="AJ1165">
        <f t="shared" ca="1" si="246"/>
        <v>0</v>
      </c>
      <c r="AK1165">
        <f t="shared" ca="1" si="247"/>
        <v>0</v>
      </c>
      <c r="AL1165">
        <f t="shared" ca="1" si="248"/>
        <v>0</v>
      </c>
    </row>
    <row r="1166" spans="1:38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#N/A, OFFSET(data!$A$1, ROW()-1, AA$1-1))</f>
        <v>0</v>
      </c>
      <c r="AB1166">
        <f t="shared" ca="1" si="239"/>
        <v>0</v>
      </c>
      <c r="AC1166" t="e">
        <f t="shared" ca="1" si="240"/>
        <v>#VALUE!</v>
      </c>
      <c r="AD1166" t="str">
        <f t="shared" ca="1" si="241"/>
        <v>0</v>
      </c>
      <c r="AE1166" t="str">
        <f t="shared" ca="1" si="242"/>
        <v/>
      </c>
      <c r="AF1166" s="6">
        <f t="shared" ca="1" si="243"/>
        <v>0</v>
      </c>
      <c r="AG1166">
        <f t="shared" ca="1" si="238"/>
        <v>0</v>
      </c>
      <c r="AH1166">
        <f t="shared" ca="1" si="244"/>
        <v>0</v>
      </c>
      <c r="AI1166">
        <f t="shared" ca="1" si="245"/>
        <v>0</v>
      </c>
      <c r="AJ1166">
        <f t="shared" ca="1" si="246"/>
        <v>0</v>
      </c>
      <c r="AK1166">
        <f t="shared" ca="1" si="247"/>
        <v>0</v>
      </c>
      <c r="AL1166">
        <f t="shared" ca="1" si="248"/>
        <v>0</v>
      </c>
    </row>
    <row r="1167" spans="1:38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#N/A, OFFSET(data!$A$1, ROW()-1, AA$1-1))</f>
        <v>0</v>
      </c>
      <c r="AB1167">
        <f t="shared" ca="1" si="239"/>
        <v>0</v>
      </c>
      <c r="AC1167" t="e">
        <f t="shared" ca="1" si="240"/>
        <v>#VALUE!</v>
      </c>
      <c r="AD1167" t="str">
        <f t="shared" ca="1" si="241"/>
        <v>0</v>
      </c>
      <c r="AE1167" t="str">
        <f t="shared" ca="1" si="242"/>
        <v/>
      </c>
      <c r="AF1167" s="6">
        <f t="shared" ca="1" si="243"/>
        <v>0</v>
      </c>
      <c r="AG1167">
        <f t="shared" ca="1" si="238"/>
        <v>0</v>
      </c>
      <c r="AH1167">
        <f t="shared" ca="1" si="244"/>
        <v>0</v>
      </c>
      <c r="AI1167">
        <f t="shared" ca="1" si="245"/>
        <v>0</v>
      </c>
      <c r="AJ1167">
        <f t="shared" ca="1" si="246"/>
        <v>0</v>
      </c>
      <c r="AK1167">
        <f t="shared" ca="1" si="247"/>
        <v>0</v>
      </c>
      <c r="AL1167">
        <f t="shared" ca="1" si="248"/>
        <v>0</v>
      </c>
    </row>
    <row r="1168" spans="1:38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#N/A, OFFSET(data!$A$1, ROW()-1, AA$1-1))</f>
        <v>0</v>
      </c>
      <c r="AB1168">
        <f t="shared" ca="1" si="239"/>
        <v>0</v>
      </c>
      <c r="AC1168" t="e">
        <f t="shared" ca="1" si="240"/>
        <v>#VALUE!</v>
      </c>
      <c r="AD1168" t="str">
        <f t="shared" ca="1" si="241"/>
        <v>0</v>
      </c>
      <c r="AE1168" t="str">
        <f t="shared" ca="1" si="242"/>
        <v/>
      </c>
      <c r="AF1168" s="6">
        <f t="shared" ca="1" si="243"/>
        <v>0</v>
      </c>
      <c r="AG1168">
        <f t="shared" ca="1" si="238"/>
        <v>0</v>
      </c>
      <c r="AH1168">
        <f t="shared" ca="1" si="244"/>
        <v>0</v>
      </c>
      <c r="AI1168">
        <f t="shared" ca="1" si="245"/>
        <v>0</v>
      </c>
      <c r="AJ1168">
        <f t="shared" ca="1" si="246"/>
        <v>0</v>
      </c>
      <c r="AK1168">
        <f t="shared" ca="1" si="247"/>
        <v>0</v>
      </c>
      <c r="AL1168">
        <f t="shared" ca="1" si="248"/>
        <v>0</v>
      </c>
    </row>
    <row r="1169" spans="1:38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#N/A, OFFSET(data!$A$1, ROW()-1, AA$1-1))</f>
        <v>0</v>
      </c>
      <c r="AB1169">
        <f t="shared" ca="1" si="239"/>
        <v>0</v>
      </c>
      <c r="AC1169" t="e">
        <f t="shared" ca="1" si="240"/>
        <v>#VALUE!</v>
      </c>
      <c r="AD1169" t="str">
        <f t="shared" ca="1" si="241"/>
        <v>0</v>
      </c>
      <c r="AE1169" t="str">
        <f t="shared" ca="1" si="242"/>
        <v/>
      </c>
      <c r="AF1169" s="6">
        <f t="shared" ca="1" si="243"/>
        <v>0</v>
      </c>
      <c r="AG1169">
        <f t="shared" ca="1" si="238"/>
        <v>0</v>
      </c>
      <c r="AH1169">
        <f t="shared" ca="1" si="244"/>
        <v>0</v>
      </c>
      <c r="AI1169">
        <f t="shared" ca="1" si="245"/>
        <v>0</v>
      </c>
      <c r="AJ1169">
        <f t="shared" ca="1" si="246"/>
        <v>0</v>
      </c>
      <c r="AK1169">
        <f t="shared" ca="1" si="247"/>
        <v>0</v>
      </c>
      <c r="AL1169">
        <f t="shared" ca="1" si="248"/>
        <v>0</v>
      </c>
    </row>
    <row r="1170" spans="1:38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#N/A, OFFSET(data!$A$1, ROW()-1, AA$1-1))</f>
        <v>0</v>
      </c>
      <c r="AB1170">
        <f t="shared" ca="1" si="239"/>
        <v>0</v>
      </c>
      <c r="AC1170" t="e">
        <f t="shared" ca="1" si="240"/>
        <v>#VALUE!</v>
      </c>
      <c r="AD1170" t="str">
        <f t="shared" ca="1" si="241"/>
        <v>0</v>
      </c>
      <c r="AE1170" t="str">
        <f t="shared" ca="1" si="242"/>
        <v/>
      </c>
      <c r="AF1170" s="6">
        <f t="shared" ca="1" si="243"/>
        <v>0</v>
      </c>
      <c r="AG1170">
        <f t="shared" ca="1" si="238"/>
        <v>0</v>
      </c>
      <c r="AH1170">
        <f t="shared" ca="1" si="244"/>
        <v>0</v>
      </c>
      <c r="AI1170">
        <f t="shared" ca="1" si="245"/>
        <v>0</v>
      </c>
      <c r="AJ1170">
        <f t="shared" ca="1" si="246"/>
        <v>0</v>
      </c>
      <c r="AK1170">
        <f t="shared" ca="1" si="247"/>
        <v>0</v>
      </c>
      <c r="AL1170">
        <f t="shared" ca="1" si="248"/>
        <v>0</v>
      </c>
    </row>
    <row r="1171" spans="1:38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#N/A, OFFSET(data!$A$1, ROW()-1, AA$1-1))</f>
        <v>0</v>
      </c>
      <c r="AB1171">
        <f t="shared" ca="1" si="239"/>
        <v>0</v>
      </c>
      <c r="AC1171" t="e">
        <f t="shared" ca="1" si="240"/>
        <v>#VALUE!</v>
      </c>
      <c r="AD1171" t="str">
        <f t="shared" ca="1" si="241"/>
        <v>0</v>
      </c>
      <c r="AE1171" t="str">
        <f t="shared" ca="1" si="242"/>
        <v/>
      </c>
      <c r="AF1171" s="6">
        <f t="shared" ca="1" si="243"/>
        <v>0</v>
      </c>
      <c r="AG1171">
        <f t="shared" ca="1" si="238"/>
        <v>0</v>
      </c>
      <c r="AH1171">
        <f t="shared" ca="1" si="244"/>
        <v>0</v>
      </c>
      <c r="AI1171">
        <f t="shared" ca="1" si="245"/>
        <v>0</v>
      </c>
      <c r="AJ1171">
        <f t="shared" ca="1" si="246"/>
        <v>0</v>
      </c>
      <c r="AK1171">
        <f t="shared" ca="1" si="247"/>
        <v>0</v>
      </c>
      <c r="AL1171">
        <f t="shared" ca="1" si="248"/>
        <v>0</v>
      </c>
    </row>
    <row r="1172" spans="1:38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#N/A, OFFSET(data!$A$1, ROW()-1, AA$1-1))</f>
        <v>0</v>
      </c>
      <c r="AB1172">
        <f t="shared" ca="1" si="239"/>
        <v>0</v>
      </c>
      <c r="AC1172" t="e">
        <f t="shared" ca="1" si="240"/>
        <v>#VALUE!</v>
      </c>
      <c r="AD1172" t="str">
        <f t="shared" ca="1" si="241"/>
        <v>0</v>
      </c>
      <c r="AE1172" t="str">
        <f t="shared" ca="1" si="242"/>
        <v/>
      </c>
      <c r="AF1172" s="6">
        <f t="shared" ca="1" si="243"/>
        <v>0</v>
      </c>
      <c r="AG1172">
        <f t="shared" ca="1" si="238"/>
        <v>0</v>
      </c>
      <c r="AH1172">
        <f t="shared" ca="1" si="244"/>
        <v>0</v>
      </c>
      <c r="AI1172">
        <f t="shared" ca="1" si="245"/>
        <v>0</v>
      </c>
      <c r="AJ1172">
        <f t="shared" ca="1" si="246"/>
        <v>0</v>
      </c>
      <c r="AK1172">
        <f t="shared" ca="1" si="247"/>
        <v>0</v>
      </c>
      <c r="AL1172">
        <f t="shared" ca="1" si="248"/>
        <v>0</v>
      </c>
    </row>
    <row r="1173" spans="1:38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#N/A, OFFSET(data!$A$1, ROW()-1, AA$1-1))</f>
        <v>0</v>
      </c>
      <c r="AB1173">
        <f t="shared" ca="1" si="239"/>
        <v>0</v>
      </c>
      <c r="AC1173" t="e">
        <f t="shared" ca="1" si="240"/>
        <v>#VALUE!</v>
      </c>
      <c r="AD1173" t="str">
        <f t="shared" ca="1" si="241"/>
        <v>0</v>
      </c>
      <c r="AE1173" t="str">
        <f t="shared" ca="1" si="242"/>
        <v/>
      </c>
      <c r="AF1173" s="6">
        <f t="shared" ca="1" si="243"/>
        <v>0</v>
      </c>
      <c r="AG1173">
        <f t="shared" ca="1" si="238"/>
        <v>0</v>
      </c>
      <c r="AH1173">
        <f t="shared" ca="1" si="244"/>
        <v>0</v>
      </c>
      <c r="AI1173">
        <f t="shared" ca="1" si="245"/>
        <v>0</v>
      </c>
      <c r="AJ1173">
        <f t="shared" ca="1" si="246"/>
        <v>0</v>
      </c>
      <c r="AK1173">
        <f t="shared" ca="1" si="247"/>
        <v>0</v>
      </c>
      <c r="AL1173">
        <f t="shared" ca="1" si="248"/>
        <v>0</v>
      </c>
    </row>
    <row r="1174" spans="1:38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#N/A, OFFSET(data!$A$1, ROW()-1, AA$1-1))</f>
        <v>0</v>
      </c>
      <c r="AB1174">
        <f t="shared" ca="1" si="239"/>
        <v>0</v>
      </c>
      <c r="AC1174" t="e">
        <f t="shared" ca="1" si="240"/>
        <v>#VALUE!</v>
      </c>
      <c r="AD1174" t="str">
        <f t="shared" ca="1" si="241"/>
        <v>0</v>
      </c>
      <c r="AE1174" t="str">
        <f t="shared" ca="1" si="242"/>
        <v/>
      </c>
      <c r="AF1174" s="6">
        <f t="shared" ca="1" si="243"/>
        <v>0</v>
      </c>
      <c r="AG1174">
        <f t="shared" ca="1" si="238"/>
        <v>0</v>
      </c>
      <c r="AH1174">
        <f t="shared" ca="1" si="244"/>
        <v>0</v>
      </c>
      <c r="AI1174">
        <f t="shared" ca="1" si="245"/>
        <v>0</v>
      </c>
      <c r="AJ1174">
        <f t="shared" ca="1" si="246"/>
        <v>0</v>
      </c>
      <c r="AK1174">
        <f t="shared" ca="1" si="247"/>
        <v>0</v>
      </c>
      <c r="AL1174">
        <f t="shared" ca="1" si="248"/>
        <v>0</v>
      </c>
    </row>
    <row r="1175" spans="1:38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#N/A, OFFSET(data!$A$1, ROW()-1, AA$1-1))</f>
        <v>0</v>
      </c>
      <c r="AB1175">
        <f t="shared" ca="1" si="239"/>
        <v>0</v>
      </c>
      <c r="AC1175" t="e">
        <f t="shared" ca="1" si="240"/>
        <v>#VALUE!</v>
      </c>
      <c r="AD1175" t="str">
        <f t="shared" ca="1" si="241"/>
        <v>0</v>
      </c>
      <c r="AE1175" t="str">
        <f t="shared" ca="1" si="242"/>
        <v/>
      </c>
      <c r="AF1175" s="6">
        <f t="shared" ca="1" si="243"/>
        <v>0</v>
      </c>
      <c r="AG1175">
        <f t="shared" ca="1" si="238"/>
        <v>0</v>
      </c>
      <c r="AH1175">
        <f t="shared" ca="1" si="244"/>
        <v>0</v>
      </c>
      <c r="AI1175">
        <f t="shared" ca="1" si="245"/>
        <v>0</v>
      </c>
      <c r="AJ1175">
        <f t="shared" ca="1" si="246"/>
        <v>0</v>
      </c>
      <c r="AK1175">
        <f t="shared" ca="1" si="247"/>
        <v>0</v>
      </c>
      <c r="AL1175">
        <f t="shared" ca="1" si="248"/>
        <v>0</v>
      </c>
    </row>
    <row r="1176" spans="1:38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#N/A, OFFSET(data!$A$1, ROW()-1, AA$1-1))</f>
        <v>0</v>
      </c>
      <c r="AB1176">
        <f t="shared" ca="1" si="239"/>
        <v>0</v>
      </c>
      <c r="AC1176" t="e">
        <f t="shared" ca="1" si="240"/>
        <v>#VALUE!</v>
      </c>
      <c r="AD1176" t="str">
        <f t="shared" ca="1" si="241"/>
        <v>0</v>
      </c>
      <c r="AE1176" t="str">
        <f t="shared" ca="1" si="242"/>
        <v/>
      </c>
      <c r="AF1176" s="6">
        <f t="shared" ca="1" si="243"/>
        <v>0</v>
      </c>
      <c r="AG1176">
        <f t="shared" ca="1" si="238"/>
        <v>0</v>
      </c>
      <c r="AH1176">
        <f t="shared" ca="1" si="244"/>
        <v>0</v>
      </c>
      <c r="AI1176">
        <f t="shared" ca="1" si="245"/>
        <v>0</v>
      </c>
      <c r="AJ1176">
        <f t="shared" ca="1" si="246"/>
        <v>0</v>
      </c>
      <c r="AK1176">
        <f t="shared" ca="1" si="247"/>
        <v>0</v>
      </c>
      <c r="AL1176">
        <f t="shared" ca="1" si="248"/>
        <v>0</v>
      </c>
    </row>
    <row r="1177" spans="1:38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#N/A, OFFSET(data!$A$1, ROW()-1, AA$1-1))</f>
        <v>0</v>
      </c>
      <c r="AB1177">
        <f t="shared" ca="1" si="239"/>
        <v>0</v>
      </c>
      <c r="AC1177" t="e">
        <f t="shared" ca="1" si="240"/>
        <v>#VALUE!</v>
      </c>
      <c r="AD1177" t="str">
        <f t="shared" ca="1" si="241"/>
        <v>0</v>
      </c>
      <c r="AE1177" t="str">
        <f t="shared" ca="1" si="242"/>
        <v/>
      </c>
      <c r="AF1177" s="6">
        <f t="shared" ca="1" si="243"/>
        <v>0</v>
      </c>
      <c r="AG1177">
        <f t="shared" ca="1" si="238"/>
        <v>0</v>
      </c>
      <c r="AH1177">
        <f t="shared" ca="1" si="244"/>
        <v>0</v>
      </c>
      <c r="AI1177">
        <f t="shared" ca="1" si="245"/>
        <v>0</v>
      </c>
      <c r="AJ1177">
        <f t="shared" ca="1" si="246"/>
        <v>0</v>
      </c>
      <c r="AK1177">
        <f t="shared" ca="1" si="247"/>
        <v>0</v>
      </c>
      <c r="AL1177">
        <f t="shared" ca="1" si="248"/>
        <v>0</v>
      </c>
    </row>
    <row r="1178" spans="1:38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#N/A, OFFSET(data!$A$1, ROW()-1, AA$1-1))</f>
        <v>0</v>
      </c>
      <c r="AB1178">
        <f t="shared" ca="1" si="239"/>
        <v>0</v>
      </c>
      <c r="AC1178" t="e">
        <f t="shared" ca="1" si="240"/>
        <v>#VALUE!</v>
      </c>
      <c r="AD1178" t="str">
        <f t="shared" ca="1" si="241"/>
        <v>0</v>
      </c>
      <c r="AE1178" t="str">
        <f t="shared" ca="1" si="242"/>
        <v/>
      </c>
      <c r="AF1178" s="6">
        <f t="shared" ca="1" si="243"/>
        <v>0</v>
      </c>
      <c r="AG1178">
        <f t="shared" ca="1" si="238"/>
        <v>0</v>
      </c>
      <c r="AH1178">
        <f t="shared" ca="1" si="244"/>
        <v>0</v>
      </c>
      <c r="AI1178">
        <f t="shared" ca="1" si="245"/>
        <v>0</v>
      </c>
      <c r="AJ1178">
        <f t="shared" ca="1" si="246"/>
        <v>0</v>
      </c>
      <c r="AK1178">
        <f t="shared" ca="1" si="247"/>
        <v>0</v>
      </c>
      <c r="AL1178">
        <f t="shared" ca="1" si="248"/>
        <v>0</v>
      </c>
    </row>
    <row r="1179" spans="1:38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#N/A, OFFSET(data!$A$1, ROW()-1, AA$1-1))</f>
        <v>0</v>
      </c>
      <c r="AB1179">
        <f t="shared" ca="1" si="239"/>
        <v>0</v>
      </c>
      <c r="AC1179" t="e">
        <f t="shared" ca="1" si="240"/>
        <v>#VALUE!</v>
      </c>
      <c r="AD1179" t="str">
        <f t="shared" ca="1" si="241"/>
        <v>0</v>
      </c>
      <c r="AE1179" t="str">
        <f t="shared" ca="1" si="242"/>
        <v/>
      </c>
      <c r="AF1179" s="6">
        <f t="shared" ca="1" si="243"/>
        <v>0</v>
      </c>
      <c r="AG1179">
        <f t="shared" ca="1" si="238"/>
        <v>0</v>
      </c>
      <c r="AH1179">
        <f t="shared" ca="1" si="244"/>
        <v>0</v>
      </c>
      <c r="AI1179">
        <f t="shared" ca="1" si="245"/>
        <v>0</v>
      </c>
      <c r="AJ1179">
        <f t="shared" ca="1" si="246"/>
        <v>0</v>
      </c>
      <c r="AK1179">
        <f t="shared" ca="1" si="247"/>
        <v>0</v>
      </c>
      <c r="AL1179">
        <f t="shared" ca="1" si="248"/>
        <v>0</v>
      </c>
    </row>
    <row r="1180" spans="1:38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#N/A, OFFSET(data!$A$1, ROW()-1, AA$1-1))</f>
        <v>0</v>
      </c>
      <c r="AB1180">
        <f t="shared" ca="1" si="239"/>
        <v>0</v>
      </c>
      <c r="AC1180" t="e">
        <f t="shared" ca="1" si="240"/>
        <v>#VALUE!</v>
      </c>
      <c r="AD1180" t="str">
        <f t="shared" ca="1" si="241"/>
        <v>0</v>
      </c>
      <c r="AE1180" t="str">
        <f t="shared" ca="1" si="242"/>
        <v/>
      </c>
      <c r="AF1180" s="6">
        <f t="shared" ca="1" si="243"/>
        <v>0</v>
      </c>
      <c r="AG1180">
        <f t="shared" ca="1" si="238"/>
        <v>0</v>
      </c>
      <c r="AH1180">
        <f t="shared" ca="1" si="244"/>
        <v>0</v>
      </c>
      <c r="AI1180">
        <f t="shared" ca="1" si="245"/>
        <v>0</v>
      </c>
      <c r="AJ1180">
        <f t="shared" ca="1" si="246"/>
        <v>0</v>
      </c>
      <c r="AK1180">
        <f t="shared" ca="1" si="247"/>
        <v>0</v>
      </c>
      <c r="AL1180">
        <f t="shared" ca="1" si="248"/>
        <v>0</v>
      </c>
    </row>
    <row r="1181" spans="1:38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#N/A, OFFSET(data!$A$1, ROW()-1, AA$1-1))</f>
        <v>0</v>
      </c>
      <c r="AB1181">
        <f t="shared" ca="1" si="239"/>
        <v>0</v>
      </c>
      <c r="AC1181" t="e">
        <f t="shared" ca="1" si="240"/>
        <v>#VALUE!</v>
      </c>
      <c r="AD1181" t="str">
        <f t="shared" ca="1" si="241"/>
        <v>0</v>
      </c>
      <c r="AE1181" t="str">
        <f t="shared" ca="1" si="242"/>
        <v/>
      </c>
      <c r="AF1181" s="6">
        <f t="shared" ca="1" si="243"/>
        <v>0</v>
      </c>
      <c r="AG1181">
        <f t="shared" ca="1" si="238"/>
        <v>0</v>
      </c>
      <c r="AH1181">
        <f t="shared" ca="1" si="244"/>
        <v>0</v>
      </c>
      <c r="AI1181">
        <f t="shared" ca="1" si="245"/>
        <v>0</v>
      </c>
      <c r="AJ1181">
        <f t="shared" ca="1" si="246"/>
        <v>0</v>
      </c>
      <c r="AK1181">
        <f t="shared" ca="1" si="247"/>
        <v>0</v>
      </c>
      <c r="AL1181">
        <f t="shared" ca="1" si="248"/>
        <v>0</v>
      </c>
    </row>
    <row r="1182" spans="1:38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#N/A, OFFSET(data!$A$1, ROW()-1, AA$1-1))</f>
        <v>0</v>
      </c>
      <c r="AB1182">
        <f t="shared" ca="1" si="239"/>
        <v>0</v>
      </c>
      <c r="AC1182" t="e">
        <f t="shared" ca="1" si="240"/>
        <v>#VALUE!</v>
      </c>
      <c r="AD1182" t="str">
        <f t="shared" ca="1" si="241"/>
        <v>0</v>
      </c>
      <c r="AE1182" t="str">
        <f t="shared" ca="1" si="242"/>
        <v/>
      </c>
      <c r="AF1182" s="6">
        <f t="shared" ca="1" si="243"/>
        <v>0</v>
      </c>
      <c r="AG1182">
        <f t="shared" ca="1" si="238"/>
        <v>0</v>
      </c>
      <c r="AH1182">
        <f t="shared" ca="1" si="244"/>
        <v>0</v>
      </c>
      <c r="AI1182">
        <f t="shared" ca="1" si="245"/>
        <v>0</v>
      </c>
      <c r="AJ1182">
        <f t="shared" ca="1" si="246"/>
        <v>0</v>
      </c>
      <c r="AK1182">
        <f t="shared" ca="1" si="247"/>
        <v>0</v>
      </c>
      <c r="AL1182">
        <f t="shared" ca="1" si="248"/>
        <v>0</v>
      </c>
    </row>
    <row r="1183" spans="1:38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#N/A, OFFSET(data!$A$1, ROW()-1, AA$1-1))</f>
        <v>0</v>
      </c>
      <c r="AB1183">
        <f t="shared" ca="1" si="239"/>
        <v>0</v>
      </c>
      <c r="AC1183" t="e">
        <f t="shared" ca="1" si="240"/>
        <v>#VALUE!</v>
      </c>
      <c r="AD1183" t="str">
        <f t="shared" ca="1" si="241"/>
        <v>0</v>
      </c>
      <c r="AE1183" t="str">
        <f t="shared" ca="1" si="242"/>
        <v/>
      </c>
      <c r="AF1183" s="6">
        <f t="shared" ca="1" si="243"/>
        <v>0</v>
      </c>
      <c r="AG1183">
        <f t="shared" ca="1" si="238"/>
        <v>0</v>
      </c>
      <c r="AH1183">
        <f t="shared" ca="1" si="244"/>
        <v>0</v>
      </c>
      <c r="AI1183">
        <f t="shared" ca="1" si="245"/>
        <v>0</v>
      </c>
      <c r="AJ1183">
        <f t="shared" ca="1" si="246"/>
        <v>0</v>
      </c>
      <c r="AK1183">
        <f t="shared" ca="1" si="247"/>
        <v>0</v>
      </c>
      <c r="AL1183">
        <f t="shared" ca="1" si="248"/>
        <v>0</v>
      </c>
    </row>
    <row r="1184" spans="1:38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#N/A, OFFSET(data!$A$1, ROW()-1, AA$1-1))</f>
        <v>0</v>
      </c>
      <c r="AB1184">
        <f t="shared" ca="1" si="239"/>
        <v>0</v>
      </c>
      <c r="AC1184" t="e">
        <f t="shared" ca="1" si="240"/>
        <v>#VALUE!</v>
      </c>
      <c r="AD1184" t="str">
        <f t="shared" ca="1" si="241"/>
        <v>0</v>
      </c>
      <c r="AE1184" t="str">
        <f t="shared" ca="1" si="242"/>
        <v/>
      </c>
      <c r="AF1184" s="6">
        <f t="shared" ca="1" si="243"/>
        <v>0</v>
      </c>
      <c r="AG1184">
        <f t="shared" ca="1" si="238"/>
        <v>0</v>
      </c>
      <c r="AH1184">
        <f t="shared" ca="1" si="244"/>
        <v>0</v>
      </c>
      <c r="AI1184">
        <f t="shared" ca="1" si="245"/>
        <v>0</v>
      </c>
      <c r="AJ1184">
        <f t="shared" ca="1" si="246"/>
        <v>0</v>
      </c>
      <c r="AK1184">
        <f t="shared" ca="1" si="247"/>
        <v>0</v>
      </c>
      <c r="AL1184">
        <f t="shared" ca="1" si="248"/>
        <v>0</v>
      </c>
    </row>
    <row r="1185" spans="1:38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#N/A, OFFSET(data!$A$1, ROW()-1, AA$1-1))</f>
        <v>0</v>
      </c>
      <c r="AB1185">
        <f t="shared" ca="1" si="239"/>
        <v>0</v>
      </c>
      <c r="AC1185" t="e">
        <f t="shared" ca="1" si="240"/>
        <v>#VALUE!</v>
      </c>
      <c r="AD1185" t="str">
        <f t="shared" ca="1" si="241"/>
        <v>0</v>
      </c>
      <c r="AE1185" t="str">
        <f t="shared" ca="1" si="242"/>
        <v/>
      </c>
      <c r="AF1185" s="6">
        <f t="shared" ca="1" si="243"/>
        <v>0</v>
      </c>
      <c r="AG1185">
        <f t="shared" ca="1" si="238"/>
        <v>0</v>
      </c>
      <c r="AH1185">
        <f t="shared" ca="1" si="244"/>
        <v>0</v>
      </c>
      <c r="AI1185">
        <f t="shared" ca="1" si="245"/>
        <v>0</v>
      </c>
      <c r="AJ1185">
        <f t="shared" ca="1" si="246"/>
        <v>0</v>
      </c>
      <c r="AK1185">
        <f t="shared" ca="1" si="247"/>
        <v>0</v>
      </c>
      <c r="AL1185">
        <f t="shared" ca="1" si="248"/>
        <v>0</v>
      </c>
    </row>
    <row r="1186" spans="1:38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#N/A, OFFSET(data!$A$1, ROW()-1, AA$1-1))</f>
        <v>0</v>
      </c>
      <c r="AB1186">
        <f t="shared" ca="1" si="239"/>
        <v>0</v>
      </c>
      <c r="AC1186" t="e">
        <f t="shared" ca="1" si="240"/>
        <v>#VALUE!</v>
      </c>
      <c r="AD1186" t="str">
        <f t="shared" ca="1" si="241"/>
        <v>0</v>
      </c>
      <c r="AE1186" t="str">
        <f t="shared" ca="1" si="242"/>
        <v/>
      </c>
      <c r="AF1186" s="6">
        <f t="shared" ca="1" si="243"/>
        <v>0</v>
      </c>
      <c r="AG1186">
        <f t="shared" ca="1" si="238"/>
        <v>0</v>
      </c>
      <c r="AH1186">
        <f t="shared" ca="1" si="244"/>
        <v>0</v>
      </c>
      <c r="AI1186">
        <f t="shared" ca="1" si="245"/>
        <v>0</v>
      </c>
      <c r="AJ1186">
        <f t="shared" ca="1" si="246"/>
        <v>0</v>
      </c>
      <c r="AK1186">
        <f t="shared" ca="1" si="247"/>
        <v>0</v>
      </c>
      <c r="AL1186">
        <f t="shared" ca="1" si="248"/>
        <v>0</v>
      </c>
    </row>
    <row r="1187" spans="1:38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#N/A, OFFSET(data!$A$1, ROW()-1, AA$1-1))</f>
        <v>0</v>
      </c>
      <c r="AB1187">
        <f t="shared" ca="1" si="239"/>
        <v>0</v>
      </c>
      <c r="AC1187" t="e">
        <f t="shared" ca="1" si="240"/>
        <v>#VALUE!</v>
      </c>
      <c r="AD1187" t="str">
        <f t="shared" ca="1" si="241"/>
        <v>0</v>
      </c>
      <c r="AE1187" t="str">
        <f t="shared" ca="1" si="242"/>
        <v/>
      </c>
      <c r="AF1187" s="6">
        <f t="shared" ca="1" si="243"/>
        <v>0</v>
      </c>
      <c r="AG1187">
        <f t="shared" ca="1" si="238"/>
        <v>0</v>
      </c>
      <c r="AH1187">
        <f t="shared" ca="1" si="244"/>
        <v>0</v>
      </c>
      <c r="AI1187">
        <f t="shared" ca="1" si="245"/>
        <v>0</v>
      </c>
      <c r="AJ1187">
        <f t="shared" ca="1" si="246"/>
        <v>0</v>
      </c>
      <c r="AK1187">
        <f t="shared" ca="1" si="247"/>
        <v>0</v>
      </c>
      <c r="AL1187">
        <f t="shared" ca="1" si="248"/>
        <v>0</v>
      </c>
    </row>
    <row r="1188" spans="1:38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#N/A, OFFSET(data!$A$1, ROW()-1, AA$1-1))</f>
        <v>0</v>
      </c>
      <c r="AB1188">
        <f t="shared" ca="1" si="239"/>
        <v>0</v>
      </c>
      <c r="AC1188" t="e">
        <f t="shared" ca="1" si="240"/>
        <v>#VALUE!</v>
      </c>
      <c r="AD1188" t="str">
        <f t="shared" ca="1" si="241"/>
        <v>0</v>
      </c>
      <c r="AE1188" t="str">
        <f t="shared" ca="1" si="242"/>
        <v/>
      </c>
      <c r="AF1188" s="6">
        <f t="shared" ca="1" si="243"/>
        <v>0</v>
      </c>
      <c r="AG1188">
        <f t="shared" ca="1" si="238"/>
        <v>0</v>
      </c>
      <c r="AH1188">
        <f t="shared" ca="1" si="244"/>
        <v>0</v>
      </c>
      <c r="AI1188">
        <f t="shared" ca="1" si="245"/>
        <v>0</v>
      </c>
      <c r="AJ1188">
        <f t="shared" ca="1" si="246"/>
        <v>0</v>
      </c>
      <c r="AK1188">
        <f t="shared" ca="1" si="247"/>
        <v>0</v>
      </c>
      <c r="AL1188">
        <f t="shared" ca="1" si="248"/>
        <v>0</v>
      </c>
    </row>
    <row r="1189" spans="1:38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#N/A, OFFSET(data!$A$1, ROW()-1, AA$1-1))</f>
        <v>0</v>
      </c>
      <c r="AB1189">
        <f t="shared" ca="1" si="239"/>
        <v>0</v>
      </c>
      <c r="AC1189" t="e">
        <f t="shared" ca="1" si="240"/>
        <v>#VALUE!</v>
      </c>
      <c r="AD1189" t="str">
        <f t="shared" ca="1" si="241"/>
        <v>0</v>
      </c>
      <c r="AE1189" t="str">
        <f t="shared" ca="1" si="242"/>
        <v/>
      </c>
      <c r="AF1189" s="6">
        <f t="shared" ca="1" si="243"/>
        <v>0</v>
      </c>
      <c r="AG1189">
        <f t="shared" ca="1" si="238"/>
        <v>0</v>
      </c>
      <c r="AH1189">
        <f t="shared" ca="1" si="244"/>
        <v>0</v>
      </c>
      <c r="AI1189">
        <f t="shared" ca="1" si="245"/>
        <v>0</v>
      </c>
      <c r="AJ1189">
        <f t="shared" ca="1" si="246"/>
        <v>0</v>
      </c>
      <c r="AK1189">
        <f t="shared" ca="1" si="247"/>
        <v>0</v>
      </c>
      <c r="AL1189">
        <f t="shared" ca="1" si="248"/>
        <v>0</v>
      </c>
    </row>
    <row r="1190" spans="1:38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#N/A, OFFSET(data!$A$1, ROW()-1, AA$1-1))</f>
        <v>0</v>
      </c>
      <c r="AB1190">
        <f t="shared" ca="1" si="239"/>
        <v>0</v>
      </c>
      <c r="AC1190" t="e">
        <f t="shared" ca="1" si="240"/>
        <v>#VALUE!</v>
      </c>
      <c r="AD1190" t="str">
        <f t="shared" ca="1" si="241"/>
        <v>0</v>
      </c>
      <c r="AE1190" t="str">
        <f t="shared" ca="1" si="242"/>
        <v/>
      </c>
      <c r="AF1190" s="6">
        <f t="shared" ca="1" si="243"/>
        <v>0</v>
      </c>
      <c r="AG1190">
        <f t="shared" ca="1" si="238"/>
        <v>0</v>
      </c>
      <c r="AH1190">
        <f t="shared" ca="1" si="244"/>
        <v>0</v>
      </c>
      <c r="AI1190">
        <f t="shared" ca="1" si="245"/>
        <v>0</v>
      </c>
      <c r="AJ1190">
        <f t="shared" ca="1" si="246"/>
        <v>0</v>
      </c>
      <c r="AK1190">
        <f t="shared" ca="1" si="247"/>
        <v>0</v>
      </c>
      <c r="AL1190">
        <f t="shared" ca="1" si="248"/>
        <v>0</v>
      </c>
    </row>
    <row r="1191" spans="1:38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#N/A, OFFSET(data!$A$1, ROW()-1, AA$1-1))</f>
        <v>0</v>
      </c>
      <c r="AB1191">
        <f t="shared" ca="1" si="239"/>
        <v>0</v>
      </c>
      <c r="AC1191" t="e">
        <f t="shared" ca="1" si="240"/>
        <v>#VALUE!</v>
      </c>
      <c r="AD1191" t="str">
        <f t="shared" ca="1" si="241"/>
        <v>0</v>
      </c>
      <c r="AE1191" t="str">
        <f t="shared" ca="1" si="242"/>
        <v/>
      </c>
      <c r="AF1191" s="6">
        <f t="shared" ca="1" si="243"/>
        <v>0</v>
      </c>
      <c r="AG1191">
        <f t="shared" ca="1" si="238"/>
        <v>0</v>
      </c>
      <c r="AH1191">
        <f t="shared" ca="1" si="244"/>
        <v>0</v>
      </c>
      <c r="AI1191">
        <f t="shared" ca="1" si="245"/>
        <v>0</v>
      </c>
      <c r="AJ1191">
        <f t="shared" ca="1" si="246"/>
        <v>0</v>
      </c>
      <c r="AK1191">
        <f t="shared" ca="1" si="247"/>
        <v>0</v>
      </c>
      <c r="AL1191">
        <f t="shared" ca="1" si="248"/>
        <v>0</v>
      </c>
    </row>
    <row r="1192" spans="1:38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#N/A, OFFSET(data!$A$1, ROW()-1, AA$1-1))</f>
        <v>0</v>
      </c>
      <c r="AB1192">
        <f t="shared" ca="1" si="239"/>
        <v>0</v>
      </c>
      <c r="AC1192" t="e">
        <f t="shared" ca="1" si="240"/>
        <v>#VALUE!</v>
      </c>
      <c r="AD1192" t="str">
        <f t="shared" ca="1" si="241"/>
        <v>0</v>
      </c>
      <c r="AE1192" t="str">
        <f t="shared" ca="1" si="242"/>
        <v/>
      </c>
      <c r="AF1192" s="6">
        <f t="shared" ca="1" si="243"/>
        <v>0</v>
      </c>
      <c r="AG1192">
        <f t="shared" ca="1" si="238"/>
        <v>0</v>
      </c>
      <c r="AH1192">
        <f t="shared" ca="1" si="244"/>
        <v>0</v>
      </c>
      <c r="AI1192">
        <f t="shared" ca="1" si="245"/>
        <v>0</v>
      </c>
      <c r="AJ1192">
        <f t="shared" ca="1" si="246"/>
        <v>0</v>
      </c>
      <c r="AK1192">
        <f t="shared" ca="1" si="247"/>
        <v>0</v>
      </c>
      <c r="AL1192">
        <f t="shared" ca="1" si="248"/>
        <v>0</v>
      </c>
    </row>
    <row r="1193" spans="1:38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#N/A, OFFSET(data!$A$1, ROW()-1, AA$1-1))</f>
        <v>0</v>
      </c>
      <c r="AB1193">
        <f t="shared" ca="1" si="239"/>
        <v>0</v>
      </c>
      <c r="AC1193" t="e">
        <f t="shared" ca="1" si="240"/>
        <v>#VALUE!</v>
      </c>
      <c r="AD1193" t="str">
        <f t="shared" ca="1" si="241"/>
        <v>0</v>
      </c>
      <c r="AE1193" t="str">
        <f t="shared" ca="1" si="242"/>
        <v/>
      </c>
      <c r="AF1193" s="6">
        <f t="shared" ca="1" si="243"/>
        <v>0</v>
      </c>
      <c r="AG1193">
        <f t="shared" ca="1" si="238"/>
        <v>0</v>
      </c>
      <c r="AH1193">
        <f t="shared" ca="1" si="244"/>
        <v>0</v>
      </c>
      <c r="AI1193">
        <f t="shared" ca="1" si="245"/>
        <v>0</v>
      </c>
      <c r="AJ1193">
        <f t="shared" ca="1" si="246"/>
        <v>0</v>
      </c>
      <c r="AK1193">
        <f t="shared" ca="1" si="247"/>
        <v>0</v>
      </c>
      <c r="AL1193">
        <f t="shared" ca="1" si="248"/>
        <v>0</v>
      </c>
    </row>
    <row r="1194" spans="1:38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#N/A, OFFSET(data!$A$1, ROW()-1, AA$1-1))</f>
        <v>0</v>
      </c>
      <c r="AB1194">
        <f t="shared" ca="1" si="239"/>
        <v>0</v>
      </c>
      <c r="AC1194" t="e">
        <f t="shared" ca="1" si="240"/>
        <v>#VALUE!</v>
      </c>
      <c r="AD1194" t="str">
        <f t="shared" ca="1" si="241"/>
        <v>0</v>
      </c>
      <c r="AE1194" t="str">
        <f t="shared" ca="1" si="242"/>
        <v/>
      </c>
      <c r="AF1194" s="6">
        <f t="shared" ca="1" si="243"/>
        <v>0</v>
      </c>
      <c r="AG1194">
        <f t="shared" ca="1" si="238"/>
        <v>0</v>
      </c>
      <c r="AH1194">
        <f t="shared" ca="1" si="244"/>
        <v>0</v>
      </c>
      <c r="AI1194">
        <f t="shared" ca="1" si="245"/>
        <v>0</v>
      </c>
      <c r="AJ1194">
        <f t="shared" ca="1" si="246"/>
        <v>0</v>
      </c>
      <c r="AK1194">
        <f t="shared" ca="1" si="247"/>
        <v>0</v>
      </c>
      <c r="AL1194">
        <f t="shared" ca="1" si="248"/>
        <v>0</v>
      </c>
    </row>
    <row r="1195" spans="1:38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#N/A, OFFSET(data!$A$1, ROW()-1, AA$1-1))</f>
        <v>0</v>
      </c>
      <c r="AB1195">
        <f t="shared" ca="1" si="239"/>
        <v>0</v>
      </c>
      <c r="AC1195" t="e">
        <f t="shared" ca="1" si="240"/>
        <v>#VALUE!</v>
      </c>
      <c r="AD1195" t="str">
        <f t="shared" ca="1" si="241"/>
        <v>0</v>
      </c>
      <c r="AE1195" t="str">
        <f t="shared" ca="1" si="242"/>
        <v/>
      </c>
      <c r="AF1195" s="6">
        <f t="shared" ca="1" si="243"/>
        <v>0</v>
      </c>
      <c r="AG1195">
        <f t="shared" ca="1" si="238"/>
        <v>0</v>
      </c>
      <c r="AH1195">
        <f t="shared" ca="1" si="244"/>
        <v>0</v>
      </c>
      <c r="AI1195">
        <f t="shared" ca="1" si="245"/>
        <v>0</v>
      </c>
      <c r="AJ1195">
        <f t="shared" ca="1" si="246"/>
        <v>0</v>
      </c>
      <c r="AK1195">
        <f t="shared" ca="1" si="247"/>
        <v>0</v>
      </c>
      <c r="AL1195">
        <f t="shared" ca="1" si="248"/>
        <v>0</v>
      </c>
    </row>
    <row r="1196" spans="1:38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#N/A, OFFSET(data!$A$1, ROW()-1, AA$1-1))</f>
        <v>0</v>
      </c>
      <c r="AB1196">
        <f t="shared" ca="1" si="239"/>
        <v>0</v>
      </c>
      <c r="AC1196" t="e">
        <f t="shared" ca="1" si="240"/>
        <v>#VALUE!</v>
      </c>
      <c r="AD1196" t="str">
        <f t="shared" ca="1" si="241"/>
        <v>0</v>
      </c>
      <c r="AE1196" t="str">
        <f t="shared" ca="1" si="242"/>
        <v/>
      </c>
      <c r="AF1196" s="6">
        <f t="shared" ca="1" si="243"/>
        <v>0</v>
      </c>
      <c r="AG1196">
        <f t="shared" ca="1" si="238"/>
        <v>0</v>
      </c>
      <c r="AH1196">
        <f t="shared" ca="1" si="244"/>
        <v>0</v>
      </c>
      <c r="AI1196">
        <f t="shared" ca="1" si="245"/>
        <v>0</v>
      </c>
      <c r="AJ1196">
        <f t="shared" ca="1" si="246"/>
        <v>0</v>
      </c>
      <c r="AK1196">
        <f t="shared" ca="1" si="247"/>
        <v>0</v>
      </c>
      <c r="AL1196">
        <f t="shared" ca="1" si="248"/>
        <v>0</v>
      </c>
    </row>
    <row r="1197" spans="1:38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#N/A, OFFSET(data!$A$1, ROW()-1, AA$1-1))</f>
        <v>0</v>
      </c>
      <c r="AB1197">
        <f t="shared" ca="1" si="239"/>
        <v>0</v>
      </c>
      <c r="AC1197" t="e">
        <f t="shared" ca="1" si="240"/>
        <v>#VALUE!</v>
      </c>
      <c r="AD1197" t="str">
        <f t="shared" ca="1" si="241"/>
        <v>0</v>
      </c>
      <c r="AE1197" t="str">
        <f t="shared" ca="1" si="242"/>
        <v/>
      </c>
      <c r="AF1197" s="6">
        <f t="shared" ca="1" si="243"/>
        <v>0</v>
      </c>
      <c r="AG1197">
        <f t="shared" ca="1" si="238"/>
        <v>0</v>
      </c>
      <c r="AH1197">
        <f t="shared" ca="1" si="244"/>
        <v>0</v>
      </c>
      <c r="AI1197">
        <f t="shared" ca="1" si="245"/>
        <v>0</v>
      </c>
      <c r="AJ1197">
        <f t="shared" ca="1" si="246"/>
        <v>0</v>
      </c>
      <c r="AK1197">
        <f t="shared" ca="1" si="247"/>
        <v>0</v>
      </c>
      <c r="AL1197">
        <f t="shared" ca="1" si="248"/>
        <v>0</v>
      </c>
    </row>
    <row r="1198" spans="1:38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#N/A, OFFSET(data!$A$1, ROW()-1, AA$1-1))</f>
        <v>0</v>
      </c>
      <c r="AB1198">
        <f t="shared" ca="1" si="239"/>
        <v>0</v>
      </c>
      <c r="AC1198" t="e">
        <f t="shared" ca="1" si="240"/>
        <v>#VALUE!</v>
      </c>
      <c r="AD1198" t="str">
        <f t="shared" ca="1" si="241"/>
        <v>0</v>
      </c>
      <c r="AE1198" t="str">
        <f t="shared" ca="1" si="242"/>
        <v/>
      </c>
      <c r="AF1198" s="6">
        <f t="shared" ca="1" si="243"/>
        <v>0</v>
      </c>
      <c r="AG1198">
        <f t="shared" ca="1" si="238"/>
        <v>0</v>
      </c>
      <c r="AH1198">
        <f t="shared" ca="1" si="244"/>
        <v>0</v>
      </c>
      <c r="AI1198">
        <f t="shared" ca="1" si="245"/>
        <v>0</v>
      </c>
      <c r="AJ1198">
        <f t="shared" ca="1" si="246"/>
        <v>0</v>
      </c>
      <c r="AK1198">
        <f t="shared" ca="1" si="247"/>
        <v>0</v>
      </c>
      <c r="AL1198">
        <f t="shared" ca="1" si="248"/>
        <v>0</v>
      </c>
    </row>
    <row r="1199" spans="1:38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#N/A, OFFSET(data!$A$1, ROW()-1, AA$1-1))</f>
        <v>0</v>
      </c>
      <c r="AB1199">
        <f t="shared" ca="1" si="239"/>
        <v>0</v>
      </c>
      <c r="AC1199" t="e">
        <f t="shared" ca="1" si="240"/>
        <v>#VALUE!</v>
      </c>
      <c r="AD1199" t="str">
        <f t="shared" ca="1" si="241"/>
        <v>0</v>
      </c>
      <c r="AE1199" t="str">
        <f t="shared" ca="1" si="242"/>
        <v/>
      </c>
      <c r="AF1199" s="6">
        <f t="shared" ca="1" si="243"/>
        <v>0</v>
      </c>
      <c r="AG1199">
        <f t="shared" ca="1" si="238"/>
        <v>0</v>
      </c>
      <c r="AH1199">
        <f t="shared" ca="1" si="244"/>
        <v>0</v>
      </c>
      <c r="AI1199">
        <f t="shared" ca="1" si="245"/>
        <v>0</v>
      </c>
      <c r="AJ1199">
        <f t="shared" ca="1" si="246"/>
        <v>0</v>
      </c>
      <c r="AK1199">
        <f t="shared" ca="1" si="247"/>
        <v>0</v>
      </c>
      <c r="AL1199">
        <f t="shared" ca="1" si="248"/>
        <v>0</v>
      </c>
    </row>
    <row r="1200" spans="1:38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#N/A, OFFSET(data!$A$1, ROW()-1, AA$1-1))</f>
        <v>0</v>
      </c>
      <c r="AB1200">
        <f t="shared" ca="1" si="239"/>
        <v>0</v>
      </c>
      <c r="AC1200" t="e">
        <f t="shared" ca="1" si="240"/>
        <v>#VALUE!</v>
      </c>
      <c r="AD1200" t="str">
        <f t="shared" ca="1" si="241"/>
        <v>0</v>
      </c>
      <c r="AE1200" t="str">
        <f t="shared" ca="1" si="242"/>
        <v/>
      </c>
      <c r="AF1200" s="6">
        <f t="shared" ca="1" si="243"/>
        <v>0</v>
      </c>
      <c r="AG1200">
        <f t="shared" ca="1" si="238"/>
        <v>0</v>
      </c>
      <c r="AH1200">
        <f t="shared" ca="1" si="244"/>
        <v>0</v>
      </c>
      <c r="AI1200">
        <f t="shared" ca="1" si="245"/>
        <v>0</v>
      </c>
      <c r="AJ1200">
        <f t="shared" ca="1" si="246"/>
        <v>0</v>
      </c>
      <c r="AK1200">
        <f t="shared" ca="1" si="247"/>
        <v>0</v>
      </c>
      <c r="AL1200">
        <f t="shared" ca="1" si="248"/>
        <v>0</v>
      </c>
    </row>
    <row r="1201" spans="1:38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#N/A, OFFSET(data!$A$1, ROW()-1, AA$1-1))</f>
        <v>0</v>
      </c>
      <c r="AB1201">
        <f t="shared" ca="1" si="239"/>
        <v>0</v>
      </c>
      <c r="AC1201" t="e">
        <f t="shared" ca="1" si="240"/>
        <v>#VALUE!</v>
      </c>
      <c r="AD1201" t="str">
        <f t="shared" ca="1" si="241"/>
        <v>0</v>
      </c>
      <c r="AE1201" t="str">
        <f t="shared" ca="1" si="242"/>
        <v/>
      </c>
      <c r="AF1201" s="6">
        <f t="shared" ca="1" si="243"/>
        <v>0</v>
      </c>
      <c r="AG1201">
        <f t="shared" ca="1" si="238"/>
        <v>0</v>
      </c>
      <c r="AH1201">
        <f t="shared" ca="1" si="244"/>
        <v>0</v>
      </c>
      <c r="AI1201">
        <f t="shared" ca="1" si="245"/>
        <v>0</v>
      </c>
      <c r="AJ1201">
        <f t="shared" ca="1" si="246"/>
        <v>0</v>
      </c>
      <c r="AK1201">
        <f t="shared" ca="1" si="247"/>
        <v>0</v>
      </c>
      <c r="AL1201">
        <f t="shared" ca="1" si="248"/>
        <v>0</v>
      </c>
    </row>
    <row r="1202" spans="1:38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#N/A, OFFSET(data!$A$1, ROW()-1, AA$1-1))</f>
        <v>0</v>
      </c>
      <c r="AB1202">
        <f t="shared" ca="1" si="239"/>
        <v>0</v>
      </c>
      <c r="AC1202" t="e">
        <f t="shared" ca="1" si="240"/>
        <v>#VALUE!</v>
      </c>
      <c r="AD1202" t="str">
        <f t="shared" ca="1" si="241"/>
        <v>0</v>
      </c>
      <c r="AE1202" t="str">
        <f t="shared" ca="1" si="242"/>
        <v/>
      </c>
      <c r="AF1202" s="6">
        <f t="shared" ca="1" si="243"/>
        <v>0</v>
      </c>
      <c r="AG1202">
        <f t="shared" ca="1" si="238"/>
        <v>0</v>
      </c>
      <c r="AH1202">
        <f t="shared" ca="1" si="244"/>
        <v>0</v>
      </c>
      <c r="AI1202">
        <f t="shared" ca="1" si="245"/>
        <v>0</v>
      </c>
      <c r="AJ1202">
        <f t="shared" ca="1" si="246"/>
        <v>0</v>
      </c>
      <c r="AK1202">
        <f t="shared" ca="1" si="247"/>
        <v>0</v>
      </c>
      <c r="AL1202">
        <f t="shared" ca="1" si="248"/>
        <v>0</v>
      </c>
    </row>
    <row r="1203" spans="1:38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#N/A, OFFSET(data!$A$1, ROW()-1, AA$1-1))</f>
        <v>0</v>
      </c>
      <c r="AB1203">
        <f t="shared" ca="1" si="239"/>
        <v>0</v>
      </c>
      <c r="AC1203" t="e">
        <f t="shared" ca="1" si="240"/>
        <v>#VALUE!</v>
      </c>
      <c r="AD1203" t="str">
        <f t="shared" ca="1" si="241"/>
        <v>0</v>
      </c>
      <c r="AE1203" t="str">
        <f t="shared" ca="1" si="242"/>
        <v/>
      </c>
      <c r="AF1203" s="6">
        <f t="shared" ca="1" si="243"/>
        <v>0</v>
      </c>
      <c r="AG1203">
        <f t="shared" ca="1" si="238"/>
        <v>0</v>
      </c>
      <c r="AH1203">
        <f t="shared" ca="1" si="244"/>
        <v>0</v>
      </c>
      <c r="AI1203">
        <f t="shared" ca="1" si="245"/>
        <v>0</v>
      </c>
      <c r="AJ1203">
        <f t="shared" ca="1" si="246"/>
        <v>0</v>
      </c>
      <c r="AK1203">
        <f t="shared" ca="1" si="247"/>
        <v>0</v>
      </c>
      <c r="AL1203">
        <f t="shared" ca="1" si="248"/>
        <v>0</v>
      </c>
    </row>
    <row r="1204" spans="1:38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#N/A, OFFSET(data!$A$1, ROW()-1, AA$1-1))</f>
        <v>0</v>
      </c>
      <c r="AB1204">
        <f t="shared" ca="1" si="239"/>
        <v>0</v>
      </c>
      <c r="AC1204" t="e">
        <f t="shared" ca="1" si="240"/>
        <v>#VALUE!</v>
      </c>
      <c r="AD1204" t="str">
        <f t="shared" ca="1" si="241"/>
        <v>0</v>
      </c>
      <c r="AE1204" t="str">
        <f t="shared" ca="1" si="242"/>
        <v/>
      </c>
      <c r="AF1204" s="6">
        <f t="shared" ca="1" si="243"/>
        <v>0</v>
      </c>
      <c r="AG1204">
        <f t="shared" ref="AG1204:AG1267" ca="1" si="249">T1204+W1204</f>
        <v>0</v>
      </c>
      <c r="AH1204">
        <f t="shared" ca="1" si="244"/>
        <v>0</v>
      </c>
      <c r="AI1204">
        <f t="shared" ca="1" si="245"/>
        <v>0</v>
      </c>
      <c r="AJ1204">
        <f t="shared" ca="1" si="246"/>
        <v>0</v>
      </c>
      <c r="AK1204">
        <f t="shared" ca="1" si="247"/>
        <v>0</v>
      </c>
      <c r="AL1204">
        <f t="shared" ca="1" si="248"/>
        <v>0</v>
      </c>
    </row>
    <row r="1205" spans="1:38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#N/A, OFFSET(data!$A$1, ROW()-1, AA$1-1))</f>
        <v>0</v>
      </c>
      <c r="AB1205">
        <f t="shared" ca="1" si="239"/>
        <v>0</v>
      </c>
      <c r="AC1205" t="e">
        <f t="shared" ca="1" si="240"/>
        <v>#VALUE!</v>
      </c>
      <c r="AD1205" t="str">
        <f t="shared" ca="1" si="241"/>
        <v>0</v>
      </c>
      <c r="AE1205" t="str">
        <f t="shared" ca="1" si="242"/>
        <v/>
      </c>
      <c r="AF1205" s="6">
        <f t="shared" ca="1" si="243"/>
        <v>0</v>
      </c>
      <c r="AG1205">
        <f t="shared" ca="1" si="249"/>
        <v>0</v>
      </c>
      <c r="AH1205">
        <f t="shared" ca="1" si="244"/>
        <v>0</v>
      </c>
      <c r="AI1205">
        <f t="shared" ca="1" si="245"/>
        <v>0</v>
      </c>
      <c r="AJ1205">
        <f t="shared" ca="1" si="246"/>
        <v>0</v>
      </c>
      <c r="AK1205">
        <f t="shared" ca="1" si="247"/>
        <v>0</v>
      </c>
      <c r="AL1205">
        <f t="shared" ca="1" si="248"/>
        <v>0</v>
      </c>
    </row>
    <row r="1206" spans="1:38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#N/A, OFFSET(data!$A$1, ROW()-1, AA$1-1))</f>
        <v>0</v>
      </c>
      <c r="AB1206">
        <f t="shared" ca="1" si="239"/>
        <v>0</v>
      </c>
      <c r="AC1206" t="e">
        <f t="shared" ca="1" si="240"/>
        <v>#VALUE!</v>
      </c>
      <c r="AD1206" t="str">
        <f t="shared" ca="1" si="241"/>
        <v>0</v>
      </c>
      <c r="AE1206" t="str">
        <f t="shared" ca="1" si="242"/>
        <v/>
      </c>
      <c r="AF1206" s="6">
        <f t="shared" ca="1" si="243"/>
        <v>0</v>
      </c>
      <c r="AG1206">
        <f t="shared" ca="1" si="249"/>
        <v>0</v>
      </c>
      <c r="AH1206">
        <f t="shared" ca="1" si="244"/>
        <v>0</v>
      </c>
      <c r="AI1206">
        <f t="shared" ca="1" si="245"/>
        <v>0</v>
      </c>
      <c r="AJ1206">
        <f t="shared" ca="1" si="246"/>
        <v>0</v>
      </c>
      <c r="AK1206">
        <f t="shared" ca="1" si="247"/>
        <v>0</v>
      </c>
      <c r="AL1206">
        <f t="shared" ca="1" si="248"/>
        <v>0</v>
      </c>
    </row>
    <row r="1207" spans="1:38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#N/A, OFFSET(data!$A$1, ROW()-1, AA$1-1))</f>
        <v>0</v>
      </c>
      <c r="AB1207">
        <f t="shared" ca="1" si="239"/>
        <v>0</v>
      </c>
      <c r="AC1207" t="e">
        <f t="shared" ca="1" si="240"/>
        <v>#VALUE!</v>
      </c>
      <c r="AD1207" t="str">
        <f t="shared" ca="1" si="241"/>
        <v>0</v>
      </c>
      <c r="AE1207" t="str">
        <f t="shared" ca="1" si="242"/>
        <v/>
      </c>
      <c r="AF1207" s="6">
        <f t="shared" ca="1" si="243"/>
        <v>0</v>
      </c>
      <c r="AG1207">
        <f t="shared" ca="1" si="249"/>
        <v>0</v>
      </c>
      <c r="AH1207">
        <f t="shared" ca="1" si="244"/>
        <v>0</v>
      </c>
      <c r="AI1207">
        <f t="shared" ca="1" si="245"/>
        <v>0</v>
      </c>
      <c r="AJ1207">
        <f t="shared" ca="1" si="246"/>
        <v>0</v>
      </c>
      <c r="AK1207">
        <f t="shared" ca="1" si="247"/>
        <v>0</v>
      </c>
      <c r="AL1207">
        <f t="shared" ca="1" si="248"/>
        <v>0</v>
      </c>
    </row>
    <row r="1208" spans="1:38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#N/A, OFFSET(data!$A$1, ROW()-1, AA$1-1))</f>
        <v>0</v>
      </c>
      <c r="AB1208">
        <f t="shared" ca="1" si="239"/>
        <v>0</v>
      </c>
      <c r="AC1208" t="e">
        <f t="shared" ca="1" si="240"/>
        <v>#VALUE!</v>
      </c>
      <c r="AD1208" t="str">
        <f t="shared" ca="1" si="241"/>
        <v>0</v>
      </c>
      <c r="AE1208" t="str">
        <f t="shared" ca="1" si="242"/>
        <v/>
      </c>
      <c r="AF1208" s="6">
        <f t="shared" ca="1" si="243"/>
        <v>0</v>
      </c>
      <c r="AG1208">
        <f t="shared" ca="1" si="249"/>
        <v>0</v>
      </c>
      <c r="AH1208">
        <f t="shared" ca="1" si="244"/>
        <v>0</v>
      </c>
      <c r="AI1208">
        <f t="shared" ca="1" si="245"/>
        <v>0</v>
      </c>
      <c r="AJ1208">
        <f t="shared" ca="1" si="246"/>
        <v>0</v>
      </c>
      <c r="AK1208">
        <f t="shared" ca="1" si="247"/>
        <v>0</v>
      </c>
      <c r="AL1208">
        <f t="shared" ca="1" si="248"/>
        <v>0</v>
      </c>
    </row>
    <row r="1209" spans="1:38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#N/A, OFFSET(data!$A$1, ROW()-1, AA$1-1))</f>
        <v>0</v>
      </c>
      <c r="AB1209">
        <f t="shared" ca="1" si="239"/>
        <v>0</v>
      </c>
      <c r="AC1209" t="e">
        <f t="shared" ca="1" si="240"/>
        <v>#VALUE!</v>
      </c>
      <c r="AD1209" t="str">
        <f t="shared" ca="1" si="241"/>
        <v>0</v>
      </c>
      <c r="AE1209" t="str">
        <f t="shared" ca="1" si="242"/>
        <v/>
      </c>
      <c r="AF1209" s="6">
        <f t="shared" ca="1" si="243"/>
        <v>0</v>
      </c>
      <c r="AG1209">
        <f t="shared" ca="1" si="249"/>
        <v>0</v>
      </c>
      <c r="AH1209">
        <f t="shared" ca="1" si="244"/>
        <v>0</v>
      </c>
      <c r="AI1209">
        <f t="shared" ca="1" si="245"/>
        <v>0</v>
      </c>
      <c r="AJ1209">
        <f t="shared" ca="1" si="246"/>
        <v>0</v>
      </c>
      <c r="AK1209">
        <f t="shared" ca="1" si="247"/>
        <v>0</v>
      </c>
      <c r="AL1209">
        <f t="shared" ca="1" si="248"/>
        <v>0</v>
      </c>
    </row>
    <row r="1210" spans="1:38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#N/A, OFFSET(data!$A$1, ROW()-1, AA$1-1))</f>
        <v>0</v>
      </c>
      <c r="AB1210">
        <f t="shared" ca="1" si="239"/>
        <v>0</v>
      </c>
      <c r="AC1210" t="e">
        <f t="shared" ca="1" si="240"/>
        <v>#VALUE!</v>
      </c>
      <c r="AD1210" t="str">
        <f t="shared" ca="1" si="241"/>
        <v>0</v>
      </c>
      <c r="AE1210" t="str">
        <f t="shared" ca="1" si="242"/>
        <v/>
      </c>
      <c r="AF1210" s="6">
        <f t="shared" ca="1" si="243"/>
        <v>0</v>
      </c>
      <c r="AG1210">
        <f t="shared" ca="1" si="249"/>
        <v>0</v>
      </c>
      <c r="AH1210">
        <f t="shared" ca="1" si="244"/>
        <v>0</v>
      </c>
      <c r="AI1210">
        <f t="shared" ca="1" si="245"/>
        <v>0</v>
      </c>
      <c r="AJ1210">
        <f t="shared" ca="1" si="246"/>
        <v>0</v>
      </c>
      <c r="AK1210">
        <f t="shared" ca="1" si="247"/>
        <v>0</v>
      </c>
      <c r="AL1210">
        <f t="shared" ca="1" si="248"/>
        <v>0</v>
      </c>
    </row>
    <row r="1211" spans="1:38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#N/A, OFFSET(data!$A$1, ROW()-1, AA$1-1))</f>
        <v>0</v>
      </c>
      <c r="AB1211">
        <f t="shared" ca="1" si="239"/>
        <v>0</v>
      </c>
      <c r="AC1211" t="e">
        <f t="shared" ca="1" si="240"/>
        <v>#VALUE!</v>
      </c>
      <c r="AD1211" t="str">
        <f t="shared" ca="1" si="241"/>
        <v>0</v>
      </c>
      <c r="AE1211" t="str">
        <f t="shared" ca="1" si="242"/>
        <v/>
      </c>
      <c r="AF1211" s="6">
        <f t="shared" ca="1" si="243"/>
        <v>0</v>
      </c>
      <c r="AG1211">
        <f t="shared" ca="1" si="249"/>
        <v>0</v>
      </c>
      <c r="AH1211">
        <f t="shared" ca="1" si="244"/>
        <v>0</v>
      </c>
      <c r="AI1211">
        <f t="shared" ca="1" si="245"/>
        <v>0</v>
      </c>
      <c r="AJ1211">
        <f t="shared" ca="1" si="246"/>
        <v>0</v>
      </c>
      <c r="AK1211">
        <f t="shared" ca="1" si="247"/>
        <v>0</v>
      </c>
      <c r="AL1211">
        <f t="shared" ca="1" si="248"/>
        <v>0</v>
      </c>
    </row>
    <row r="1212" spans="1:38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#N/A, OFFSET(data!$A$1, ROW()-1, AA$1-1))</f>
        <v>0</v>
      </c>
      <c r="AB1212">
        <f t="shared" ca="1" si="239"/>
        <v>0</v>
      </c>
      <c r="AC1212" t="e">
        <f t="shared" ca="1" si="240"/>
        <v>#VALUE!</v>
      </c>
      <c r="AD1212" t="str">
        <f t="shared" ca="1" si="241"/>
        <v>0</v>
      </c>
      <c r="AE1212" t="str">
        <f t="shared" ca="1" si="242"/>
        <v/>
      </c>
      <c r="AF1212" s="6">
        <f t="shared" ca="1" si="243"/>
        <v>0</v>
      </c>
      <c r="AG1212">
        <f t="shared" ca="1" si="249"/>
        <v>0</v>
      </c>
      <c r="AH1212">
        <f t="shared" ca="1" si="244"/>
        <v>0</v>
      </c>
      <c r="AI1212">
        <f t="shared" ca="1" si="245"/>
        <v>0</v>
      </c>
      <c r="AJ1212">
        <f t="shared" ca="1" si="246"/>
        <v>0</v>
      </c>
      <c r="AK1212">
        <f t="shared" ca="1" si="247"/>
        <v>0</v>
      </c>
      <c r="AL1212">
        <f t="shared" ca="1" si="248"/>
        <v>0</v>
      </c>
    </row>
    <row r="1213" spans="1:38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#N/A, OFFSET(data!$A$1, ROW()-1, AA$1-1))</f>
        <v>0</v>
      </c>
      <c r="AB1213">
        <f t="shared" ca="1" si="239"/>
        <v>0</v>
      </c>
      <c r="AC1213" t="e">
        <f t="shared" ca="1" si="240"/>
        <v>#VALUE!</v>
      </c>
      <c r="AD1213" t="str">
        <f t="shared" ca="1" si="241"/>
        <v>0</v>
      </c>
      <c r="AE1213" t="str">
        <f t="shared" ca="1" si="242"/>
        <v/>
      </c>
      <c r="AF1213" s="6">
        <f t="shared" ca="1" si="243"/>
        <v>0</v>
      </c>
      <c r="AG1213">
        <f t="shared" ca="1" si="249"/>
        <v>0</v>
      </c>
      <c r="AH1213">
        <f t="shared" ca="1" si="244"/>
        <v>0</v>
      </c>
      <c r="AI1213">
        <f t="shared" ca="1" si="245"/>
        <v>0</v>
      </c>
      <c r="AJ1213">
        <f t="shared" ca="1" si="246"/>
        <v>0</v>
      </c>
      <c r="AK1213">
        <f t="shared" ca="1" si="247"/>
        <v>0</v>
      </c>
      <c r="AL1213">
        <f t="shared" ca="1" si="248"/>
        <v>0</v>
      </c>
    </row>
    <row r="1214" spans="1:38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#N/A, OFFSET(data!$A$1, ROW()-1, AA$1-1))</f>
        <v>0</v>
      </c>
      <c r="AB1214">
        <f t="shared" ca="1" si="239"/>
        <v>0</v>
      </c>
      <c r="AC1214" t="e">
        <f t="shared" ca="1" si="240"/>
        <v>#VALUE!</v>
      </c>
      <c r="AD1214" t="str">
        <f t="shared" ca="1" si="241"/>
        <v>0</v>
      </c>
      <c r="AE1214" t="str">
        <f t="shared" ca="1" si="242"/>
        <v/>
      </c>
      <c r="AF1214" s="6">
        <f t="shared" ca="1" si="243"/>
        <v>0</v>
      </c>
      <c r="AG1214">
        <f t="shared" ca="1" si="249"/>
        <v>0</v>
      </c>
      <c r="AH1214">
        <f t="shared" ca="1" si="244"/>
        <v>0</v>
      </c>
      <c r="AI1214">
        <f t="shared" ca="1" si="245"/>
        <v>0</v>
      </c>
      <c r="AJ1214">
        <f t="shared" ca="1" si="246"/>
        <v>0</v>
      </c>
      <c r="AK1214">
        <f t="shared" ca="1" si="247"/>
        <v>0</v>
      </c>
      <c r="AL1214">
        <f t="shared" ca="1" si="248"/>
        <v>0</v>
      </c>
    </row>
    <row r="1215" spans="1:38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#N/A, OFFSET(data!$A$1, ROW()-1, AA$1-1))</f>
        <v>0</v>
      </c>
      <c r="AB1215">
        <f t="shared" ca="1" si="239"/>
        <v>0</v>
      </c>
      <c r="AC1215" t="e">
        <f t="shared" ca="1" si="240"/>
        <v>#VALUE!</v>
      </c>
      <c r="AD1215" t="str">
        <f t="shared" ca="1" si="241"/>
        <v>0</v>
      </c>
      <c r="AE1215" t="str">
        <f t="shared" ca="1" si="242"/>
        <v/>
      </c>
      <c r="AF1215" s="6">
        <f t="shared" ca="1" si="243"/>
        <v>0</v>
      </c>
      <c r="AG1215">
        <f t="shared" ca="1" si="249"/>
        <v>0</v>
      </c>
      <c r="AH1215">
        <f t="shared" ca="1" si="244"/>
        <v>0</v>
      </c>
      <c r="AI1215">
        <f t="shared" ca="1" si="245"/>
        <v>0</v>
      </c>
      <c r="AJ1215">
        <f t="shared" ca="1" si="246"/>
        <v>0</v>
      </c>
      <c r="AK1215">
        <f t="shared" ca="1" si="247"/>
        <v>0</v>
      </c>
      <c r="AL1215">
        <f t="shared" ca="1" si="248"/>
        <v>0</v>
      </c>
    </row>
    <row r="1216" spans="1:38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#N/A, OFFSET(data!$A$1, ROW()-1, AA$1-1))</f>
        <v>0</v>
      </c>
      <c r="AB1216">
        <f t="shared" ca="1" si="239"/>
        <v>0</v>
      </c>
      <c r="AC1216" t="e">
        <f t="shared" ca="1" si="240"/>
        <v>#VALUE!</v>
      </c>
      <c r="AD1216" t="str">
        <f t="shared" ca="1" si="241"/>
        <v>0</v>
      </c>
      <c r="AE1216" t="str">
        <f t="shared" ca="1" si="242"/>
        <v/>
      </c>
      <c r="AF1216" s="6">
        <f t="shared" ca="1" si="243"/>
        <v>0</v>
      </c>
      <c r="AG1216">
        <f t="shared" ca="1" si="249"/>
        <v>0</v>
      </c>
      <c r="AH1216">
        <f t="shared" ca="1" si="244"/>
        <v>0</v>
      </c>
      <c r="AI1216">
        <f t="shared" ca="1" si="245"/>
        <v>0</v>
      </c>
      <c r="AJ1216">
        <f t="shared" ca="1" si="246"/>
        <v>0</v>
      </c>
      <c r="AK1216">
        <f t="shared" ca="1" si="247"/>
        <v>0</v>
      </c>
      <c r="AL1216">
        <f t="shared" ca="1" si="248"/>
        <v>0</v>
      </c>
    </row>
    <row r="1217" spans="1:38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#N/A, OFFSET(data!$A$1, ROW()-1, AA$1-1))</f>
        <v>0</v>
      </c>
      <c r="AB1217">
        <f t="shared" ca="1" si="239"/>
        <v>0</v>
      </c>
      <c r="AC1217" t="e">
        <f t="shared" ca="1" si="240"/>
        <v>#VALUE!</v>
      </c>
      <c r="AD1217" t="str">
        <f t="shared" ca="1" si="241"/>
        <v>0</v>
      </c>
      <c r="AE1217" t="str">
        <f t="shared" ca="1" si="242"/>
        <v/>
      </c>
      <c r="AF1217" s="6">
        <f t="shared" ca="1" si="243"/>
        <v>0</v>
      </c>
      <c r="AG1217">
        <f t="shared" ca="1" si="249"/>
        <v>0</v>
      </c>
      <c r="AH1217">
        <f t="shared" ca="1" si="244"/>
        <v>0</v>
      </c>
      <c r="AI1217">
        <f t="shared" ca="1" si="245"/>
        <v>0</v>
      </c>
      <c r="AJ1217">
        <f t="shared" ca="1" si="246"/>
        <v>0</v>
      </c>
      <c r="AK1217">
        <f t="shared" ca="1" si="247"/>
        <v>0</v>
      </c>
      <c r="AL1217">
        <f t="shared" ca="1" si="248"/>
        <v>0</v>
      </c>
    </row>
    <row r="1218" spans="1:38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#N/A, OFFSET(data!$A$1, ROW()-1, AA$1-1))</f>
        <v>0</v>
      </c>
      <c r="AB1218">
        <f t="shared" ca="1" si="239"/>
        <v>0</v>
      </c>
      <c r="AC1218" t="e">
        <f t="shared" ca="1" si="240"/>
        <v>#VALUE!</v>
      </c>
      <c r="AD1218" t="str">
        <f t="shared" ca="1" si="241"/>
        <v>0</v>
      </c>
      <c r="AE1218" t="str">
        <f t="shared" ca="1" si="242"/>
        <v/>
      </c>
      <c r="AF1218" s="6">
        <f t="shared" ca="1" si="243"/>
        <v>0</v>
      </c>
      <c r="AG1218">
        <f t="shared" ca="1" si="249"/>
        <v>0</v>
      </c>
      <c r="AH1218">
        <f t="shared" ca="1" si="244"/>
        <v>0</v>
      </c>
      <c r="AI1218">
        <f t="shared" ca="1" si="245"/>
        <v>0</v>
      </c>
      <c r="AJ1218">
        <f t="shared" ca="1" si="246"/>
        <v>0</v>
      </c>
      <c r="AK1218">
        <f t="shared" ca="1" si="247"/>
        <v>0</v>
      </c>
      <c r="AL1218">
        <f t="shared" ca="1" si="248"/>
        <v>0</v>
      </c>
    </row>
    <row r="1219" spans="1:38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#N/A, OFFSET(data!$A$1, ROW()-1, AA$1-1))</f>
        <v>0</v>
      </c>
      <c r="AB1219">
        <f t="shared" ref="AB1219:AB1282" ca="1" si="250">VALUE(LEFT(C1219, 4))</f>
        <v>0</v>
      </c>
      <c r="AC1219" t="e">
        <f t="shared" ref="AC1219:AC1282" ca="1" si="251">VALUE(MID(C1219, 6, 2))</f>
        <v>#VALUE!</v>
      </c>
      <c r="AD1219" t="str">
        <f t="shared" ref="AD1219:AD1282" ca="1" si="252">SUBSTITUTE(MID(C1219,6,6)&amp;LEFT(C1219,4), "-", "/")</f>
        <v>0</v>
      </c>
      <c r="AE1219" t="str">
        <f t="shared" ref="AE1219:AE1282" ca="1" si="253">IF(RIGHT(C1219, 5)="12:00", AD1219, "")</f>
        <v/>
      </c>
      <c r="AF1219" s="6">
        <f t="shared" ref="AF1219:AF1282" ca="1" si="254">Z1219/1000</f>
        <v>0</v>
      </c>
      <c r="AG1219">
        <f t="shared" ca="1" si="249"/>
        <v>0</v>
      </c>
      <c r="AH1219">
        <f t="shared" ca="1" si="244"/>
        <v>0</v>
      </c>
      <c r="AI1219">
        <f t="shared" ca="1" si="245"/>
        <v>0</v>
      </c>
      <c r="AJ1219">
        <f t="shared" ca="1" si="246"/>
        <v>0</v>
      </c>
      <c r="AK1219">
        <f t="shared" ca="1" si="247"/>
        <v>0</v>
      </c>
      <c r="AL1219">
        <f t="shared" ca="1" si="248"/>
        <v>0</v>
      </c>
    </row>
    <row r="1220" spans="1:38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#N/A, OFFSET(data!$A$1, ROW()-1, AA$1-1))</f>
        <v>0</v>
      </c>
      <c r="AB1220">
        <f t="shared" ca="1" si="250"/>
        <v>0</v>
      </c>
      <c r="AC1220" t="e">
        <f t="shared" ca="1" si="251"/>
        <v>#VALUE!</v>
      </c>
      <c r="AD1220" t="str">
        <f t="shared" ca="1" si="252"/>
        <v>0</v>
      </c>
      <c r="AE1220" t="str">
        <f t="shared" ca="1" si="253"/>
        <v/>
      </c>
      <c r="AF1220" s="6">
        <f t="shared" ca="1" si="254"/>
        <v>0</v>
      </c>
      <c r="AG1220">
        <f t="shared" ca="1" si="249"/>
        <v>0</v>
      </c>
      <c r="AH1220">
        <f t="shared" ref="AH1220:AH1283" ca="1" si="255">MAX(S1220,Y1220)</f>
        <v>0</v>
      </c>
      <c r="AI1220">
        <f t="shared" ref="AI1220:AI1283" ca="1" si="256">MAX(R1220,V1220)</f>
        <v>0</v>
      </c>
      <c r="AJ1220">
        <f t="shared" ref="AJ1220:AJ1283" ca="1" si="257">K1220+N1220</f>
        <v>0</v>
      </c>
      <c r="AK1220">
        <f t="shared" ref="AK1220:AK1283" ca="1" si="258">L1220+O1220</f>
        <v>0</v>
      </c>
      <c r="AL1220">
        <f t="shared" ref="AL1220:AL1283" ca="1" si="259">M1220+P1220</f>
        <v>0</v>
      </c>
    </row>
    <row r="1221" spans="1:38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#N/A, OFFSET(data!$A$1, ROW()-1, AA$1-1))</f>
        <v>0</v>
      </c>
      <c r="AB1221">
        <f t="shared" ca="1" si="250"/>
        <v>0</v>
      </c>
      <c r="AC1221" t="e">
        <f t="shared" ca="1" si="251"/>
        <v>#VALUE!</v>
      </c>
      <c r="AD1221" t="str">
        <f t="shared" ca="1" si="252"/>
        <v>0</v>
      </c>
      <c r="AE1221" t="str">
        <f t="shared" ca="1" si="253"/>
        <v/>
      </c>
      <c r="AF1221" s="6">
        <f t="shared" ca="1" si="254"/>
        <v>0</v>
      </c>
      <c r="AG1221">
        <f t="shared" ca="1" si="249"/>
        <v>0</v>
      </c>
      <c r="AH1221">
        <f t="shared" ca="1" si="255"/>
        <v>0</v>
      </c>
      <c r="AI1221">
        <f t="shared" ca="1" si="256"/>
        <v>0</v>
      </c>
      <c r="AJ1221">
        <f t="shared" ca="1" si="257"/>
        <v>0</v>
      </c>
      <c r="AK1221">
        <f t="shared" ca="1" si="258"/>
        <v>0</v>
      </c>
      <c r="AL1221">
        <f t="shared" ca="1" si="259"/>
        <v>0</v>
      </c>
    </row>
    <row r="1222" spans="1:38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#N/A, OFFSET(data!$A$1, ROW()-1, AA$1-1))</f>
        <v>0</v>
      </c>
      <c r="AB1222">
        <f t="shared" ca="1" si="250"/>
        <v>0</v>
      </c>
      <c r="AC1222" t="e">
        <f t="shared" ca="1" si="251"/>
        <v>#VALUE!</v>
      </c>
      <c r="AD1222" t="str">
        <f t="shared" ca="1" si="252"/>
        <v>0</v>
      </c>
      <c r="AE1222" t="str">
        <f t="shared" ca="1" si="253"/>
        <v/>
      </c>
      <c r="AF1222" s="6">
        <f t="shared" ca="1" si="254"/>
        <v>0</v>
      </c>
      <c r="AG1222">
        <f t="shared" ca="1" si="249"/>
        <v>0</v>
      </c>
      <c r="AH1222">
        <f t="shared" ca="1" si="255"/>
        <v>0</v>
      </c>
      <c r="AI1222">
        <f t="shared" ca="1" si="256"/>
        <v>0</v>
      </c>
      <c r="AJ1222">
        <f t="shared" ca="1" si="257"/>
        <v>0</v>
      </c>
      <c r="AK1222">
        <f t="shared" ca="1" si="258"/>
        <v>0</v>
      </c>
      <c r="AL1222">
        <f t="shared" ca="1" si="259"/>
        <v>0</v>
      </c>
    </row>
    <row r="1223" spans="1:38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#N/A, OFFSET(data!$A$1, ROW()-1, AA$1-1))</f>
        <v>0</v>
      </c>
      <c r="AB1223">
        <f t="shared" ca="1" si="250"/>
        <v>0</v>
      </c>
      <c r="AC1223" t="e">
        <f t="shared" ca="1" si="251"/>
        <v>#VALUE!</v>
      </c>
      <c r="AD1223" t="str">
        <f t="shared" ca="1" si="252"/>
        <v>0</v>
      </c>
      <c r="AE1223" t="str">
        <f t="shared" ca="1" si="253"/>
        <v/>
      </c>
      <c r="AF1223" s="6">
        <f t="shared" ca="1" si="254"/>
        <v>0</v>
      </c>
      <c r="AG1223">
        <f t="shared" ca="1" si="249"/>
        <v>0</v>
      </c>
      <c r="AH1223">
        <f t="shared" ca="1" si="255"/>
        <v>0</v>
      </c>
      <c r="AI1223">
        <f t="shared" ca="1" si="256"/>
        <v>0</v>
      </c>
      <c r="AJ1223">
        <f t="shared" ca="1" si="257"/>
        <v>0</v>
      </c>
      <c r="AK1223">
        <f t="shared" ca="1" si="258"/>
        <v>0</v>
      </c>
      <c r="AL1223">
        <f t="shared" ca="1" si="259"/>
        <v>0</v>
      </c>
    </row>
    <row r="1224" spans="1:38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#N/A, OFFSET(data!$A$1, ROW()-1, AA$1-1))</f>
        <v>0</v>
      </c>
      <c r="AB1224">
        <f t="shared" ca="1" si="250"/>
        <v>0</v>
      </c>
      <c r="AC1224" t="e">
        <f t="shared" ca="1" si="251"/>
        <v>#VALUE!</v>
      </c>
      <c r="AD1224" t="str">
        <f t="shared" ca="1" si="252"/>
        <v>0</v>
      </c>
      <c r="AE1224" t="str">
        <f t="shared" ca="1" si="253"/>
        <v/>
      </c>
      <c r="AF1224" s="6">
        <f t="shared" ca="1" si="254"/>
        <v>0</v>
      </c>
      <c r="AG1224">
        <f t="shared" ca="1" si="249"/>
        <v>0</v>
      </c>
      <c r="AH1224">
        <f t="shared" ca="1" si="255"/>
        <v>0</v>
      </c>
      <c r="AI1224">
        <f t="shared" ca="1" si="256"/>
        <v>0</v>
      </c>
      <c r="AJ1224">
        <f t="shared" ca="1" si="257"/>
        <v>0</v>
      </c>
      <c r="AK1224">
        <f t="shared" ca="1" si="258"/>
        <v>0</v>
      </c>
      <c r="AL1224">
        <f t="shared" ca="1" si="259"/>
        <v>0</v>
      </c>
    </row>
    <row r="1225" spans="1:38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#N/A, OFFSET(data!$A$1, ROW()-1, AA$1-1))</f>
        <v>0</v>
      </c>
      <c r="AB1225">
        <f t="shared" ca="1" si="250"/>
        <v>0</v>
      </c>
      <c r="AC1225" t="e">
        <f t="shared" ca="1" si="251"/>
        <v>#VALUE!</v>
      </c>
      <c r="AD1225" t="str">
        <f t="shared" ca="1" si="252"/>
        <v>0</v>
      </c>
      <c r="AE1225" t="str">
        <f t="shared" ca="1" si="253"/>
        <v/>
      </c>
      <c r="AF1225" s="6">
        <f t="shared" ca="1" si="254"/>
        <v>0</v>
      </c>
      <c r="AG1225">
        <f t="shared" ca="1" si="249"/>
        <v>0</v>
      </c>
      <c r="AH1225">
        <f t="shared" ca="1" si="255"/>
        <v>0</v>
      </c>
      <c r="AI1225">
        <f t="shared" ca="1" si="256"/>
        <v>0</v>
      </c>
      <c r="AJ1225">
        <f t="shared" ca="1" si="257"/>
        <v>0</v>
      </c>
      <c r="AK1225">
        <f t="shared" ca="1" si="258"/>
        <v>0</v>
      </c>
      <c r="AL1225">
        <f t="shared" ca="1" si="259"/>
        <v>0</v>
      </c>
    </row>
    <row r="1226" spans="1:38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#N/A, OFFSET(data!$A$1, ROW()-1, AA$1-1))</f>
        <v>0</v>
      </c>
      <c r="AB1226">
        <f t="shared" ca="1" si="250"/>
        <v>0</v>
      </c>
      <c r="AC1226" t="e">
        <f t="shared" ca="1" si="251"/>
        <v>#VALUE!</v>
      </c>
      <c r="AD1226" t="str">
        <f t="shared" ca="1" si="252"/>
        <v>0</v>
      </c>
      <c r="AE1226" t="str">
        <f t="shared" ca="1" si="253"/>
        <v/>
      </c>
      <c r="AF1226" s="6">
        <f t="shared" ca="1" si="254"/>
        <v>0</v>
      </c>
      <c r="AG1226">
        <f t="shared" ca="1" si="249"/>
        <v>0</v>
      </c>
      <c r="AH1226">
        <f t="shared" ca="1" si="255"/>
        <v>0</v>
      </c>
      <c r="AI1226">
        <f t="shared" ca="1" si="256"/>
        <v>0</v>
      </c>
      <c r="AJ1226">
        <f t="shared" ca="1" si="257"/>
        <v>0</v>
      </c>
      <c r="AK1226">
        <f t="shared" ca="1" si="258"/>
        <v>0</v>
      </c>
      <c r="AL1226">
        <f t="shared" ca="1" si="259"/>
        <v>0</v>
      </c>
    </row>
    <row r="1227" spans="1:38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#N/A, OFFSET(data!$A$1, ROW()-1, AA$1-1))</f>
        <v>0</v>
      </c>
      <c r="AB1227">
        <f t="shared" ca="1" si="250"/>
        <v>0</v>
      </c>
      <c r="AC1227" t="e">
        <f t="shared" ca="1" si="251"/>
        <v>#VALUE!</v>
      </c>
      <c r="AD1227" t="str">
        <f t="shared" ca="1" si="252"/>
        <v>0</v>
      </c>
      <c r="AE1227" t="str">
        <f t="shared" ca="1" si="253"/>
        <v/>
      </c>
      <c r="AF1227" s="6">
        <f t="shared" ca="1" si="254"/>
        <v>0</v>
      </c>
      <c r="AG1227">
        <f t="shared" ca="1" si="249"/>
        <v>0</v>
      </c>
      <c r="AH1227">
        <f t="shared" ca="1" si="255"/>
        <v>0</v>
      </c>
      <c r="AI1227">
        <f t="shared" ca="1" si="256"/>
        <v>0</v>
      </c>
      <c r="AJ1227">
        <f t="shared" ca="1" si="257"/>
        <v>0</v>
      </c>
      <c r="AK1227">
        <f t="shared" ca="1" si="258"/>
        <v>0</v>
      </c>
      <c r="AL1227">
        <f t="shared" ca="1" si="259"/>
        <v>0</v>
      </c>
    </row>
    <row r="1228" spans="1:38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#N/A, OFFSET(data!$A$1, ROW()-1, AA$1-1))</f>
        <v>0</v>
      </c>
      <c r="AB1228">
        <f t="shared" ca="1" si="250"/>
        <v>0</v>
      </c>
      <c r="AC1228" t="e">
        <f t="shared" ca="1" si="251"/>
        <v>#VALUE!</v>
      </c>
      <c r="AD1228" t="str">
        <f t="shared" ca="1" si="252"/>
        <v>0</v>
      </c>
      <c r="AE1228" t="str">
        <f t="shared" ca="1" si="253"/>
        <v/>
      </c>
      <c r="AF1228" s="6">
        <f t="shared" ca="1" si="254"/>
        <v>0</v>
      </c>
      <c r="AG1228">
        <f t="shared" ca="1" si="249"/>
        <v>0</v>
      </c>
      <c r="AH1228">
        <f t="shared" ca="1" si="255"/>
        <v>0</v>
      </c>
      <c r="AI1228">
        <f t="shared" ca="1" si="256"/>
        <v>0</v>
      </c>
      <c r="AJ1228">
        <f t="shared" ca="1" si="257"/>
        <v>0</v>
      </c>
      <c r="AK1228">
        <f t="shared" ca="1" si="258"/>
        <v>0</v>
      </c>
      <c r="AL1228">
        <f t="shared" ca="1" si="259"/>
        <v>0</v>
      </c>
    </row>
    <row r="1229" spans="1:38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#N/A, OFFSET(data!$A$1, ROW()-1, AA$1-1))</f>
        <v>0</v>
      </c>
      <c r="AB1229">
        <f t="shared" ca="1" si="250"/>
        <v>0</v>
      </c>
      <c r="AC1229" t="e">
        <f t="shared" ca="1" si="251"/>
        <v>#VALUE!</v>
      </c>
      <c r="AD1229" t="str">
        <f t="shared" ca="1" si="252"/>
        <v>0</v>
      </c>
      <c r="AE1229" t="str">
        <f t="shared" ca="1" si="253"/>
        <v/>
      </c>
      <c r="AF1229" s="6">
        <f t="shared" ca="1" si="254"/>
        <v>0</v>
      </c>
      <c r="AG1229">
        <f t="shared" ca="1" si="249"/>
        <v>0</v>
      </c>
      <c r="AH1229">
        <f t="shared" ca="1" si="255"/>
        <v>0</v>
      </c>
      <c r="AI1229">
        <f t="shared" ca="1" si="256"/>
        <v>0</v>
      </c>
      <c r="AJ1229">
        <f t="shared" ca="1" si="257"/>
        <v>0</v>
      </c>
      <c r="AK1229">
        <f t="shared" ca="1" si="258"/>
        <v>0</v>
      </c>
      <c r="AL1229">
        <f t="shared" ca="1" si="259"/>
        <v>0</v>
      </c>
    </row>
    <row r="1230" spans="1:38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#N/A, OFFSET(data!$A$1, ROW()-1, AA$1-1))</f>
        <v>0</v>
      </c>
      <c r="AB1230">
        <f t="shared" ca="1" si="250"/>
        <v>0</v>
      </c>
      <c r="AC1230" t="e">
        <f t="shared" ca="1" si="251"/>
        <v>#VALUE!</v>
      </c>
      <c r="AD1230" t="str">
        <f t="shared" ca="1" si="252"/>
        <v>0</v>
      </c>
      <c r="AE1230" t="str">
        <f t="shared" ca="1" si="253"/>
        <v/>
      </c>
      <c r="AF1230" s="6">
        <f t="shared" ca="1" si="254"/>
        <v>0</v>
      </c>
      <c r="AG1230">
        <f t="shared" ca="1" si="249"/>
        <v>0</v>
      </c>
      <c r="AH1230">
        <f t="shared" ca="1" si="255"/>
        <v>0</v>
      </c>
      <c r="AI1230">
        <f t="shared" ca="1" si="256"/>
        <v>0</v>
      </c>
      <c r="AJ1230">
        <f t="shared" ca="1" si="257"/>
        <v>0</v>
      </c>
      <c r="AK1230">
        <f t="shared" ca="1" si="258"/>
        <v>0</v>
      </c>
      <c r="AL1230">
        <f t="shared" ca="1" si="259"/>
        <v>0</v>
      </c>
    </row>
    <row r="1231" spans="1:38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#N/A, OFFSET(data!$A$1, ROW()-1, AA$1-1))</f>
        <v>0</v>
      </c>
      <c r="AB1231">
        <f t="shared" ca="1" si="250"/>
        <v>0</v>
      </c>
      <c r="AC1231" t="e">
        <f t="shared" ca="1" si="251"/>
        <v>#VALUE!</v>
      </c>
      <c r="AD1231" t="str">
        <f t="shared" ca="1" si="252"/>
        <v>0</v>
      </c>
      <c r="AE1231" t="str">
        <f t="shared" ca="1" si="253"/>
        <v/>
      </c>
      <c r="AF1231" s="6">
        <f t="shared" ca="1" si="254"/>
        <v>0</v>
      </c>
      <c r="AG1231">
        <f t="shared" ca="1" si="249"/>
        <v>0</v>
      </c>
      <c r="AH1231">
        <f t="shared" ca="1" si="255"/>
        <v>0</v>
      </c>
      <c r="AI1231">
        <f t="shared" ca="1" si="256"/>
        <v>0</v>
      </c>
      <c r="AJ1231">
        <f t="shared" ca="1" si="257"/>
        <v>0</v>
      </c>
      <c r="AK1231">
        <f t="shared" ca="1" si="258"/>
        <v>0</v>
      </c>
      <c r="AL1231">
        <f t="shared" ca="1" si="259"/>
        <v>0</v>
      </c>
    </row>
    <row r="1232" spans="1:38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#N/A, OFFSET(data!$A$1, ROW()-1, AA$1-1))</f>
        <v>0</v>
      </c>
      <c r="AB1232">
        <f t="shared" ca="1" si="250"/>
        <v>0</v>
      </c>
      <c r="AC1232" t="e">
        <f t="shared" ca="1" si="251"/>
        <v>#VALUE!</v>
      </c>
      <c r="AD1232" t="str">
        <f t="shared" ca="1" si="252"/>
        <v>0</v>
      </c>
      <c r="AE1232" t="str">
        <f t="shared" ca="1" si="253"/>
        <v/>
      </c>
      <c r="AF1232" s="6">
        <f t="shared" ca="1" si="254"/>
        <v>0</v>
      </c>
      <c r="AG1232">
        <f t="shared" ca="1" si="249"/>
        <v>0</v>
      </c>
      <c r="AH1232">
        <f t="shared" ca="1" si="255"/>
        <v>0</v>
      </c>
      <c r="AI1232">
        <f t="shared" ca="1" si="256"/>
        <v>0</v>
      </c>
      <c r="AJ1232">
        <f t="shared" ca="1" si="257"/>
        <v>0</v>
      </c>
      <c r="AK1232">
        <f t="shared" ca="1" si="258"/>
        <v>0</v>
      </c>
      <c r="AL1232">
        <f t="shared" ca="1" si="259"/>
        <v>0</v>
      </c>
    </row>
    <row r="1233" spans="1:38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#N/A, OFFSET(data!$A$1, ROW()-1, AA$1-1))</f>
        <v>0</v>
      </c>
      <c r="AB1233">
        <f t="shared" ca="1" si="250"/>
        <v>0</v>
      </c>
      <c r="AC1233" t="e">
        <f t="shared" ca="1" si="251"/>
        <v>#VALUE!</v>
      </c>
      <c r="AD1233" t="str">
        <f t="shared" ca="1" si="252"/>
        <v>0</v>
      </c>
      <c r="AE1233" t="str">
        <f t="shared" ca="1" si="253"/>
        <v/>
      </c>
      <c r="AF1233" s="6">
        <f t="shared" ca="1" si="254"/>
        <v>0</v>
      </c>
      <c r="AG1233">
        <f t="shared" ca="1" si="249"/>
        <v>0</v>
      </c>
      <c r="AH1233">
        <f t="shared" ca="1" si="255"/>
        <v>0</v>
      </c>
      <c r="AI1233">
        <f t="shared" ca="1" si="256"/>
        <v>0</v>
      </c>
      <c r="AJ1233">
        <f t="shared" ca="1" si="257"/>
        <v>0</v>
      </c>
      <c r="AK1233">
        <f t="shared" ca="1" si="258"/>
        <v>0</v>
      </c>
      <c r="AL1233">
        <f t="shared" ca="1" si="259"/>
        <v>0</v>
      </c>
    </row>
    <row r="1234" spans="1:38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#N/A, OFFSET(data!$A$1, ROW()-1, AA$1-1))</f>
        <v>0</v>
      </c>
      <c r="AB1234">
        <f t="shared" ca="1" si="250"/>
        <v>0</v>
      </c>
      <c r="AC1234" t="e">
        <f t="shared" ca="1" si="251"/>
        <v>#VALUE!</v>
      </c>
      <c r="AD1234" t="str">
        <f t="shared" ca="1" si="252"/>
        <v>0</v>
      </c>
      <c r="AE1234" t="str">
        <f t="shared" ca="1" si="253"/>
        <v/>
      </c>
      <c r="AF1234" s="6">
        <f t="shared" ca="1" si="254"/>
        <v>0</v>
      </c>
      <c r="AG1234">
        <f t="shared" ca="1" si="249"/>
        <v>0</v>
      </c>
      <c r="AH1234">
        <f t="shared" ca="1" si="255"/>
        <v>0</v>
      </c>
      <c r="AI1234">
        <f t="shared" ca="1" si="256"/>
        <v>0</v>
      </c>
      <c r="AJ1234">
        <f t="shared" ca="1" si="257"/>
        <v>0</v>
      </c>
      <c r="AK1234">
        <f t="shared" ca="1" si="258"/>
        <v>0</v>
      </c>
      <c r="AL1234">
        <f t="shared" ca="1" si="259"/>
        <v>0</v>
      </c>
    </row>
    <row r="1235" spans="1:38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#N/A, OFFSET(data!$A$1, ROW()-1, AA$1-1))</f>
        <v>0</v>
      </c>
      <c r="AB1235">
        <f t="shared" ca="1" si="250"/>
        <v>0</v>
      </c>
      <c r="AC1235" t="e">
        <f t="shared" ca="1" si="251"/>
        <v>#VALUE!</v>
      </c>
      <c r="AD1235" t="str">
        <f t="shared" ca="1" si="252"/>
        <v>0</v>
      </c>
      <c r="AE1235" t="str">
        <f t="shared" ca="1" si="253"/>
        <v/>
      </c>
      <c r="AF1235" s="6">
        <f t="shared" ca="1" si="254"/>
        <v>0</v>
      </c>
      <c r="AG1235">
        <f t="shared" ca="1" si="249"/>
        <v>0</v>
      </c>
      <c r="AH1235">
        <f t="shared" ca="1" si="255"/>
        <v>0</v>
      </c>
      <c r="AI1235">
        <f t="shared" ca="1" si="256"/>
        <v>0</v>
      </c>
      <c r="AJ1235">
        <f t="shared" ca="1" si="257"/>
        <v>0</v>
      </c>
      <c r="AK1235">
        <f t="shared" ca="1" si="258"/>
        <v>0</v>
      </c>
      <c r="AL1235">
        <f t="shared" ca="1" si="259"/>
        <v>0</v>
      </c>
    </row>
    <row r="1236" spans="1:38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#N/A, OFFSET(data!$A$1, ROW()-1, AA$1-1))</f>
        <v>0</v>
      </c>
      <c r="AB1236">
        <f t="shared" ca="1" si="250"/>
        <v>0</v>
      </c>
      <c r="AC1236" t="e">
        <f t="shared" ca="1" si="251"/>
        <v>#VALUE!</v>
      </c>
      <c r="AD1236" t="str">
        <f t="shared" ca="1" si="252"/>
        <v>0</v>
      </c>
      <c r="AE1236" t="str">
        <f t="shared" ca="1" si="253"/>
        <v/>
      </c>
      <c r="AF1236" s="6">
        <f t="shared" ca="1" si="254"/>
        <v>0</v>
      </c>
      <c r="AG1236">
        <f t="shared" ca="1" si="249"/>
        <v>0</v>
      </c>
      <c r="AH1236">
        <f t="shared" ca="1" si="255"/>
        <v>0</v>
      </c>
      <c r="AI1236">
        <f t="shared" ca="1" si="256"/>
        <v>0</v>
      </c>
      <c r="AJ1236">
        <f t="shared" ca="1" si="257"/>
        <v>0</v>
      </c>
      <c r="AK1236">
        <f t="shared" ca="1" si="258"/>
        <v>0</v>
      </c>
      <c r="AL1236">
        <f t="shared" ca="1" si="259"/>
        <v>0</v>
      </c>
    </row>
    <row r="1237" spans="1:38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#N/A, OFFSET(data!$A$1, ROW()-1, AA$1-1))</f>
        <v>0</v>
      </c>
      <c r="AB1237">
        <f t="shared" ca="1" si="250"/>
        <v>0</v>
      </c>
      <c r="AC1237" t="e">
        <f t="shared" ca="1" si="251"/>
        <v>#VALUE!</v>
      </c>
      <c r="AD1237" t="str">
        <f t="shared" ca="1" si="252"/>
        <v>0</v>
      </c>
      <c r="AE1237" t="str">
        <f t="shared" ca="1" si="253"/>
        <v/>
      </c>
      <c r="AF1237" s="6">
        <f t="shared" ca="1" si="254"/>
        <v>0</v>
      </c>
      <c r="AG1237">
        <f t="shared" ca="1" si="249"/>
        <v>0</v>
      </c>
      <c r="AH1237">
        <f t="shared" ca="1" si="255"/>
        <v>0</v>
      </c>
      <c r="AI1237">
        <f t="shared" ca="1" si="256"/>
        <v>0</v>
      </c>
      <c r="AJ1237">
        <f t="shared" ca="1" si="257"/>
        <v>0</v>
      </c>
      <c r="AK1237">
        <f t="shared" ca="1" si="258"/>
        <v>0</v>
      </c>
      <c r="AL1237">
        <f t="shared" ca="1" si="259"/>
        <v>0</v>
      </c>
    </row>
    <row r="1238" spans="1:38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#N/A, OFFSET(data!$A$1, ROW()-1, AA$1-1))</f>
        <v>0</v>
      </c>
      <c r="AB1238">
        <f t="shared" ca="1" si="250"/>
        <v>0</v>
      </c>
      <c r="AC1238" t="e">
        <f t="shared" ca="1" si="251"/>
        <v>#VALUE!</v>
      </c>
      <c r="AD1238" t="str">
        <f t="shared" ca="1" si="252"/>
        <v>0</v>
      </c>
      <c r="AE1238" t="str">
        <f t="shared" ca="1" si="253"/>
        <v/>
      </c>
      <c r="AF1238" s="6">
        <f t="shared" ca="1" si="254"/>
        <v>0</v>
      </c>
      <c r="AG1238">
        <f t="shared" ca="1" si="249"/>
        <v>0</v>
      </c>
      <c r="AH1238">
        <f t="shared" ca="1" si="255"/>
        <v>0</v>
      </c>
      <c r="AI1238">
        <f t="shared" ca="1" si="256"/>
        <v>0</v>
      </c>
      <c r="AJ1238">
        <f t="shared" ca="1" si="257"/>
        <v>0</v>
      </c>
      <c r="AK1238">
        <f t="shared" ca="1" si="258"/>
        <v>0</v>
      </c>
      <c r="AL1238">
        <f t="shared" ca="1" si="259"/>
        <v>0</v>
      </c>
    </row>
    <row r="1239" spans="1:38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#N/A, OFFSET(data!$A$1, ROW()-1, AA$1-1))</f>
        <v>0</v>
      </c>
      <c r="AB1239">
        <f t="shared" ca="1" si="250"/>
        <v>0</v>
      </c>
      <c r="AC1239" t="e">
        <f t="shared" ca="1" si="251"/>
        <v>#VALUE!</v>
      </c>
      <c r="AD1239" t="str">
        <f t="shared" ca="1" si="252"/>
        <v>0</v>
      </c>
      <c r="AE1239" t="str">
        <f t="shared" ca="1" si="253"/>
        <v/>
      </c>
      <c r="AF1239" s="6">
        <f t="shared" ca="1" si="254"/>
        <v>0</v>
      </c>
      <c r="AG1239">
        <f t="shared" ca="1" si="249"/>
        <v>0</v>
      </c>
      <c r="AH1239">
        <f t="shared" ca="1" si="255"/>
        <v>0</v>
      </c>
      <c r="AI1239">
        <f t="shared" ca="1" si="256"/>
        <v>0</v>
      </c>
      <c r="AJ1239">
        <f t="shared" ca="1" si="257"/>
        <v>0</v>
      </c>
      <c r="AK1239">
        <f t="shared" ca="1" si="258"/>
        <v>0</v>
      </c>
      <c r="AL1239">
        <f t="shared" ca="1" si="259"/>
        <v>0</v>
      </c>
    </row>
    <row r="1240" spans="1:38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#N/A, OFFSET(data!$A$1, ROW()-1, AA$1-1))</f>
        <v>0</v>
      </c>
      <c r="AB1240">
        <f t="shared" ca="1" si="250"/>
        <v>0</v>
      </c>
      <c r="AC1240" t="e">
        <f t="shared" ca="1" si="251"/>
        <v>#VALUE!</v>
      </c>
      <c r="AD1240" t="str">
        <f t="shared" ca="1" si="252"/>
        <v>0</v>
      </c>
      <c r="AE1240" t="str">
        <f t="shared" ca="1" si="253"/>
        <v/>
      </c>
      <c r="AF1240" s="6">
        <f t="shared" ca="1" si="254"/>
        <v>0</v>
      </c>
      <c r="AG1240">
        <f t="shared" ca="1" si="249"/>
        <v>0</v>
      </c>
      <c r="AH1240">
        <f t="shared" ca="1" si="255"/>
        <v>0</v>
      </c>
      <c r="AI1240">
        <f t="shared" ca="1" si="256"/>
        <v>0</v>
      </c>
      <c r="AJ1240">
        <f t="shared" ca="1" si="257"/>
        <v>0</v>
      </c>
      <c r="AK1240">
        <f t="shared" ca="1" si="258"/>
        <v>0</v>
      </c>
      <c r="AL1240">
        <f t="shared" ca="1" si="259"/>
        <v>0</v>
      </c>
    </row>
    <row r="1241" spans="1:38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#N/A, OFFSET(data!$A$1, ROW()-1, AA$1-1))</f>
        <v>0</v>
      </c>
      <c r="AB1241">
        <f t="shared" ca="1" si="250"/>
        <v>0</v>
      </c>
      <c r="AC1241" t="e">
        <f t="shared" ca="1" si="251"/>
        <v>#VALUE!</v>
      </c>
      <c r="AD1241" t="str">
        <f t="shared" ca="1" si="252"/>
        <v>0</v>
      </c>
      <c r="AE1241" t="str">
        <f t="shared" ca="1" si="253"/>
        <v/>
      </c>
      <c r="AF1241" s="6">
        <f t="shared" ca="1" si="254"/>
        <v>0</v>
      </c>
      <c r="AG1241">
        <f t="shared" ca="1" si="249"/>
        <v>0</v>
      </c>
      <c r="AH1241">
        <f t="shared" ca="1" si="255"/>
        <v>0</v>
      </c>
      <c r="AI1241">
        <f t="shared" ca="1" si="256"/>
        <v>0</v>
      </c>
      <c r="AJ1241">
        <f t="shared" ca="1" si="257"/>
        <v>0</v>
      </c>
      <c r="AK1241">
        <f t="shared" ca="1" si="258"/>
        <v>0</v>
      </c>
      <c r="AL1241">
        <f t="shared" ca="1" si="259"/>
        <v>0</v>
      </c>
    </row>
    <row r="1242" spans="1:38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#N/A, OFFSET(data!$A$1, ROW()-1, AA$1-1))</f>
        <v>0</v>
      </c>
      <c r="AB1242">
        <f t="shared" ca="1" si="250"/>
        <v>0</v>
      </c>
      <c r="AC1242" t="e">
        <f t="shared" ca="1" si="251"/>
        <v>#VALUE!</v>
      </c>
      <c r="AD1242" t="str">
        <f t="shared" ca="1" si="252"/>
        <v>0</v>
      </c>
      <c r="AE1242" t="str">
        <f t="shared" ca="1" si="253"/>
        <v/>
      </c>
      <c r="AF1242" s="6">
        <f t="shared" ca="1" si="254"/>
        <v>0</v>
      </c>
      <c r="AG1242">
        <f t="shared" ca="1" si="249"/>
        <v>0</v>
      </c>
      <c r="AH1242">
        <f t="shared" ca="1" si="255"/>
        <v>0</v>
      </c>
      <c r="AI1242">
        <f t="shared" ca="1" si="256"/>
        <v>0</v>
      </c>
      <c r="AJ1242">
        <f t="shared" ca="1" si="257"/>
        <v>0</v>
      </c>
      <c r="AK1242">
        <f t="shared" ca="1" si="258"/>
        <v>0</v>
      </c>
      <c r="AL1242">
        <f t="shared" ca="1" si="259"/>
        <v>0</v>
      </c>
    </row>
    <row r="1243" spans="1:38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#N/A, OFFSET(data!$A$1, ROW()-1, AA$1-1))</f>
        <v>0</v>
      </c>
      <c r="AB1243">
        <f t="shared" ca="1" si="250"/>
        <v>0</v>
      </c>
      <c r="AC1243" t="e">
        <f t="shared" ca="1" si="251"/>
        <v>#VALUE!</v>
      </c>
      <c r="AD1243" t="str">
        <f t="shared" ca="1" si="252"/>
        <v>0</v>
      </c>
      <c r="AE1243" t="str">
        <f t="shared" ca="1" si="253"/>
        <v/>
      </c>
      <c r="AF1243" s="6">
        <f t="shared" ca="1" si="254"/>
        <v>0</v>
      </c>
      <c r="AG1243">
        <f t="shared" ca="1" si="249"/>
        <v>0</v>
      </c>
      <c r="AH1243">
        <f t="shared" ca="1" si="255"/>
        <v>0</v>
      </c>
      <c r="AI1243">
        <f t="shared" ca="1" si="256"/>
        <v>0</v>
      </c>
      <c r="AJ1243">
        <f t="shared" ca="1" si="257"/>
        <v>0</v>
      </c>
      <c r="AK1243">
        <f t="shared" ca="1" si="258"/>
        <v>0</v>
      </c>
      <c r="AL1243">
        <f t="shared" ca="1" si="259"/>
        <v>0</v>
      </c>
    </row>
    <row r="1244" spans="1:38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#N/A, OFFSET(data!$A$1, ROW()-1, AA$1-1))</f>
        <v>0</v>
      </c>
      <c r="AB1244">
        <f t="shared" ca="1" si="250"/>
        <v>0</v>
      </c>
      <c r="AC1244" t="e">
        <f t="shared" ca="1" si="251"/>
        <v>#VALUE!</v>
      </c>
      <c r="AD1244" t="str">
        <f t="shared" ca="1" si="252"/>
        <v>0</v>
      </c>
      <c r="AE1244" t="str">
        <f t="shared" ca="1" si="253"/>
        <v/>
      </c>
      <c r="AF1244" s="6">
        <f t="shared" ca="1" si="254"/>
        <v>0</v>
      </c>
      <c r="AG1244">
        <f t="shared" ca="1" si="249"/>
        <v>0</v>
      </c>
      <c r="AH1244">
        <f t="shared" ca="1" si="255"/>
        <v>0</v>
      </c>
      <c r="AI1244">
        <f t="shared" ca="1" si="256"/>
        <v>0</v>
      </c>
      <c r="AJ1244">
        <f t="shared" ca="1" si="257"/>
        <v>0</v>
      </c>
      <c r="AK1244">
        <f t="shared" ca="1" si="258"/>
        <v>0</v>
      </c>
      <c r="AL1244">
        <f t="shared" ca="1" si="259"/>
        <v>0</v>
      </c>
    </row>
    <row r="1245" spans="1:38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#N/A, OFFSET(data!$A$1, ROW()-1, AA$1-1))</f>
        <v>0</v>
      </c>
      <c r="AB1245">
        <f t="shared" ca="1" si="250"/>
        <v>0</v>
      </c>
      <c r="AC1245" t="e">
        <f t="shared" ca="1" si="251"/>
        <v>#VALUE!</v>
      </c>
      <c r="AD1245" t="str">
        <f t="shared" ca="1" si="252"/>
        <v>0</v>
      </c>
      <c r="AE1245" t="str">
        <f t="shared" ca="1" si="253"/>
        <v/>
      </c>
      <c r="AF1245" s="6">
        <f t="shared" ca="1" si="254"/>
        <v>0</v>
      </c>
      <c r="AG1245">
        <f t="shared" ca="1" si="249"/>
        <v>0</v>
      </c>
      <c r="AH1245">
        <f t="shared" ca="1" si="255"/>
        <v>0</v>
      </c>
      <c r="AI1245">
        <f t="shared" ca="1" si="256"/>
        <v>0</v>
      </c>
      <c r="AJ1245">
        <f t="shared" ca="1" si="257"/>
        <v>0</v>
      </c>
      <c r="AK1245">
        <f t="shared" ca="1" si="258"/>
        <v>0</v>
      </c>
      <c r="AL1245">
        <f t="shared" ca="1" si="259"/>
        <v>0</v>
      </c>
    </row>
    <row r="1246" spans="1:38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#N/A, OFFSET(data!$A$1, ROW()-1, AA$1-1))</f>
        <v>0</v>
      </c>
      <c r="AB1246">
        <f t="shared" ca="1" si="250"/>
        <v>0</v>
      </c>
      <c r="AC1246" t="e">
        <f t="shared" ca="1" si="251"/>
        <v>#VALUE!</v>
      </c>
      <c r="AD1246" t="str">
        <f t="shared" ca="1" si="252"/>
        <v>0</v>
      </c>
      <c r="AE1246" t="str">
        <f t="shared" ca="1" si="253"/>
        <v/>
      </c>
      <c r="AF1246" s="6">
        <f t="shared" ca="1" si="254"/>
        <v>0</v>
      </c>
      <c r="AG1246">
        <f t="shared" ca="1" si="249"/>
        <v>0</v>
      </c>
      <c r="AH1246">
        <f t="shared" ca="1" si="255"/>
        <v>0</v>
      </c>
      <c r="AI1246">
        <f t="shared" ca="1" si="256"/>
        <v>0</v>
      </c>
      <c r="AJ1246">
        <f t="shared" ca="1" si="257"/>
        <v>0</v>
      </c>
      <c r="AK1246">
        <f t="shared" ca="1" si="258"/>
        <v>0</v>
      </c>
      <c r="AL1246">
        <f t="shared" ca="1" si="259"/>
        <v>0</v>
      </c>
    </row>
    <row r="1247" spans="1:38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#N/A, OFFSET(data!$A$1, ROW()-1, AA$1-1))</f>
        <v>0</v>
      </c>
      <c r="AB1247">
        <f t="shared" ca="1" si="250"/>
        <v>0</v>
      </c>
      <c r="AC1247" t="e">
        <f t="shared" ca="1" si="251"/>
        <v>#VALUE!</v>
      </c>
      <c r="AD1247" t="str">
        <f t="shared" ca="1" si="252"/>
        <v>0</v>
      </c>
      <c r="AE1247" t="str">
        <f t="shared" ca="1" si="253"/>
        <v/>
      </c>
      <c r="AF1247" s="6">
        <f t="shared" ca="1" si="254"/>
        <v>0</v>
      </c>
      <c r="AG1247">
        <f t="shared" ca="1" si="249"/>
        <v>0</v>
      </c>
      <c r="AH1247">
        <f t="shared" ca="1" si="255"/>
        <v>0</v>
      </c>
      <c r="AI1247">
        <f t="shared" ca="1" si="256"/>
        <v>0</v>
      </c>
      <c r="AJ1247">
        <f t="shared" ca="1" si="257"/>
        <v>0</v>
      </c>
      <c r="AK1247">
        <f t="shared" ca="1" si="258"/>
        <v>0</v>
      </c>
      <c r="AL1247">
        <f t="shared" ca="1" si="259"/>
        <v>0</v>
      </c>
    </row>
    <row r="1248" spans="1:38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#N/A, OFFSET(data!$A$1, ROW()-1, AA$1-1))</f>
        <v>0</v>
      </c>
      <c r="AB1248">
        <f t="shared" ca="1" si="250"/>
        <v>0</v>
      </c>
      <c r="AC1248" t="e">
        <f t="shared" ca="1" si="251"/>
        <v>#VALUE!</v>
      </c>
      <c r="AD1248" t="str">
        <f t="shared" ca="1" si="252"/>
        <v>0</v>
      </c>
      <c r="AE1248" t="str">
        <f t="shared" ca="1" si="253"/>
        <v/>
      </c>
      <c r="AF1248" s="6">
        <f t="shared" ca="1" si="254"/>
        <v>0</v>
      </c>
      <c r="AG1248">
        <f t="shared" ca="1" si="249"/>
        <v>0</v>
      </c>
      <c r="AH1248">
        <f t="shared" ca="1" si="255"/>
        <v>0</v>
      </c>
      <c r="AI1248">
        <f t="shared" ca="1" si="256"/>
        <v>0</v>
      </c>
      <c r="AJ1248">
        <f t="shared" ca="1" si="257"/>
        <v>0</v>
      </c>
      <c r="AK1248">
        <f t="shared" ca="1" si="258"/>
        <v>0</v>
      </c>
      <c r="AL1248">
        <f t="shared" ca="1" si="259"/>
        <v>0</v>
      </c>
    </row>
    <row r="1249" spans="1:38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#N/A, OFFSET(data!$A$1, ROW()-1, AA$1-1))</f>
        <v>0</v>
      </c>
      <c r="AB1249">
        <f t="shared" ca="1" si="250"/>
        <v>0</v>
      </c>
      <c r="AC1249" t="e">
        <f t="shared" ca="1" si="251"/>
        <v>#VALUE!</v>
      </c>
      <c r="AD1249" t="str">
        <f t="shared" ca="1" si="252"/>
        <v>0</v>
      </c>
      <c r="AE1249" t="str">
        <f t="shared" ca="1" si="253"/>
        <v/>
      </c>
      <c r="AF1249" s="6">
        <f t="shared" ca="1" si="254"/>
        <v>0</v>
      </c>
      <c r="AG1249">
        <f t="shared" ca="1" si="249"/>
        <v>0</v>
      </c>
      <c r="AH1249">
        <f t="shared" ca="1" si="255"/>
        <v>0</v>
      </c>
      <c r="AI1249">
        <f t="shared" ca="1" si="256"/>
        <v>0</v>
      </c>
      <c r="AJ1249">
        <f t="shared" ca="1" si="257"/>
        <v>0</v>
      </c>
      <c r="AK1249">
        <f t="shared" ca="1" si="258"/>
        <v>0</v>
      </c>
      <c r="AL1249">
        <f t="shared" ca="1" si="259"/>
        <v>0</v>
      </c>
    </row>
    <row r="1250" spans="1:38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#N/A, OFFSET(data!$A$1, ROW()-1, AA$1-1))</f>
        <v>0</v>
      </c>
      <c r="AB1250">
        <f t="shared" ca="1" si="250"/>
        <v>0</v>
      </c>
      <c r="AC1250" t="e">
        <f t="shared" ca="1" si="251"/>
        <v>#VALUE!</v>
      </c>
      <c r="AD1250" t="str">
        <f t="shared" ca="1" si="252"/>
        <v>0</v>
      </c>
      <c r="AE1250" t="str">
        <f t="shared" ca="1" si="253"/>
        <v/>
      </c>
      <c r="AF1250" s="6">
        <f t="shared" ca="1" si="254"/>
        <v>0</v>
      </c>
      <c r="AG1250">
        <f t="shared" ca="1" si="249"/>
        <v>0</v>
      </c>
      <c r="AH1250">
        <f t="shared" ca="1" si="255"/>
        <v>0</v>
      </c>
      <c r="AI1250">
        <f t="shared" ca="1" si="256"/>
        <v>0</v>
      </c>
      <c r="AJ1250">
        <f t="shared" ca="1" si="257"/>
        <v>0</v>
      </c>
      <c r="AK1250">
        <f t="shared" ca="1" si="258"/>
        <v>0</v>
      </c>
      <c r="AL1250">
        <f t="shared" ca="1" si="259"/>
        <v>0</v>
      </c>
    </row>
    <row r="1251" spans="1:38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#N/A, OFFSET(data!$A$1, ROW()-1, AA$1-1))</f>
        <v>0</v>
      </c>
      <c r="AB1251">
        <f t="shared" ca="1" si="250"/>
        <v>0</v>
      </c>
      <c r="AC1251" t="e">
        <f t="shared" ca="1" si="251"/>
        <v>#VALUE!</v>
      </c>
      <c r="AD1251" t="str">
        <f t="shared" ca="1" si="252"/>
        <v>0</v>
      </c>
      <c r="AE1251" t="str">
        <f t="shared" ca="1" si="253"/>
        <v/>
      </c>
      <c r="AF1251" s="6">
        <f t="shared" ca="1" si="254"/>
        <v>0</v>
      </c>
      <c r="AG1251">
        <f t="shared" ca="1" si="249"/>
        <v>0</v>
      </c>
      <c r="AH1251">
        <f t="shared" ca="1" si="255"/>
        <v>0</v>
      </c>
      <c r="AI1251">
        <f t="shared" ca="1" si="256"/>
        <v>0</v>
      </c>
      <c r="AJ1251">
        <f t="shared" ca="1" si="257"/>
        <v>0</v>
      </c>
      <c r="AK1251">
        <f t="shared" ca="1" si="258"/>
        <v>0</v>
      </c>
      <c r="AL1251">
        <f t="shared" ca="1" si="259"/>
        <v>0</v>
      </c>
    </row>
    <row r="1252" spans="1:38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#N/A, OFFSET(data!$A$1, ROW()-1, AA$1-1))</f>
        <v>0</v>
      </c>
      <c r="AB1252">
        <f t="shared" ca="1" si="250"/>
        <v>0</v>
      </c>
      <c r="AC1252" t="e">
        <f t="shared" ca="1" si="251"/>
        <v>#VALUE!</v>
      </c>
      <c r="AD1252" t="str">
        <f t="shared" ca="1" si="252"/>
        <v>0</v>
      </c>
      <c r="AE1252" t="str">
        <f t="shared" ca="1" si="253"/>
        <v/>
      </c>
      <c r="AF1252" s="6">
        <f t="shared" ca="1" si="254"/>
        <v>0</v>
      </c>
      <c r="AG1252">
        <f t="shared" ca="1" si="249"/>
        <v>0</v>
      </c>
      <c r="AH1252">
        <f t="shared" ca="1" si="255"/>
        <v>0</v>
      </c>
      <c r="AI1252">
        <f t="shared" ca="1" si="256"/>
        <v>0</v>
      </c>
      <c r="AJ1252">
        <f t="shared" ca="1" si="257"/>
        <v>0</v>
      </c>
      <c r="AK1252">
        <f t="shared" ca="1" si="258"/>
        <v>0</v>
      </c>
      <c r="AL1252">
        <f t="shared" ca="1" si="259"/>
        <v>0</v>
      </c>
    </row>
    <row r="1253" spans="1:38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#N/A, OFFSET(data!$A$1, ROW()-1, AA$1-1))</f>
        <v>0</v>
      </c>
      <c r="AB1253">
        <f t="shared" ca="1" si="250"/>
        <v>0</v>
      </c>
      <c r="AC1253" t="e">
        <f t="shared" ca="1" si="251"/>
        <v>#VALUE!</v>
      </c>
      <c r="AD1253" t="str">
        <f t="shared" ca="1" si="252"/>
        <v>0</v>
      </c>
      <c r="AE1253" t="str">
        <f t="shared" ca="1" si="253"/>
        <v/>
      </c>
      <c r="AF1253" s="6">
        <f t="shared" ca="1" si="254"/>
        <v>0</v>
      </c>
      <c r="AG1253">
        <f t="shared" ca="1" si="249"/>
        <v>0</v>
      </c>
      <c r="AH1253">
        <f t="shared" ca="1" si="255"/>
        <v>0</v>
      </c>
      <c r="AI1253">
        <f t="shared" ca="1" si="256"/>
        <v>0</v>
      </c>
      <c r="AJ1253">
        <f t="shared" ca="1" si="257"/>
        <v>0</v>
      </c>
      <c r="AK1253">
        <f t="shared" ca="1" si="258"/>
        <v>0</v>
      </c>
      <c r="AL1253">
        <f t="shared" ca="1" si="259"/>
        <v>0</v>
      </c>
    </row>
    <row r="1254" spans="1:38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#N/A, OFFSET(data!$A$1, ROW()-1, AA$1-1))</f>
        <v>0</v>
      </c>
      <c r="AB1254">
        <f t="shared" ca="1" si="250"/>
        <v>0</v>
      </c>
      <c r="AC1254" t="e">
        <f t="shared" ca="1" si="251"/>
        <v>#VALUE!</v>
      </c>
      <c r="AD1254" t="str">
        <f t="shared" ca="1" si="252"/>
        <v>0</v>
      </c>
      <c r="AE1254" t="str">
        <f t="shared" ca="1" si="253"/>
        <v/>
      </c>
      <c r="AF1254" s="6">
        <f t="shared" ca="1" si="254"/>
        <v>0</v>
      </c>
      <c r="AG1254">
        <f t="shared" ca="1" si="249"/>
        <v>0</v>
      </c>
      <c r="AH1254">
        <f t="shared" ca="1" si="255"/>
        <v>0</v>
      </c>
      <c r="AI1254">
        <f t="shared" ca="1" si="256"/>
        <v>0</v>
      </c>
      <c r="AJ1254">
        <f t="shared" ca="1" si="257"/>
        <v>0</v>
      </c>
      <c r="AK1254">
        <f t="shared" ca="1" si="258"/>
        <v>0</v>
      </c>
      <c r="AL1254">
        <f t="shared" ca="1" si="259"/>
        <v>0</v>
      </c>
    </row>
    <row r="1255" spans="1:38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#N/A, OFFSET(data!$A$1, ROW()-1, AA$1-1))</f>
        <v>0</v>
      </c>
      <c r="AB1255">
        <f t="shared" ca="1" si="250"/>
        <v>0</v>
      </c>
      <c r="AC1255" t="e">
        <f t="shared" ca="1" si="251"/>
        <v>#VALUE!</v>
      </c>
      <c r="AD1255" t="str">
        <f t="shared" ca="1" si="252"/>
        <v>0</v>
      </c>
      <c r="AE1255" t="str">
        <f t="shared" ca="1" si="253"/>
        <v/>
      </c>
      <c r="AF1255" s="6">
        <f t="shared" ca="1" si="254"/>
        <v>0</v>
      </c>
      <c r="AG1255">
        <f t="shared" ca="1" si="249"/>
        <v>0</v>
      </c>
      <c r="AH1255">
        <f t="shared" ca="1" si="255"/>
        <v>0</v>
      </c>
      <c r="AI1255">
        <f t="shared" ca="1" si="256"/>
        <v>0</v>
      </c>
      <c r="AJ1255">
        <f t="shared" ca="1" si="257"/>
        <v>0</v>
      </c>
      <c r="AK1255">
        <f t="shared" ca="1" si="258"/>
        <v>0</v>
      </c>
      <c r="AL1255">
        <f t="shared" ca="1" si="259"/>
        <v>0</v>
      </c>
    </row>
    <row r="1256" spans="1:38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#N/A, OFFSET(data!$A$1, ROW()-1, AA$1-1))</f>
        <v>0</v>
      </c>
      <c r="AB1256">
        <f t="shared" ca="1" si="250"/>
        <v>0</v>
      </c>
      <c r="AC1256" t="e">
        <f t="shared" ca="1" si="251"/>
        <v>#VALUE!</v>
      </c>
      <c r="AD1256" t="str">
        <f t="shared" ca="1" si="252"/>
        <v>0</v>
      </c>
      <c r="AE1256" t="str">
        <f t="shared" ca="1" si="253"/>
        <v/>
      </c>
      <c r="AF1256" s="6">
        <f t="shared" ca="1" si="254"/>
        <v>0</v>
      </c>
      <c r="AG1256">
        <f t="shared" ca="1" si="249"/>
        <v>0</v>
      </c>
      <c r="AH1256">
        <f t="shared" ca="1" si="255"/>
        <v>0</v>
      </c>
      <c r="AI1256">
        <f t="shared" ca="1" si="256"/>
        <v>0</v>
      </c>
      <c r="AJ1256">
        <f t="shared" ca="1" si="257"/>
        <v>0</v>
      </c>
      <c r="AK1256">
        <f t="shared" ca="1" si="258"/>
        <v>0</v>
      </c>
      <c r="AL1256">
        <f t="shared" ca="1" si="259"/>
        <v>0</v>
      </c>
    </row>
    <row r="1257" spans="1:38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#N/A, OFFSET(data!$A$1, ROW()-1, AA$1-1))</f>
        <v>0</v>
      </c>
      <c r="AB1257">
        <f t="shared" ca="1" si="250"/>
        <v>0</v>
      </c>
      <c r="AC1257" t="e">
        <f t="shared" ca="1" si="251"/>
        <v>#VALUE!</v>
      </c>
      <c r="AD1257" t="str">
        <f t="shared" ca="1" si="252"/>
        <v>0</v>
      </c>
      <c r="AE1257" t="str">
        <f t="shared" ca="1" si="253"/>
        <v/>
      </c>
      <c r="AF1257" s="6">
        <f t="shared" ca="1" si="254"/>
        <v>0</v>
      </c>
      <c r="AG1257">
        <f t="shared" ca="1" si="249"/>
        <v>0</v>
      </c>
      <c r="AH1257">
        <f t="shared" ca="1" si="255"/>
        <v>0</v>
      </c>
      <c r="AI1257">
        <f t="shared" ca="1" si="256"/>
        <v>0</v>
      </c>
      <c r="AJ1257">
        <f t="shared" ca="1" si="257"/>
        <v>0</v>
      </c>
      <c r="AK1257">
        <f t="shared" ca="1" si="258"/>
        <v>0</v>
      </c>
      <c r="AL1257">
        <f t="shared" ca="1" si="259"/>
        <v>0</v>
      </c>
    </row>
    <row r="1258" spans="1:38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#N/A, OFFSET(data!$A$1, ROW()-1, AA$1-1))</f>
        <v>0</v>
      </c>
      <c r="AB1258">
        <f t="shared" ca="1" si="250"/>
        <v>0</v>
      </c>
      <c r="AC1258" t="e">
        <f t="shared" ca="1" si="251"/>
        <v>#VALUE!</v>
      </c>
      <c r="AD1258" t="str">
        <f t="shared" ca="1" si="252"/>
        <v>0</v>
      </c>
      <c r="AE1258" t="str">
        <f t="shared" ca="1" si="253"/>
        <v/>
      </c>
      <c r="AF1258" s="6">
        <f t="shared" ca="1" si="254"/>
        <v>0</v>
      </c>
      <c r="AG1258">
        <f t="shared" ca="1" si="249"/>
        <v>0</v>
      </c>
      <c r="AH1258">
        <f t="shared" ca="1" si="255"/>
        <v>0</v>
      </c>
      <c r="AI1258">
        <f t="shared" ca="1" si="256"/>
        <v>0</v>
      </c>
      <c r="AJ1258">
        <f t="shared" ca="1" si="257"/>
        <v>0</v>
      </c>
      <c r="AK1258">
        <f t="shared" ca="1" si="258"/>
        <v>0</v>
      </c>
      <c r="AL1258">
        <f t="shared" ca="1" si="259"/>
        <v>0</v>
      </c>
    </row>
    <row r="1259" spans="1:38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#N/A, OFFSET(data!$A$1, ROW()-1, AA$1-1))</f>
        <v>0</v>
      </c>
      <c r="AB1259">
        <f t="shared" ca="1" si="250"/>
        <v>0</v>
      </c>
      <c r="AC1259" t="e">
        <f t="shared" ca="1" si="251"/>
        <v>#VALUE!</v>
      </c>
      <c r="AD1259" t="str">
        <f t="shared" ca="1" si="252"/>
        <v>0</v>
      </c>
      <c r="AE1259" t="str">
        <f t="shared" ca="1" si="253"/>
        <v/>
      </c>
      <c r="AF1259" s="6">
        <f t="shared" ca="1" si="254"/>
        <v>0</v>
      </c>
      <c r="AG1259">
        <f t="shared" ca="1" si="249"/>
        <v>0</v>
      </c>
      <c r="AH1259">
        <f t="shared" ca="1" si="255"/>
        <v>0</v>
      </c>
      <c r="AI1259">
        <f t="shared" ca="1" si="256"/>
        <v>0</v>
      </c>
      <c r="AJ1259">
        <f t="shared" ca="1" si="257"/>
        <v>0</v>
      </c>
      <c r="AK1259">
        <f t="shared" ca="1" si="258"/>
        <v>0</v>
      </c>
      <c r="AL1259">
        <f t="shared" ca="1" si="259"/>
        <v>0</v>
      </c>
    </row>
    <row r="1260" spans="1:38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#N/A, OFFSET(data!$A$1, ROW()-1, AA$1-1))</f>
        <v>0</v>
      </c>
      <c r="AB1260">
        <f t="shared" ca="1" si="250"/>
        <v>0</v>
      </c>
      <c r="AC1260" t="e">
        <f t="shared" ca="1" si="251"/>
        <v>#VALUE!</v>
      </c>
      <c r="AD1260" t="str">
        <f t="shared" ca="1" si="252"/>
        <v>0</v>
      </c>
      <c r="AE1260" t="str">
        <f t="shared" ca="1" si="253"/>
        <v/>
      </c>
      <c r="AF1260" s="6">
        <f t="shared" ca="1" si="254"/>
        <v>0</v>
      </c>
      <c r="AG1260">
        <f t="shared" ca="1" si="249"/>
        <v>0</v>
      </c>
      <c r="AH1260">
        <f t="shared" ca="1" si="255"/>
        <v>0</v>
      </c>
      <c r="AI1260">
        <f t="shared" ca="1" si="256"/>
        <v>0</v>
      </c>
      <c r="AJ1260">
        <f t="shared" ca="1" si="257"/>
        <v>0</v>
      </c>
      <c r="AK1260">
        <f t="shared" ca="1" si="258"/>
        <v>0</v>
      </c>
      <c r="AL1260">
        <f t="shared" ca="1" si="259"/>
        <v>0</v>
      </c>
    </row>
    <row r="1261" spans="1:38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#N/A, OFFSET(data!$A$1, ROW()-1, AA$1-1))</f>
        <v>0</v>
      </c>
      <c r="AB1261">
        <f t="shared" ca="1" si="250"/>
        <v>0</v>
      </c>
      <c r="AC1261" t="e">
        <f t="shared" ca="1" si="251"/>
        <v>#VALUE!</v>
      </c>
      <c r="AD1261" t="str">
        <f t="shared" ca="1" si="252"/>
        <v>0</v>
      </c>
      <c r="AE1261" t="str">
        <f t="shared" ca="1" si="253"/>
        <v/>
      </c>
      <c r="AF1261" s="6">
        <f t="shared" ca="1" si="254"/>
        <v>0</v>
      </c>
      <c r="AG1261">
        <f t="shared" ca="1" si="249"/>
        <v>0</v>
      </c>
      <c r="AH1261">
        <f t="shared" ca="1" si="255"/>
        <v>0</v>
      </c>
      <c r="AI1261">
        <f t="shared" ca="1" si="256"/>
        <v>0</v>
      </c>
      <c r="AJ1261">
        <f t="shared" ca="1" si="257"/>
        <v>0</v>
      </c>
      <c r="AK1261">
        <f t="shared" ca="1" si="258"/>
        <v>0</v>
      </c>
      <c r="AL1261">
        <f t="shared" ca="1" si="259"/>
        <v>0</v>
      </c>
    </row>
    <row r="1262" spans="1:38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#N/A, OFFSET(data!$A$1, ROW()-1, AA$1-1))</f>
        <v>0</v>
      </c>
      <c r="AB1262">
        <f t="shared" ca="1" si="250"/>
        <v>0</v>
      </c>
      <c r="AC1262" t="e">
        <f t="shared" ca="1" si="251"/>
        <v>#VALUE!</v>
      </c>
      <c r="AD1262" t="str">
        <f t="shared" ca="1" si="252"/>
        <v>0</v>
      </c>
      <c r="AE1262" t="str">
        <f t="shared" ca="1" si="253"/>
        <v/>
      </c>
      <c r="AF1262" s="6">
        <f t="shared" ca="1" si="254"/>
        <v>0</v>
      </c>
      <c r="AG1262">
        <f t="shared" ca="1" si="249"/>
        <v>0</v>
      </c>
      <c r="AH1262">
        <f t="shared" ca="1" si="255"/>
        <v>0</v>
      </c>
      <c r="AI1262">
        <f t="shared" ca="1" si="256"/>
        <v>0</v>
      </c>
      <c r="AJ1262">
        <f t="shared" ca="1" si="257"/>
        <v>0</v>
      </c>
      <c r="AK1262">
        <f t="shared" ca="1" si="258"/>
        <v>0</v>
      </c>
      <c r="AL1262">
        <f t="shared" ca="1" si="259"/>
        <v>0</v>
      </c>
    </row>
    <row r="1263" spans="1:38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#N/A, OFFSET(data!$A$1, ROW()-1, AA$1-1))</f>
        <v>0</v>
      </c>
      <c r="AB1263">
        <f t="shared" ca="1" si="250"/>
        <v>0</v>
      </c>
      <c r="AC1263" t="e">
        <f t="shared" ca="1" si="251"/>
        <v>#VALUE!</v>
      </c>
      <c r="AD1263" t="str">
        <f t="shared" ca="1" si="252"/>
        <v>0</v>
      </c>
      <c r="AE1263" t="str">
        <f t="shared" ca="1" si="253"/>
        <v/>
      </c>
      <c r="AF1263" s="6">
        <f t="shared" ca="1" si="254"/>
        <v>0</v>
      </c>
      <c r="AG1263">
        <f t="shared" ca="1" si="249"/>
        <v>0</v>
      </c>
      <c r="AH1263">
        <f t="shared" ca="1" si="255"/>
        <v>0</v>
      </c>
      <c r="AI1263">
        <f t="shared" ca="1" si="256"/>
        <v>0</v>
      </c>
      <c r="AJ1263">
        <f t="shared" ca="1" si="257"/>
        <v>0</v>
      </c>
      <c r="AK1263">
        <f t="shared" ca="1" si="258"/>
        <v>0</v>
      </c>
      <c r="AL1263">
        <f t="shared" ca="1" si="259"/>
        <v>0</v>
      </c>
    </row>
    <row r="1264" spans="1:38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#N/A, OFFSET(data!$A$1, ROW()-1, AA$1-1))</f>
        <v>0</v>
      </c>
      <c r="AB1264">
        <f t="shared" ca="1" si="250"/>
        <v>0</v>
      </c>
      <c r="AC1264" t="e">
        <f t="shared" ca="1" si="251"/>
        <v>#VALUE!</v>
      </c>
      <c r="AD1264" t="str">
        <f t="shared" ca="1" si="252"/>
        <v>0</v>
      </c>
      <c r="AE1264" t="str">
        <f t="shared" ca="1" si="253"/>
        <v/>
      </c>
      <c r="AF1264" s="6">
        <f t="shared" ca="1" si="254"/>
        <v>0</v>
      </c>
      <c r="AG1264">
        <f t="shared" ca="1" si="249"/>
        <v>0</v>
      </c>
      <c r="AH1264">
        <f t="shared" ca="1" si="255"/>
        <v>0</v>
      </c>
      <c r="AI1264">
        <f t="shared" ca="1" si="256"/>
        <v>0</v>
      </c>
      <c r="AJ1264">
        <f t="shared" ca="1" si="257"/>
        <v>0</v>
      </c>
      <c r="AK1264">
        <f t="shared" ca="1" si="258"/>
        <v>0</v>
      </c>
      <c r="AL1264">
        <f t="shared" ca="1" si="259"/>
        <v>0</v>
      </c>
    </row>
    <row r="1265" spans="1:38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#N/A, OFFSET(data!$A$1, ROW()-1, AA$1-1))</f>
        <v>0</v>
      </c>
      <c r="AB1265">
        <f t="shared" ca="1" si="250"/>
        <v>0</v>
      </c>
      <c r="AC1265" t="e">
        <f t="shared" ca="1" si="251"/>
        <v>#VALUE!</v>
      </c>
      <c r="AD1265" t="str">
        <f t="shared" ca="1" si="252"/>
        <v>0</v>
      </c>
      <c r="AE1265" t="str">
        <f t="shared" ca="1" si="253"/>
        <v/>
      </c>
      <c r="AF1265" s="6">
        <f t="shared" ca="1" si="254"/>
        <v>0</v>
      </c>
      <c r="AG1265">
        <f t="shared" ca="1" si="249"/>
        <v>0</v>
      </c>
      <c r="AH1265">
        <f t="shared" ca="1" si="255"/>
        <v>0</v>
      </c>
      <c r="AI1265">
        <f t="shared" ca="1" si="256"/>
        <v>0</v>
      </c>
      <c r="AJ1265">
        <f t="shared" ca="1" si="257"/>
        <v>0</v>
      </c>
      <c r="AK1265">
        <f t="shared" ca="1" si="258"/>
        <v>0</v>
      </c>
      <c r="AL1265">
        <f t="shared" ca="1" si="259"/>
        <v>0</v>
      </c>
    </row>
    <row r="1266" spans="1:38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#N/A, OFFSET(data!$A$1, ROW()-1, AA$1-1))</f>
        <v>0</v>
      </c>
      <c r="AB1266">
        <f t="shared" ca="1" si="250"/>
        <v>0</v>
      </c>
      <c r="AC1266" t="e">
        <f t="shared" ca="1" si="251"/>
        <v>#VALUE!</v>
      </c>
      <c r="AD1266" t="str">
        <f t="shared" ca="1" si="252"/>
        <v>0</v>
      </c>
      <c r="AE1266" t="str">
        <f t="shared" ca="1" si="253"/>
        <v/>
      </c>
      <c r="AF1266" s="6">
        <f t="shared" ca="1" si="254"/>
        <v>0</v>
      </c>
      <c r="AG1266">
        <f t="shared" ca="1" si="249"/>
        <v>0</v>
      </c>
      <c r="AH1266">
        <f t="shared" ca="1" si="255"/>
        <v>0</v>
      </c>
      <c r="AI1266">
        <f t="shared" ca="1" si="256"/>
        <v>0</v>
      </c>
      <c r="AJ1266">
        <f t="shared" ca="1" si="257"/>
        <v>0</v>
      </c>
      <c r="AK1266">
        <f t="shared" ca="1" si="258"/>
        <v>0</v>
      </c>
      <c r="AL1266">
        <f t="shared" ca="1" si="259"/>
        <v>0</v>
      </c>
    </row>
    <row r="1267" spans="1:38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#N/A, OFFSET(data!$A$1, ROW()-1, AA$1-1))</f>
        <v>0</v>
      </c>
      <c r="AB1267">
        <f t="shared" ca="1" si="250"/>
        <v>0</v>
      </c>
      <c r="AC1267" t="e">
        <f t="shared" ca="1" si="251"/>
        <v>#VALUE!</v>
      </c>
      <c r="AD1267" t="str">
        <f t="shared" ca="1" si="252"/>
        <v>0</v>
      </c>
      <c r="AE1267" t="str">
        <f t="shared" ca="1" si="253"/>
        <v/>
      </c>
      <c r="AF1267" s="6">
        <f t="shared" ca="1" si="254"/>
        <v>0</v>
      </c>
      <c r="AG1267">
        <f t="shared" ca="1" si="249"/>
        <v>0</v>
      </c>
      <c r="AH1267">
        <f t="shared" ca="1" si="255"/>
        <v>0</v>
      </c>
      <c r="AI1267">
        <f t="shared" ca="1" si="256"/>
        <v>0</v>
      </c>
      <c r="AJ1267">
        <f t="shared" ca="1" si="257"/>
        <v>0</v>
      </c>
      <c r="AK1267">
        <f t="shared" ca="1" si="258"/>
        <v>0</v>
      </c>
      <c r="AL1267">
        <f t="shared" ca="1" si="259"/>
        <v>0</v>
      </c>
    </row>
    <row r="1268" spans="1:38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#N/A, OFFSET(data!$A$1, ROW()-1, AA$1-1))</f>
        <v>0</v>
      </c>
      <c r="AB1268">
        <f t="shared" ca="1" si="250"/>
        <v>0</v>
      </c>
      <c r="AC1268" t="e">
        <f t="shared" ca="1" si="251"/>
        <v>#VALUE!</v>
      </c>
      <c r="AD1268" t="str">
        <f t="shared" ca="1" si="252"/>
        <v>0</v>
      </c>
      <c r="AE1268" t="str">
        <f t="shared" ca="1" si="253"/>
        <v/>
      </c>
      <c r="AF1268" s="6">
        <f t="shared" ca="1" si="254"/>
        <v>0</v>
      </c>
      <c r="AG1268">
        <f t="shared" ref="AG1268:AG1331" ca="1" si="260">T1268+W1268</f>
        <v>0</v>
      </c>
      <c r="AH1268">
        <f t="shared" ca="1" si="255"/>
        <v>0</v>
      </c>
      <c r="AI1268">
        <f t="shared" ca="1" si="256"/>
        <v>0</v>
      </c>
      <c r="AJ1268">
        <f t="shared" ca="1" si="257"/>
        <v>0</v>
      </c>
      <c r="AK1268">
        <f t="shared" ca="1" si="258"/>
        <v>0</v>
      </c>
      <c r="AL1268">
        <f t="shared" ca="1" si="259"/>
        <v>0</v>
      </c>
    </row>
    <row r="1269" spans="1:38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#N/A, OFFSET(data!$A$1, ROW()-1, AA$1-1))</f>
        <v>0</v>
      </c>
      <c r="AB1269">
        <f t="shared" ca="1" si="250"/>
        <v>0</v>
      </c>
      <c r="AC1269" t="e">
        <f t="shared" ca="1" si="251"/>
        <v>#VALUE!</v>
      </c>
      <c r="AD1269" t="str">
        <f t="shared" ca="1" si="252"/>
        <v>0</v>
      </c>
      <c r="AE1269" t="str">
        <f t="shared" ca="1" si="253"/>
        <v/>
      </c>
      <c r="AF1269" s="6">
        <f t="shared" ca="1" si="254"/>
        <v>0</v>
      </c>
      <c r="AG1269">
        <f t="shared" ca="1" si="260"/>
        <v>0</v>
      </c>
      <c r="AH1269">
        <f t="shared" ca="1" si="255"/>
        <v>0</v>
      </c>
      <c r="AI1269">
        <f t="shared" ca="1" si="256"/>
        <v>0</v>
      </c>
      <c r="AJ1269">
        <f t="shared" ca="1" si="257"/>
        <v>0</v>
      </c>
      <c r="AK1269">
        <f t="shared" ca="1" si="258"/>
        <v>0</v>
      </c>
      <c r="AL1269">
        <f t="shared" ca="1" si="259"/>
        <v>0</v>
      </c>
    </row>
    <row r="1270" spans="1:38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#N/A, OFFSET(data!$A$1, ROW()-1, AA$1-1))</f>
        <v>0</v>
      </c>
      <c r="AB1270">
        <f t="shared" ca="1" si="250"/>
        <v>0</v>
      </c>
      <c r="AC1270" t="e">
        <f t="shared" ca="1" si="251"/>
        <v>#VALUE!</v>
      </c>
      <c r="AD1270" t="str">
        <f t="shared" ca="1" si="252"/>
        <v>0</v>
      </c>
      <c r="AE1270" t="str">
        <f t="shared" ca="1" si="253"/>
        <v/>
      </c>
      <c r="AF1270" s="6">
        <f t="shared" ca="1" si="254"/>
        <v>0</v>
      </c>
      <c r="AG1270">
        <f t="shared" ca="1" si="260"/>
        <v>0</v>
      </c>
      <c r="AH1270">
        <f t="shared" ca="1" si="255"/>
        <v>0</v>
      </c>
      <c r="AI1270">
        <f t="shared" ca="1" si="256"/>
        <v>0</v>
      </c>
      <c r="AJ1270">
        <f t="shared" ca="1" si="257"/>
        <v>0</v>
      </c>
      <c r="AK1270">
        <f t="shared" ca="1" si="258"/>
        <v>0</v>
      </c>
      <c r="AL1270">
        <f t="shared" ca="1" si="259"/>
        <v>0</v>
      </c>
    </row>
    <row r="1271" spans="1:38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#N/A, OFFSET(data!$A$1, ROW()-1, AA$1-1))</f>
        <v>0</v>
      </c>
      <c r="AB1271">
        <f t="shared" ca="1" si="250"/>
        <v>0</v>
      </c>
      <c r="AC1271" t="e">
        <f t="shared" ca="1" si="251"/>
        <v>#VALUE!</v>
      </c>
      <c r="AD1271" t="str">
        <f t="shared" ca="1" si="252"/>
        <v>0</v>
      </c>
      <c r="AE1271" t="str">
        <f t="shared" ca="1" si="253"/>
        <v/>
      </c>
      <c r="AF1271" s="6">
        <f t="shared" ca="1" si="254"/>
        <v>0</v>
      </c>
      <c r="AG1271">
        <f t="shared" ca="1" si="260"/>
        <v>0</v>
      </c>
      <c r="AH1271">
        <f t="shared" ca="1" si="255"/>
        <v>0</v>
      </c>
      <c r="AI1271">
        <f t="shared" ca="1" si="256"/>
        <v>0</v>
      </c>
      <c r="AJ1271">
        <f t="shared" ca="1" si="257"/>
        <v>0</v>
      </c>
      <c r="AK1271">
        <f t="shared" ca="1" si="258"/>
        <v>0</v>
      </c>
      <c r="AL1271">
        <f t="shared" ca="1" si="259"/>
        <v>0</v>
      </c>
    </row>
    <row r="1272" spans="1:38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#N/A, OFFSET(data!$A$1, ROW()-1, AA$1-1))</f>
        <v>0</v>
      </c>
      <c r="AB1272">
        <f t="shared" ca="1" si="250"/>
        <v>0</v>
      </c>
      <c r="AC1272" t="e">
        <f t="shared" ca="1" si="251"/>
        <v>#VALUE!</v>
      </c>
      <c r="AD1272" t="str">
        <f t="shared" ca="1" si="252"/>
        <v>0</v>
      </c>
      <c r="AE1272" t="str">
        <f t="shared" ca="1" si="253"/>
        <v/>
      </c>
      <c r="AF1272" s="6">
        <f t="shared" ca="1" si="254"/>
        <v>0</v>
      </c>
      <c r="AG1272">
        <f t="shared" ca="1" si="260"/>
        <v>0</v>
      </c>
      <c r="AH1272">
        <f t="shared" ca="1" si="255"/>
        <v>0</v>
      </c>
      <c r="AI1272">
        <f t="shared" ca="1" si="256"/>
        <v>0</v>
      </c>
      <c r="AJ1272">
        <f t="shared" ca="1" si="257"/>
        <v>0</v>
      </c>
      <c r="AK1272">
        <f t="shared" ca="1" si="258"/>
        <v>0</v>
      </c>
      <c r="AL1272">
        <f t="shared" ca="1" si="259"/>
        <v>0</v>
      </c>
    </row>
    <row r="1273" spans="1:38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#N/A, OFFSET(data!$A$1, ROW()-1, AA$1-1))</f>
        <v>0</v>
      </c>
      <c r="AB1273">
        <f t="shared" ca="1" si="250"/>
        <v>0</v>
      </c>
      <c r="AC1273" t="e">
        <f t="shared" ca="1" si="251"/>
        <v>#VALUE!</v>
      </c>
      <c r="AD1273" t="str">
        <f t="shared" ca="1" si="252"/>
        <v>0</v>
      </c>
      <c r="AE1273" t="str">
        <f t="shared" ca="1" si="253"/>
        <v/>
      </c>
      <c r="AF1273" s="6">
        <f t="shared" ca="1" si="254"/>
        <v>0</v>
      </c>
      <c r="AG1273">
        <f t="shared" ca="1" si="260"/>
        <v>0</v>
      </c>
      <c r="AH1273">
        <f t="shared" ca="1" si="255"/>
        <v>0</v>
      </c>
      <c r="AI1273">
        <f t="shared" ca="1" si="256"/>
        <v>0</v>
      </c>
      <c r="AJ1273">
        <f t="shared" ca="1" si="257"/>
        <v>0</v>
      </c>
      <c r="AK1273">
        <f t="shared" ca="1" si="258"/>
        <v>0</v>
      </c>
      <c r="AL1273">
        <f t="shared" ca="1" si="259"/>
        <v>0</v>
      </c>
    </row>
    <row r="1274" spans="1:38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#N/A, OFFSET(data!$A$1, ROW()-1, AA$1-1))</f>
        <v>0</v>
      </c>
      <c r="AB1274">
        <f t="shared" ca="1" si="250"/>
        <v>0</v>
      </c>
      <c r="AC1274" t="e">
        <f t="shared" ca="1" si="251"/>
        <v>#VALUE!</v>
      </c>
      <c r="AD1274" t="str">
        <f t="shared" ca="1" si="252"/>
        <v>0</v>
      </c>
      <c r="AE1274" t="str">
        <f t="shared" ca="1" si="253"/>
        <v/>
      </c>
      <c r="AF1274" s="6">
        <f t="shared" ca="1" si="254"/>
        <v>0</v>
      </c>
      <c r="AG1274">
        <f t="shared" ca="1" si="260"/>
        <v>0</v>
      </c>
      <c r="AH1274">
        <f t="shared" ca="1" si="255"/>
        <v>0</v>
      </c>
      <c r="AI1274">
        <f t="shared" ca="1" si="256"/>
        <v>0</v>
      </c>
      <c r="AJ1274">
        <f t="shared" ca="1" si="257"/>
        <v>0</v>
      </c>
      <c r="AK1274">
        <f t="shared" ca="1" si="258"/>
        <v>0</v>
      </c>
      <c r="AL1274">
        <f t="shared" ca="1" si="259"/>
        <v>0</v>
      </c>
    </row>
    <row r="1275" spans="1:38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#N/A, OFFSET(data!$A$1, ROW()-1, AA$1-1))</f>
        <v>0</v>
      </c>
      <c r="AB1275">
        <f t="shared" ca="1" si="250"/>
        <v>0</v>
      </c>
      <c r="AC1275" t="e">
        <f t="shared" ca="1" si="251"/>
        <v>#VALUE!</v>
      </c>
      <c r="AD1275" t="str">
        <f t="shared" ca="1" si="252"/>
        <v>0</v>
      </c>
      <c r="AE1275" t="str">
        <f t="shared" ca="1" si="253"/>
        <v/>
      </c>
      <c r="AF1275" s="6">
        <f t="shared" ca="1" si="254"/>
        <v>0</v>
      </c>
      <c r="AG1275">
        <f t="shared" ca="1" si="260"/>
        <v>0</v>
      </c>
      <c r="AH1275">
        <f t="shared" ca="1" si="255"/>
        <v>0</v>
      </c>
      <c r="AI1275">
        <f t="shared" ca="1" si="256"/>
        <v>0</v>
      </c>
      <c r="AJ1275">
        <f t="shared" ca="1" si="257"/>
        <v>0</v>
      </c>
      <c r="AK1275">
        <f t="shared" ca="1" si="258"/>
        <v>0</v>
      </c>
      <c r="AL1275">
        <f t="shared" ca="1" si="259"/>
        <v>0</v>
      </c>
    </row>
    <row r="1276" spans="1:38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#N/A, OFFSET(data!$A$1, ROW()-1, AA$1-1))</f>
        <v>0</v>
      </c>
      <c r="AB1276">
        <f t="shared" ca="1" si="250"/>
        <v>0</v>
      </c>
      <c r="AC1276" t="e">
        <f t="shared" ca="1" si="251"/>
        <v>#VALUE!</v>
      </c>
      <c r="AD1276" t="str">
        <f t="shared" ca="1" si="252"/>
        <v>0</v>
      </c>
      <c r="AE1276" t="str">
        <f t="shared" ca="1" si="253"/>
        <v/>
      </c>
      <c r="AF1276" s="6">
        <f t="shared" ca="1" si="254"/>
        <v>0</v>
      </c>
      <c r="AG1276">
        <f t="shared" ca="1" si="260"/>
        <v>0</v>
      </c>
      <c r="AH1276">
        <f t="shared" ca="1" si="255"/>
        <v>0</v>
      </c>
      <c r="AI1276">
        <f t="shared" ca="1" si="256"/>
        <v>0</v>
      </c>
      <c r="AJ1276">
        <f t="shared" ca="1" si="257"/>
        <v>0</v>
      </c>
      <c r="AK1276">
        <f t="shared" ca="1" si="258"/>
        <v>0</v>
      </c>
      <c r="AL1276">
        <f t="shared" ca="1" si="259"/>
        <v>0</v>
      </c>
    </row>
    <row r="1277" spans="1:38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#N/A, OFFSET(data!$A$1, ROW()-1, AA$1-1))</f>
        <v>0</v>
      </c>
      <c r="AB1277">
        <f t="shared" ca="1" si="250"/>
        <v>0</v>
      </c>
      <c r="AC1277" t="e">
        <f t="shared" ca="1" si="251"/>
        <v>#VALUE!</v>
      </c>
      <c r="AD1277" t="str">
        <f t="shared" ca="1" si="252"/>
        <v>0</v>
      </c>
      <c r="AE1277" t="str">
        <f t="shared" ca="1" si="253"/>
        <v/>
      </c>
      <c r="AF1277" s="6">
        <f t="shared" ca="1" si="254"/>
        <v>0</v>
      </c>
      <c r="AG1277">
        <f t="shared" ca="1" si="260"/>
        <v>0</v>
      </c>
      <c r="AH1277">
        <f t="shared" ca="1" si="255"/>
        <v>0</v>
      </c>
      <c r="AI1277">
        <f t="shared" ca="1" si="256"/>
        <v>0</v>
      </c>
      <c r="AJ1277">
        <f t="shared" ca="1" si="257"/>
        <v>0</v>
      </c>
      <c r="AK1277">
        <f t="shared" ca="1" si="258"/>
        <v>0</v>
      </c>
      <c r="AL1277">
        <f t="shared" ca="1" si="259"/>
        <v>0</v>
      </c>
    </row>
    <row r="1278" spans="1:38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#N/A, OFFSET(data!$A$1, ROW()-1, AA$1-1))</f>
        <v>0</v>
      </c>
      <c r="AB1278">
        <f t="shared" ca="1" si="250"/>
        <v>0</v>
      </c>
      <c r="AC1278" t="e">
        <f t="shared" ca="1" si="251"/>
        <v>#VALUE!</v>
      </c>
      <c r="AD1278" t="str">
        <f t="shared" ca="1" si="252"/>
        <v>0</v>
      </c>
      <c r="AE1278" t="str">
        <f t="shared" ca="1" si="253"/>
        <v/>
      </c>
      <c r="AF1278" s="6">
        <f t="shared" ca="1" si="254"/>
        <v>0</v>
      </c>
      <c r="AG1278">
        <f t="shared" ca="1" si="260"/>
        <v>0</v>
      </c>
      <c r="AH1278">
        <f t="shared" ca="1" si="255"/>
        <v>0</v>
      </c>
      <c r="AI1278">
        <f t="shared" ca="1" si="256"/>
        <v>0</v>
      </c>
      <c r="AJ1278">
        <f t="shared" ca="1" si="257"/>
        <v>0</v>
      </c>
      <c r="AK1278">
        <f t="shared" ca="1" si="258"/>
        <v>0</v>
      </c>
      <c r="AL1278">
        <f t="shared" ca="1" si="259"/>
        <v>0</v>
      </c>
    </row>
    <row r="1279" spans="1:38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#N/A, OFFSET(data!$A$1, ROW()-1, AA$1-1))</f>
        <v>0</v>
      </c>
      <c r="AB1279">
        <f t="shared" ca="1" si="250"/>
        <v>0</v>
      </c>
      <c r="AC1279" t="e">
        <f t="shared" ca="1" si="251"/>
        <v>#VALUE!</v>
      </c>
      <c r="AD1279" t="str">
        <f t="shared" ca="1" si="252"/>
        <v>0</v>
      </c>
      <c r="AE1279" t="str">
        <f t="shared" ca="1" si="253"/>
        <v/>
      </c>
      <c r="AF1279" s="6">
        <f t="shared" ca="1" si="254"/>
        <v>0</v>
      </c>
      <c r="AG1279">
        <f t="shared" ca="1" si="260"/>
        <v>0</v>
      </c>
      <c r="AH1279">
        <f t="shared" ca="1" si="255"/>
        <v>0</v>
      </c>
      <c r="AI1279">
        <f t="shared" ca="1" si="256"/>
        <v>0</v>
      </c>
      <c r="AJ1279">
        <f t="shared" ca="1" si="257"/>
        <v>0</v>
      </c>
      <c r="AK1279">
        <f t="shared" ca="1" si="258"/>
        <v>0</v>
      </c>
      <c r="AL1279">
        <f t="shared" ca="1" si="259"/>
        <v>0</v>
      </c>
    </row>
    <row r="1280" spans="1:38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#N/A, OFFSET(data!$A$1, ROW()-1, AA$1-1))</f>
        <v>0</v>
      </c>
      <c r="AB1280">
        <f t="shared" ca="1" si="250"/>
        <v>0</v>
      </c>
      <c r="AC1280" t="e">
        <f t="shared" ca="1" si="251"/>
        <v>#VALUE!</v>
      </c>
      <c r="AD1280" t="str">
        <f t="shared" ca="1" si="252"/>
        <v>0</v>
      </c>
      <c r="AE1280" t="str">
        <f t="shared" ca="1" si="253"/>
        <v/>
      </c>
      <c r="AF1280" s="6">
        <f t="shared" ca="1" si="254"/>
        <v>0</v>
      </c>
      <c r="AG1280">
        <f t="shared" ca="1" si="260"/>
        <v>0</v>
      </c>
      <c r="AH1280">
        <f t="shared" ca="1" si="255"/>
        <v>0</v>
      </c>
      <c r="AI1280">
        <f t="shared" ca="1" si="256"/>
        <v>0</v>
      </c>
      <c r="AJ1280">
        <f t="shared" ca="1" si="257"/>
        <v>0</v>
      </c>
      <c r="AK1280">
        <f t="shared" ca="1" si="258"/>
        <v>0</v>
      </c>
      <c r="AL1280">
        <f t="shared" ca="1" si="259"/>
        <v>0</v>
      </c>
    </row>
    <row r="1281" spans="1:38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#N/A, OFFSET(data!$A$1, ROW()-1, AA$1-1))</f>
        <v>0</v>
      </c>
      <c r="AB1281">
        <f t="shared" ca="1" si="250"/>
        <v>0</v>
      </c>
      <c r="AC1281" t="e">
        <f t="shared" ca="1" si="251"/>
        <v>#VALUE!</v>
      </c>
      <c r="AD1281" t="str">
        <f t="shared" ca="1" si="252"/>
        <v>0</v>
      </c>
      <c r="AE1281" t="str">
        <f t="shared" ca="1" si="253"/>
        <v/>
      </c>
      <c r="AF1281" s="6">
        <f t="shared" ca="1" si="254"/>
        <v>0</v>
      </c>
      <c r="AG1281">
        <f t="shared" ca="1" si="260"/>
        <v>0</v>
      </c>
      <c r="AH1281">
        <f t="shared" ca="1" si="255"/>
        <v>0</v>
      </c>
      <c r="AI1281">
        <f t="shared" ca="1" si="256"/>
        <v>0</v>
      </c>
      <c r="AJ1281">
        <f t="shared" ca="1" si="257"/>
        <v>0</v>
      </c>
      <c r="AK1281">
        <f t="shared" ca="1" si="258"/>
        <v>0</v>
      </c>
      <c r="AL1281">
        <f t="shared" ca="1" si="259"/>
        <v>0</v>
      </c>
    </row>
    <row r="1282" spans="1:38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#N/A, OFFSET(data!$A$1, ROW()-1, AA$1-1))</f>
        <v>0</v>
      </c>
      <c r="AB1282">
        <f t="shared" ca="1" si="250"/>
        <v>0</v>
      </c>
      <c r="AC1282" t="e">
        <f t="shared" ca="1" si="251"/>
        <v>#VALUE!</v>
      </c>
      <c r="AD1282" t="str">
        <f t="shared" ca="1" si="252"/>
        <v>0</v>
      </c>
      <c r="AE1282" t="str">
        <f t="shared" ca="1" si="253"/>
        <v/>
      </c>
      <c r="AF1282" s="6">
        <f t="shared" ca="1" si="254"/>
        <v>0</v>
      </c>
      <c r="AG1282">
        <f t="shared" ca="1" si="260"/>
        <v>0</v>
      </c>
      <c r="AH1282">
        <f t="shared" ca="1" si="255"/>
        <v>0</v>
      </c>
      <c r="AI1282">
        <f t="shared" ca="1" si="256"/>
        <v>0</v>
      </c>
      <c r="AJ1282">
        <f t="shared" ca="1" si="257"/>
        <v>0</v>
      </c>
      <c r="AK1282">
        <f t="shared" ca="1" si="258"/>
        <v>0</v>
      </c>
      <c r="AL1282">
        <f t="shared" ca="1" si="259"/>
        <v>0</v>
      </c>
    </row>
    <row r="1283" spans="1:38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#N/A, OFFSET(data!$A$1, ROW()-1, AA$1-1))</f>
        <v>0</v>
      </c>
      <c r="AB1283">
        <f t="shared" ref="AB1283:AB1346" ca="1" si="261">VALUE(LEFT(C1283, 4))</f>
        <v>0</v>
      </c>
      <c r="AC1283" t="e">
        <f t="shared" ref="AC1283:AC1346" ca="1" si="262">VALUE(MID(C1283, 6, 2))</f>
        <v>#VALUE!</v>
      </c>
      <c r="AD1283" t="str">
        <f t="shared" ref="AD1283:AD1346" ca="1" si="263">SUBSTITUTE(MID(C1283,6,6)&amp;LEFT(C1283,4), "-", "/")</f>
        <v>0</v>
      </c>
      <c r="AE1283" t="str">
        <f t="shared" ref="AE1283:AE1346" ca="1" si="264">IF(RIGHT(C1283, 5)="12:00", AD1283, "")</f>
        <v/>
      </c>
      <c r="AF1283" s="6">
        <f t="shared" ref="AF1283:AF1346" ca="1" si="265">Z1283/1000</f>
        <v>0</v>
      </c>
      <c r="AG1283">
        <f t="shared" ca="1" si="260"/>
        <v>0</v>
      </c>
      <c r="AH1283">
        <f t="shared" ca="1" si="255"/>
        <v>0</v>
      </c>
      <c r="AI1283">
        <f t="shared" ca="1" si="256"/>
        <v>0</v>
      </c>
      <c r="AJ1283">
        <f t="shared" ca="1" si="257"/>
        <v>0</v>
      </c>
      <c r="AK1283">
        <f t="shared" ca="1" si="258"/>
        <v>0</v>
      </c>
      <c r="AL1283">
        <f t="shared" ca="1" si="259"/>
        <v>0</v>
      </c>
    </row>
    <row r="1284" spans="1:38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#N/A, OFFSET(data!$A$1, ROW()-1, AA$1-1))</f>
        <v>0</v>
      </c>
      <c r="AB1284">
        <f t="shared" ca="1" si="261"/>
        <v>0</v>
      </c>
      <c r="AC1284" t="e">
        <f t="shared" ca="1" si="262"/>
        <v>#VALUE!</v>
      </c>
      <c r="AD1284" t="str">
        <f t="shared" ca="1" si="263"/>
        <v>0</v>
      </c>
      <c r="AE1284" t="str">
        <f t="shared" ca="1" si="264"/>
        <v/>
      </c>
      <c r="AF1284" s="6">
        <f t="shared" ca="1" si="265"/>
        <v>0</v>
      </c>
      <c r="AG1284">
        <f t="shared" ca="1" si="260"/>
        <v>0</v>
      </c>
      <c r="AH1284">
        <f t="shared" ref="AH1284:AH1347" ca="1" si="266">MAX(S1284,Y1284)</f>
        <v>0</v>
      </c>
      <c r="AI1284">
        <f t="shared" ref="AI1284:AI1347" ca="1" si="267">MAX(R1284,V1284)</f>
        <v>0</v>
      </c>
      <c r="AJ1284">
        <f t="shared" ref="AJ1284:AJ1347" ca="1" si="268">K1284+N1284</f>
        <v>0</v>
      </c>
      <c r="AK1284">
        <f t="shared" ref="AK1284:AK1347" ca="1" si="269">L1284+O1284</f>
        <v>0</v>
      </c>
      <c r="AL1284">
        <f t="shared" ref="AL1284:AL1347" ca="1" si="270">M1284+P1284</f>
        <v>0</v>
      </c>
    </row>
    <row r="1285" spans="1:38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#N/A, OFFSET(data!$A$1, ROW()-1, AA$1-1))</f>
        <v>0</v>
      </c>
      <c r="AB1285">
        <f t="shared" ca="1" si="261"/>
        <v>0</v>
      </c>
      <c r="AC1285" t="e">
        <f t="shared" ca="1" si="262"/>
        <v>#VALUE!</v>
      </c>
      <c r="AD1285" t="str">
        <f t="shared" ca="1" si="263"/>
        <v>0</v>
      </c>
      <c r="AE1285" t="str">
        <f t="shared" ca="1" si="264"/>
        <v/>
      </c>
      <c r="AF1285" s="6">
        <f t="shared" ca="1" si="265"/>
        <v>0</v>
      </c>
      <c r="AG1285">
        <f t="shared" ca="1" si="260"/>
        <v>0</v>
      </c>
      <c r="AH1285">
        <f t="shared" ca="1" si="266"/>
        <v>0</v>
      </c>
      <c r="AI1285">
        <f t="shared" ca="1" si="267"/>
        <v>0</v>
      </c>
      <c r="AJ1285">
        <f t="shared" ca="1" si="268"/>
        <v>0</v>
      </c>
      <c r="AK1285">
        <f t="shared" ca="1" si="269"/>
        <v>0</v>
      </c>
      <c r="AL1285">
        <f t="shared" ca="1" si="270"/>
        <v>0</v>
      </c>
    </row>
    <row r="1286" spans="1:38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#N/A, OFFSET(data!$A$1, ROW()-1, AA$1-1))</f>
        <v>0</v>
      </c>
      <c r="AB1286">
        <f t="shared" ca="1" si="261"/>
        <v>0</v>
      </c>
      <c r="AC1286" t="e">
        <f t="shared" ca="1" si="262"/>
        <v>#VALUE!</v>
      </c>
      <c r="AD1286" t="str">
        <f t="shared" ca="1" si="263"/>
        <v>0</v>
      </c>
      <c r="AE1286" t="str">
        <f t="shared" ca="1" si="264"/>
        <v/>
      </c>
      <c r="AF1286" s="6">
        <f t="shared" ca="1" si="265"/>
        <v>0</v>
      </c>
      <c r="AG1286">
        <f t="shared" ca="1" si="260"/>
        <v>0</v>
      </c>
      <c r="AH1286">
        <f t="shared" ca="1" si="266"/>
        <v>0</v>
      </c>
      <c r="AI1286">
        <f t="shared" ca="1" si="267"/>
        <v>0</v>
      </c>
      <c r="AJ1286">
        <f t="shared" ca="1" si="268"/>
        <v>0</v>
      </c>
      <c r="AK1286">
        <f t="shared" ca="1" si="269"/>
        <v>0</v>
      </c>
      <c r="AL1286">
        <f t="shared" ca="1" si="270"/>
        <v>0</v>
      </c>
    </row>
    <row r="1287" spans="1:38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#N/A, OFFSET(data!$A$1, ROW()-1, AA$1-1))</f>
        <v>0</v>
      </c>
      <c r="AB1287">
        <f t="shared" ca="1" si="261"/>
        <v>0</v>
      </c>
      <c r="AC1287" t="e">
        <f t="shared" ca="1" si="262"/>
        <v>#VALUE!</v>
      </c>
      <c r="AD1287" t="str">
        <f t="shared" ca="1" si="263"/>
        <v>0</v>
      </c>
      <c r="AE1287" t="str">
        <f t="shared" ca="1" si="264"/>
        <v/>
      </c>
      <c r="AF1287" s="6">
        <f t="shared" ca="1" si="265"/>
        <v>0</v>
      </c>
      <c r="AG1287">
        <f t="shared" ca="1" si="260"/>
        <v>0</v>
      </c>
      <c r="AH1287">
        <f t="shared" ca="1" si="266"/>
        <v>0</v>
      </c>
      <c r="AI1287">
        <f t="shared" ca="1" si="267"/>
        <v>0</v>
      </c>
      <c r="AJ1287">
        <f t="shared" ca="1" si="268"/>
        <v>0</v>
      </c>
      <c r="AK1287">
        <f t="shared" ca="1" si="269"/>
        <v>0</v>
      </c>
      <c r="AL1287">
        <f t="shared" ca="1" si="270"/>
        <v>0</v>
      </c>
    </row>
    <row r="1288" spans="1:38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#N/A, OFFSET(data!$A$1, ROW()-1, AA$1-1))</f>
        <v>0</v>
      </c>
      <c r="AB1288">
        <f t="shared" ca="1" si="261"/>
        <v>0</v>
      </c>
      <c r="AC1288" t="e">
        <f t="shared" ca="1" si="262"/>
        <v>#VALUE!</v>
      </c>
      <c r="AD1288" t="str">
        <f t="shared" ca="1" si="263"/>
        <v>0</v>
      </c>
      <c r="AE1288" t="str">
        <f t="shared" ca="1" si="264"/>
        <v/>
      </c>
      <c r="AF1288" s="6">
        <f t="shared" ca="1" si="265"/>
        <v>0</v>
      </c>
      <c r="AG1288">
        <f t="shared" ca="1" si="260"/>
        <v>0</v>
      </c>
      <c r="AH1288">
        <f t="shared" ca="1" si="266"/>
        <v>0</v>
      </c>
      <c r="AI1288">
        <f t="shared" ca="1" si="267"/>
        <v>0</v>
      </c>
      <c r="AJ1288">
        <f t="shared" ca="1" si="268"/>
        <v>0</v>
      </c>
      <c r="AK1288">
        <f t="shared" ca="1" si="269"/>
        <v>0</v>
      </c>
      <c r="AL1288">
        <f t="shared" ca="1" si="270"/>
        <v>0</v>
      </c>
    </row>
    <row r="1289" spans="1:38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#N/A, OFFSET(data!$A$1, ROW()-1, AA$1-1))</f>
        <v>0</v>
      </c>
      <c r="AB1289">
        <f t="shared" ca="1" si="261"/>
        <v>0</v>
      </c>
      <c r="AC1289" t="e">
        <f t="shared" ca="1" si="262"/>
        <v>#VALUE!</v>
      </c>
      <c r="AD1289" t="str">
        <f t="shared" ca="1" si="263"/>
        <v>0</v>
      </c>
      <c r="AE1289" t="str">
        <f t="shared" ca="1" si="264"/>
        <v/>
      </c>
      <c r="AF1289" s="6">
        <f t="shared" ca="1" si="265"/>
        <v>0</v>
      </c>
      <c r="AG1289">
        <f t="shared" ca="1" si="260"/>
        <v>0</v>
      </c>
      <c r="AH1289">
        <f t="shared" ca="1" si="266"/>
        <v>0</v>
      </c>
      <c r="AI1289">
        <f t="shared" ca="1" si="267"/>
        <v>0</v>
      </c>
      <c r="AJ1289">
        <f t="shared" ca="1" si="268"/>
        <v>0</v>
      </c>
      <c r="AK1289">
        <f t="shared" ca="1" si="269"/>
        <v>0</v>
      </c>
      <c r="AL1289">
        <f t="shared" ca="1" si="270"/>
        <v>0</v>
      </c>
    </row>
    <row r="1290" spans="1:38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#N/A, OFFSET(data!$A$1, ROW()-1, AA$1-1))</f>
        <v>0</v>
      </c>
      <c r="AB1290">
        <f t="shared" ca="1" si="261"/>
        <v>0</v>
      </c>
      <c r="AC1290" t="e">
        <f t="shared" ca="1" si="262"/>
        <v>#VALUE!</v>
      </c>
      <c r="AD1290" t="str">
        <f t="shared" ca="1" si="263"/>
        <v>0</v>
      </c>
      <c r="AE1290" t="str">
        <f t="shared" ca="1" si="264"/>
        <v/>
      </c>
      <c r="AF1290" s="6">
        <f t="shared" ca="1" si="265"/>
        <v>0</v>
      </c>
      <c r="AG1290">
        <f t="shared" ca="1" si="260"/>
        <v>0</v>
      </c>
      <c r="AH1290">
        <f t="shared" ca="1" si="266"/>
        <v>0</v>
      </c>
      <c r="AI1290">
        <f t="shared" ca="1" si="267"/>
        <v>0</v>
      </c>
      <c r="AJ1290">
        <f t="shared" ca="1" si="268"/>
        <v>0</v>
      </c>
      <c r="AK1290">
        <f t="shared" ca="1" si="269"/>
        <v>0</v>
      </c>
      <c r="AL1290">
        <f t="shared" ca="1" si="270"/>
        <v>0</v>
      </c>
    </row>
    <row r="1291" spans="1:38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#N/A, OFFSET(data!$A$1, ROW()-1, AA$1-1))</f>
        <v>0</v>
      </c>
      <c r="AB1291">
        <f t="shared" ca="1" si="261"/>
        <v>0</v>
      </c>
      <c r="AC1291" t="e">
        <f t="shared" ca="1" si="262"/>
        <v>#VALUE!</v>
      </c>
      <c r="AD1291" t="str">
        <f t="shared" ca="1" si="263"/>
        <v>0</v>
      </c>
      <c r="AE1291" t="str">
        <f t="shared" ca="1" si="264"/>
        <v/>
      </c>
      <c r="AF1291" s="6">
        <f t="shared" ca="1" si="265"/>
        <v>0</v>
      </c>
      <c r="AG1291">
        <f t="shared" ca="1" si="260"/>
        <v>0</v>
      </c>
      <c r="AH1291">
        <f t="shared" ca="1" si="266"/>
        <v>0</v>
      </c>
      <c r="AI1291">
        <f t="shared" ca="1" si="267"/>
        <v>0</v>
      </c>
      <c r="AJ1291">
        <f t="shared" ca="1" si="268"/>
        <v>0</v>
      </c>
      <c r="AK1291">
        <f t="shared" ca="1" si="269"/>
        <v>0</v>
      </c>
      <c r="AL1291">
        <f t="shared" ca="1" si="270"/>
        <v>0</v>
      </c>
    </row>
    <row r="1292" spans="1:38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#N/A, OFFSET(data!$A$1, ROW()-1, AA$1-1))</f>
        <v>0</v>
      </c>
      <c r="AB1292">
        <f t="shared" ca="1" si="261"/>
        <v>0</v>
      </c>
      <c r="AC1292" t="e">
        <f t="shared" ca="1" si="262"/>
        <v>#VALUE!</v>
      </c>
      <c r="AD1292" t="str">
        <f t="shared" ca="1" si="263"/>
        <v>0</v>
      </c>
      <c r="AE1292" t="str">
        <f t="shared" ca="1" si="264"/>
        <v/>
      </c>
      <c r="AF1292" s="6">
        <f t="shared" ca="1" si="265"/>
        <v>0</v>
      </c>
      <c r="AG1292">
        <f t="shared" ca="1" si="260"/>
        <v>0</v>
      </c>
      <c r="AH1292">
        <f t="shared" ca="1" si="266"/>
        <v>0</v>
      </c>
      <c r="AI1292">
        <f t="shared" ca="1" si="267"/>
        <v>0</v>
      </c>
      <c r="AJ1292">
        <f t="shared" ca="1" si="268"/>
        <v>0</v>
      </c>
      <c r="AK1292">
        <f t="shared" ca="1" si="269"/>
        <v>0</v>
      </c>
      <c r="AL1292">
        <f t="shared" ca="1" si="270"/>
        <v>0</v>
      </c>
    </row>
    <row r="1293" spans="1:38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#N/A, OFFSET(data!$A$1, ROW()-1, AA$1-1))</f>
        <v>0</v>
      </c>
      <c r="AB1293">
        <f t="shared" ca="1" si="261"/>
        <v>0</v>
      </c>
      <c r="AC1293" t="e">
        <f t="shared" ca="1" si="262"/>
        <v>#VALUE!</v>
      </c>
      <c r="AD1293" t="str">
        <f t="shared" ca="1" si="263"/>
        <v>0</v>
      </c>
      <c r="AE1293" t="str">
        <f t="shared" ca="1" si="264"/>
        <v/>
      </c>
      <c r="AF1293" s="6">
        <f t="shared" ca="1" si="265"/>
        <v>0</v>
      </c>
      <c r="AG1293">
        <f t="shared" ca="1" si="260"/>
        <v>0</v>
      </c>
      <c r="AH1293">
        <f t="shared" ca="1" si="266"/>
        <v>0</v>
      </c>
      <c r="AI1293">
        <f t="shared" ca="1" si="267"/>
        <v>0</v>
      </c>
      <c r="AJ1293">
        <f t="shared" ca="1" si="268"/>
        <v>0</v>
      </c>
      <c r="AK1293">
        <f t="shared" ca="1" si="269"/>
        <v>0</v>
      </c>
      <c r="AL1293">
        <f t="shared" ca="1" si="270"/>
        <v>0</v>
      </c>
    </row>
    <row r="1294" spans="1:38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#N/A, OFFSET(data!$A$1, ROW()-1, AA$1-1))</f>
        <v>0</v>
      </c>
      <c r="AB1294">
        <f t="shared" ca="1" si="261"/>
        <v>0</v>
      </c>
      <c r="AC1294" t="e">
        <f t="shared" ca="1" si="262"/>
        <v>#VALUE!</v>
      </c>
      <c r="AD1294" t="str">
        <f t="shared" ca="1" si="263"/>
        <v>0</v>
      </c>
      <c r="AE1294" t="str">
        <f t="shared" ca="1" si="264"/>
        <v/>
      </c>
      <c r="AF1294" s="6">
        <f t="shared" ca="1" si="265"/>
        <v>0</v>
      </c>
      <c r="AG1294">
        <f t="shared" ca="1" si="260"/>
        <v>0</v>
      </c>
      <c r="AH1294">
        <f t="shared" ca="1" si="266"/>
        <v>0</v>
      </c>
      <c r="AI1294">
        <f t="shared" ca="1" si="267"/>
        <v>0</v>
      </c>
      <c r="AJ1294">
        <f t="shared" ca="1" si="268"/>
        <v>0</v>
      </c>
      <c r="AK1294">
        <f t="shared" ca="1" si="269"/>
        <v>0</v>
      </c>
      <c r="AL1294">
        <f t="shared" ca="1" si="270"/>
        <v>0</v>
      </c>
    </row>
    <row r="1295" spans="1:38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#N/A, OFFSET(data!$A$1, ROW()-1, AA$1-1))</f>
        <v>0</v>
      </c>
      <c r="AB1295">
        <f t="shared" ca="1" si="261"/>
        <v>0</v>
      </c>
      <c r="AC1295" t="e">
        <f t="shared" ca="1" si="262"/>
        <v>#VALUE!</v>
      </c>
      <c r="AD1295" t="str">
        <f t="shared" ca="1" si="263"/>
        <v>0</v>
      </c>
      <c r="AE1295" t="str">
        <f t="shared" ca="1" si="264"/>
        <v/>
      </c>
      <c r="AF1295" s="6">
        <f t="shared" ca="1" si="265"/>
        <v>0</v>
      </c>
      <c r="AG1295">
        <f t="shared" ca="1" si="260"/>
        <v>0</v>
      </c>
      <c r="AH1295">
        <f t="shared" ca="1" si="266"/>
        <v>0</v>
      </c>
      <c r="AI1295">
        <f t="shared" ca="1" si="267"/>
        <v>0</v>
      </c>
      <c r="AJ1295">
        <f t="shared" ca="1" si="268"/>
        <v>0</v>
      </c>
      <c r="AK1295">
        <f t="shared" ca="1" si="269"/>
        <v>0</v>
      </c>
      <c r="AL1295">
        <f t="shared" ca="1" si="270"/>
        <v>0</v>
      </c>
    </row>
    <row r="1296" spans="1:38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#N/A, OFFSET(data!$A$1, ROW()-1, AA$1-1))</f>
        <v>0</v>
      </c>
      <c r="AB1296">
        <f t="shared" ca="1" si="261"/>
        <v>0</v>
      </c>
      <c r="AC1296" t="e">
        <f t="shared" ca="1" si="262"/>
        <v>#VALUE!</v>
      </c>
      <c r="AD1296" t="str">
        <f t="shared" ca="1" si="263"/>
        <v>0</v>
      </c>
      <c r="AE1296" t="str">
        <f t="shared" ca="1" si="264"/>
        <v/>
      </c>
      <c r="AF1296" s="6">
        <f t="shared" ca="1" si="265"/>
        <v>0</v>
      </c>
      <c r="AG1296">
        <f t="shared" ca="1" si="260"/>
        <v>0</v>
      </c>
      <c r="AH1296">
        <f t="shared" ca="1" si="266"/>
        <v>0</v>
      </c>
      <c r="AI1296">
        <f t="shared" ca="1" si="267"/>
        <v>0</v>
      </c>
      <c r="AJ1296">
        <f t="shared" ca="1" si="268"/>
        <v>0</v>
      </c>
      <c r="AK1296">
        <f t="shared" ca="1" si="269"/>
        <v>0</v>
      </c>
      <c r="AL1296">
        <f t="shared" ca="1" si="270"/>
        <v>0</v>
      </c>
    </row>
    <row r="1297" spans="1:38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#N/A, OFFSET(data!$A$1, ROW()-1, AA$1-1))</f>
        <v>0</v>
      </c>
      <c r="AB1297">
        <f t="shared" ca="1" si="261"/>
        <v>0</v>
      </c>
      <c r="AC1297" t="e">
        <f t="shared" ca="1" si="262"/>
        <v>#VALUE!</v>
      </c>
      <c r="AD1297" t="str">
        <f t="shared" ca="1" si="263"/>
        <v>0</v>
      </c>
      <c r="AE1297" t="str">
        <f t="shared" ca="1" si="264"/>
        <v/>
      </c>
      <c r="AF1297" s="6">
        <f t="shared" ca="1" si="265"/>
        <v>0</v>
      </c>
      <c r="AG1297">
        <f t="shared" ca="1" si="260"/>
        <v>0</v>
      </c>
      <c r="AH1297">
        <f t="shared" ca="1" si="266"/>
        <v>0</v>
      </c>
      <c r="AI1297">
        <f t="shared" ca="1" si="267"/>
        <v>0</v>
      </c>
      <c r="AJ1297">
        <f t="shared" ca="1" si="268"/>
        <v>0</v>
      </c>
      <c r="AK1297">
        <f t="shared" ca="1" si="269"/>
        <v>0</v>
      </c>
      <c r="AL1297">
        <f t="shared" ca="1" si="270"/>
        <v>0</v>
      </c>
    </row>
    <row r="1298" spans="1:38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#N/A, OFFSET(data!$A$1, ROW()-1, AA$1-1))</f>
        <v>0</v>
      </c>
      <c r="AB1298">
        <f t="shared" ca="1" si="261"/>
        <v>0</v>
      </c>
      <c r="AC1298" t="e">
        <f t="shared" ca="1" si="262"/>
        <v>#VALUE!</v>
      </c>
      <c r="AD1298" t="str">
        <f t="shared" ca="1" si="263"/>
        <v>0</v>
      </c>
      <c r="AE1298" t="str">
        <f t="shared" ca="1" si="264"/>
        <v/>
      </c>
      <c r="AF1298" s="6">
        <f t="shared" ca="1" si="265"/>
        <v>0</v>
      </c>
      <c r="AG1298">
        <f t="shared" ca="1" si="260"/>
        <v>0</v>
      </c>
      <c r="AH1298">
        <f t="shared" ca="1" si="266"/>
        <v>0</v>
      </c>
      <c r="AI1298">
        <f t="shared" ca="1" si="267"/>
        <v>0</v>
      </c>
      <c r="AJ1298">
        <f t="shared" ca="1" si="268"/>
        <v>0</v>
      </c>
      <c r="AK1298">
        <f t="shared" ca="1" si="269"/>
        <v>0</v>
      </c>
      <c r="AL1298">
        <f t="shared" ca="1" si="270"/>
        <v>0</v>
      </c>
    </row>
    <row r="1299" spans="1:38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#N/A, OFFSET(data!$A$1, ROW()-1, AA$1-1))</f>
        <v>0</v>
      </c>
      <c r="AB1299">
        <f t="shared" ca="1" si="261"/>
        <v>0</v>
      </c>
      <c r="AC1299" t="e">
        <f t="shared" ca="1" si="262"/>
        <v>#VALUE!</v>
      </c>
      <c r="AD1299" t="str">
        <f t="shared" ca="1" si="263"/>
        <v>0</v>
      </c>
      <c r="AE1299" t="str">
        <f t="shared" ca="1" si="264"/>
        <v/>
      </c>
      <c r="AF1299" s="6">
        <f t="shared" ca="1" si="265"/>
        <v>0</v>
      </c>
      <c r="AG1299">
        <f t="shared" ca="1" si="260"/>
        <v>0</v>
      </c>
      <c r="AH1299">
        <f t="shared" ca="1" si="266"/>
        <v>0</v>
      </c>
      <c r="AI1299">
        <f t="shared" ca="1" si="267"/>
        <v>0</v>
      </c>
      <c r="AJ1299">
        <f t="shared" ca="1" si="268"/>
        <v>0</v>
      </c>
      <c r="AK1299">
        <f t="shared" ca="1" si="269"/>
        <v>0</v>
      </c>
      <c r="AL1299">
        <f t="shared" ca="1" si="270"/>
        <v>0</v>
      </c>
    </row>
    <row r="1300" spans="1:38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#N/A, OFFSET(data!$A$1, ROW()-1, AA$1-1))</f>
        <v>0</v>
      </c>
      <c r="AB1300">
        <f t="shared" ca="1" si="261"/>
        <v>0</v>
      </c>
      <c r="AC1300" t="e">
        <f t="shared" ca="1" si="262"/>
        <v>#VALUE!</v>
      </c>
      <c r="AD1300" t="str">
        <f t="shared" ca="1" si="263"/>
        <v>0</v>
      </c>
      <c r="AE1300" t="str">
        <f t="shared" ca="1" si="264"/>
        <v/>
      </c>
      <c r="AF1300" s="6">
        <f t="shared" ca="1" si="265"/>
        <v>0</v>
      </c>
      <c r="AG1300">
        <f t="shared" ca="1" si="260"/>
        <v>0</v>
      </c>
      <c r="AH1300">
        <f t="shared" ca="1" si="266"/>
        <v>0</v>
      </c>
      <c r="AI1300">
        <f t="shared" ca="1" si="267"/>
        <v>0</v>
      </c>
      <c r="AJ1300">
        <f t="shared" ca="1" si="268"/>
        <v>0</v>
      </c>
      <c r="AK1300">
        <f t="shared" ca="1" si="269"/>
        <v>0</v>
      </c>
      <c r="AL1300">
        <f t="shared" ca="1" si="270"/>
        <v>0</v>
      </c>
    </row>
    <row r="1301" spans="1:38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#N/A, OFFSET(data!$A$1, ROW()-1, AA$1-1))</f>
        <v>0</v>
      </c>
      <c r="AB1301">
        <f t="shared" ca="1" si="261"/>
        <v>0</v>
      </c>
      <c r="AC1301" t="e">
        <f t="shared" ca="1" si="262"/>
        <v>#VALUE!</v>
      </c>
      <c r="AD1301" t="str">
        <f t="shared" ca="1" si="263"/>
        <v>0</v>
      </c>
      <c r="AE1301" t="str">
        <f t="shared" ca="1" si="264"/>
        <v/>
      </c>
      <c r="AF1301" s="6">
        <f t="shared" ca="1" si="265"/>
        <v>0</v>
      </c>
      <c r="AG1301">
        <f t="shared" ca="1" si="260"/>
        <v>0</v>
      </c>
      <c r="AH1301">
        <f t="shared" ca="1" si="266"/>
        <v>0</v>
      </c>
      <c r="AI1301">
        <f t="shared" ca="1" si="267"/>
        <v>0</v>
      </c>
      <c r="AJ1301">
        <f t="shared" ca="1" si="268"/>
        <v>0</v>
      </c>
      <c r="AK1301">
        <f t="shared" ca="1" si="269"/>
        <v>0</v>
      </c>
      <c r="AL1301">
        <f t="shared" ca="1" si="270"/>
        <v>0</v>
      </c>
    </row>
    <row r="1302" spans="1:38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#N/A, OFFSET(data!$A$1, ROW()-1, AA$1-1))</f>
        <v>0</v>
      </c>
      <c r="AB1302">
        <f t="shared" ca="1" si="261"/>
        <v>0</v>
      </c>
      <c r="AC1302" t="e">
        <f t="shared" ca="1" si="262"/>
        <v>#VALUE!</v>
      </c>
      <c r="AD1302" t="str">
        <f t="shared" ca="1" si="263"/>
        <v>0</v>
      </c>
      <c r="AE1302" t="str">
        <f t="shared" ca="1" si="264"/>
        <v/>
      </c>
      <c r="AF1302" s="6">
        <f t="shared" ca="1" si="265"/>
        <v>0</v>
      </c>
      <c r="AG1302">
        <f t="shared" ca="1" si="260"/>
        <v>0</v>
      </c>
      <c r="AH1302">
        <f t="shared" ca="1" si="266"/>
        <v>0</v>
      </c>
      <c r="AI1302">
        <f t="shared" ca="1" si="267"/>
        <v>0</v>
      </c>
      <c r="AJ1302">
        <f t="shared" ca="1" si="268"/>
        <v>0</v>
      </c>
      <c r="AK1302">
        <f t="shared" ca="1" si="269"/>
        <v>0</v>
      </c>
      <c r="AL1302">
        <f t="shared" ca="1" si="270"/>
        <v>0</v>
      </c>
    </row>
    <row r="1303" spans="1:38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#N/A, OFFSET(data!$A$1, ROW()-1, AA$1-1))</f>
        <v>0</v>
      </c>
      <c r="AB1303">
        <f t="shared" ca="1" si="261"/>
        <v>0</v>
      </c>
      <c r="AC1303" t="e">
        <f t="shared" ca="1" si="262"/>
        <v>#VALUE!</v>
      </c>
      <c r="AD1303" t="str">
        <f t="shared" ca="1" si="263"/>
        <v>0</v>
      </c>
      <c r="AE1303" t="str">
        <f t="shared" ca="1" si="264"/>
        <v/>
      </c>
      <c r="AF1303" s="6">
        <f t="shared" ca="1" si="265"/>
        <v>0</v>
      </c>
      <c r="AG1303">
        <f t="shared" ca="1" si="260"/>
        <v>0</v>
      </c>
      <c r="AH1303">
        <f t="shared" ca="1" si="266"/>
        <v>0</v>
      </c>
      <c r="AI1303">
        <f t="shared" ca="1" si="267"/>
        <v>0</v>
      </c>
      <c r="AJ1303">
        <f t="shared" ca="1" si="268"/>
        <v>0</v>
      </c>
      <c r="AK1303">
        <f t="shared" ca="1" si="269"/>
        <v>0</v>
      </c>
      <c r="AL1303">
        <f t="shared" ca="1" si="270"/>
        <v>0</v>
      </c>
    </row>
    <row r="1304" spans="1:38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#N/A, OFFSET(data!$A$1, ROW()-1, AA$1-1))</f>
        <v>0</v>
      </c>
      <c r="AB1304">
        <f t="shared" ca="1" si="261"/>
        <v>0</v>
      </c>
      <c r="AC1304" t="e">
        <f t="shared" ca="1" si="262"/>
        <v>#VALUE!</v>
      </c>
      <c r="AD1304" t="str">
        <f t="shared" ca="1" si="263"/>
        <v>0</v>
      </c>
      <c r="AE1304" t="str">
        <f t="shared" ca="1" si="264"/>
        <v/>
      </c>
      <c r="AF1304" s="6">
        <f t="shared" ca="1" si="265"/>
        <v>0</v>
      </c>
      <c r="AG1304">
        <f t="shared" ca="1" si="260"/>
        <v>0</v>
      </c>
      <c r="AH1304">
        <f t="shared" ca="1" si="266"/>
        <v>0</v>
      </c>
      <c r="AI1304">
        <f t="shared" ca="1" si="267"/>
        <v>0</v>
      </c>
      <c r="AJ1304">
        <f t="shared" ca="1" si="268"/>
        <v>0</v>
      </c>
      <c r="AK1304">
        <f t="shared" ca="1" si="269"/>
        <v>0</v>
      </c>
      <c r="AL1304">
        <f t="shared" ca="1" si="270"/>
        <v>0</v>
      </c>
    </row>
    <row r="1305" spans="1:38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#N/A, OFFSET(data!$A$1, ROW()-1, AA$1-1))</f>
        <v>0</v>
      </c>
      <c r="AB1305">
        <f t="shared" ca="1" si="261"/>
        <v>0</v>
      </c>
      <c r="AC1305" t="e">
        <f t="shared" ca="1" si="262"/>
        <v>#VALUE!</v>
      </c>
      <c r="AD1305" t="str">
        <f t="shared" ca="1" si="263"/>
        <v>0</v>
      </c>
      <c r="AE1305" t="str">
        <f t="shared" ca="1" si="264"/>
        <v/>
      </c>
      <c r="AF1305" s="6">
        <f t="shared" ca="1" si="265"/>
        <v>0</v>
      </c>
      <c r="AG1305">
        <f t="shared" ca="1" si="260"/>
        <v>0</v>
      </c>
      <c r="AH1305">
        <f t="shared" ca="1" si="266"/>
        <v>0</v>
      </c>
      <c r="AI1305">
        <f t="shared" ca="1" si="267"/>
        <v>0</v>
      </c>
      <c r="AJ1305">
        <f t="shared" ca="1" si="268"/>
        <v>0</v>
      </c>
      <c r="AK1305">
        <f t="shared" ca="1" si="269"/>
        <v>0</v>
      </c>
      <c r="AL1305">
        <f t="shared" ca="1" si="270"/>
        <v>0</v>
      </c>
    </row>
    <row r="1306" spans="1:38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#N/A, OFFSET(data!$A$1, ROW()-1, AA$1-1))</f>
        <v>0</v>
      </c>
      <c r="AB1306">
        <f t="shared" ca="1" si="261"/>
        <v>0</v>
      </c>
      <c r="AC1306" t="e">
        <f t="shared" ca="1" si="262"/>
        <v>#VALUE!</v>
      </c>
      <c r="AD1306" t="str">
        <f t="shared" ca="1" si="263"/>
        <v>0</v>
      </c>
      <c r="AE1306" t="str">
        <f t="shared" ca="1" si="264"/>
        <v/>
      </c>
      <c r="AF1306" s="6">
        <f t="shared" ca="1" si="265"/>
        <v>0</v>
      </c>
      <c r="AG1306">
        <f t="shared" ca="1" si="260"/>
        <v>0</v>
      </c>
      <c r="AH1306">
        <f t="shared" ca="1" si="266"/>
        <v>0</v>
      </c>
      <c r="AI1306">
        <f t="shared" ca="1" si="267"/>
        <v>0</v>
      </c>
      <c r="AJ1306">
        <f t="shared" ca="1" si="268"/>
        <v>0</v>
      </c>
      <c r="AK1306">
        <f t="shared" ca="1" si="269"/>
        <v>0</v>
      </c>
      <c r="AL1306">
        <f t="shared" ca="1" si="270"/>
        <v>0</v>
      </c>
    </row>
    <row r="1307" spans="1:38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#N/A, OFFSET(data!$A$1, ROW()-1, AA$1-1))</f>
        <v>0</v>
      </c>
      <c r="AB1307">
        <f t="shared" ca="1" si="261"/>
        <v>0</v>
      </c>
      <c r="AC1307" t="e">
        <f t="shared" ca="1" si="262"/>
        <v>#VALUE!</v>
      </c>
      <c r="AD1307" t="str">
        <f t="shared" ca="1" si="263"/>
        <v>0</v>
      </c>
      <c r="AE1307" t="str">
        <f t="shared" ca="1" si="264"/>
        <v/>
      </c>
      <c r="AF1307" s="6">
        <f t="shared" ca="1" si="265"/>
        <v>0</v>
      </c>
      <c r="AG1307">
        <f t="shared" ca="1" si="260"/>
        <v>0</v>
      </c>
      <c r="AH1307">
        <f t="shared" ca="1" si="266"/>
        <v>0</v>
      </c>
      <c r="AI1307">
        <f t="shared" ca="1" si="267"/>
        <v>0</v>
      </c>
      <c r="AJ1307">
        <f t="shared" ca="1" si="268"/>
        <v>0</v>
      </c>
      <c r="AK1307">
        <f t="shared" ca="1" si="269"/>
        <v>0</v>
      </c>
      <c r="AL1307">
        <f t="shared" ca="1" si="270"/>
        <v>0</v>
      </c>
    </row>
    <row r="1308" spans="1:38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#N/A, OFFSET(data!$A$1, ROW()-1, AA$1-1))</f>
        <v>0</v>
      </c>
      <c r="AB1308">
        <f t="shared" ca="1" si="261"/>
        <v>0</v>
      </c>
      <c r="AC1308" t="e">
        <f t="shared" ca="1" si="262"/>
        <v>#VALUE!</v>
      </c>
      <c r="AD1308" t="str">
        <f t="shared" ca="1" si="263"/>
        <v>0</v>
      </c>
      <c r="AE1308" t="str">
        <f t="shared" ca="1" si="264"/>
        <v/>
      </c>
      <c r="AF1308" s="6">
        <f t="shared" ca="1" si="265"/>
        <v>0</v>
      </c>
      <c r="AG1308">
        <f t="shared" ca="1" si="260"/>
        <v>0</v>
      </c>
      <c r="AH1308">
        <f t="shared" ca="1" si="266"/>
        <v>0</v>
      </c>
      <c r="AI1308">
        <f t="shared" ca="1" si="267"/>
        <v>0</v>
      </c>
      <c r="AJ1308">
        <f t="shared" ca="1" si="268"/>
        <v>0</v>
      </c>
      <c r="AK1308">
        <f t="shared" ca="1" si="269"/>
        <v>0</v>
      </c>
      <c r="AL1308">
        <f t="shared" ca="1" si="270"/>
        <v>0</v>
      </c>
    </row>
    <row r="1309" spans="1:38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#N/A, OFFSET(data!$A$1, ROW()-1, AA$1-1))</f>
        <v>0</v>
      </c>
      <c r="AB1309">
        <f t="shared" ca="1" si="261"/>
        <v>0</v>
      </c>
      <c r="AC1309" t="e">
        <f t="shared" ca="1" si="262"/>
        <v>#VALUE!</v>
      </c>
      <c r="AD1309" t="str">
        <f t="shared" ca="1" si="263"/>
        <v>0</v>
      </c>
      <c r="AE1309" t="str">
        <f t="shared" ca="1" si="264"/>
        <v/>
      </c>
      <c r="AF1309" s="6">
        <f t="shared" ca="1" si="265"/>
        <v>0</v>
      </c>
      <c r="AG1309">
        <f t="shared" ca="1" si="260"/>
        <v>0</v>
      </c>
      <c r="AH1309">
        <f t="shared" ca="1" si="266"/>
        <v>0</v>
      </c>
      <c r="AI1309">
        <f t="shared" ca="1" si="267"/>
        <v>0</v>
      </c>
      <c r="AJ1309">
        <f t="shared" ca="1" si="268"/>
        <v>0</v>
      </c>
      <c r="AK1309">
        <f t="shared" ca="1" si="269"/>
        <v>0</v>
      </c>
      <c r="AL1309">
        <f t="shared" ca="1" si="270"/>
        <v>0</v>
      </c>
    </row>
    <row r="1310" spans="1:38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#N/A, OFFSET(data!$A$1, ROW()-1, AA$1-1))</f>
        <v>0</v>
      </c>
      <c r="AB1310">
        <f t="shared" ca="1" si="261"/>
        <v>0</v>
      </c>
      <c r="AC1310" t="e">
        <f t="shared" ca="1" si="262"/>
        <v>#VALUE!</v>
      </c>
      <c r="AD1310" t="str">
        <f t="shared" ca="1" si="263"/>
        <v>0</v>
      </c>
      <c r="AE1310" t="str">
        <f t="shared" ca="1" si="264"/>
        <v/>
      </c>
      <c r="AF1310" s="6">
        <f t="shared" ca="1" si="265"/>
        <v>0</v>
      </c>
      <c r="AG1310">
        <f t="shared" ca="1" si="260"/>
        <v>0</v>
      </c>
      <c r="AH1310">
        <f t="shared" ca="1" si="266"/>
        <v>0</v>
      </c>
      <c r="AI1310">
        <f t="shared" ca="1" si="267"/>
        <v>0</v>
      </c>
      <c r="AJ1310">
        <f t="shared" ca="1" si="268"/>
        <v>0</v>
      </c>
      <c r="AK1310">
        <f t="shared" ca="1" si="269"/>
        <v>0</v>
      </c>
      <c r="AL1310">
        <f t="shared" ca="1" si="270"/>
        <v>0</v>
      </c>
    </row>
    <row r="1311" spans="1:38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#N/A, OFFSET(data!$A$1, ROW()-1, AA$1-1))</f>
        <v>0</v>
      </c>
      <c r="AB1311">
        <f t="shared" ca="1" si="261"/>
        <v>0</v>
      </c>
      <c r="AC1311" t="e">
        <f t="shared" ca="1" si="262"/>
        <v>#VALUE!</v>
      </c>
      <c r="AD1311" t="str">
        <f t="shared" ca="1" si="263"/>
        <v>0</v>
      </c>
      <c r="AE1311" t="str">
        <f t="shared" ca="1" si="264"/>
        <v/>
      </c>
      <c r="AF1311" s="6">
        <f t="shared" ca="1" si="265"/>
        <v>0</v>
      </c>
      <c r="AG1311">
        <f t="shared" ca="1" si="260"/>
        <v>0</v>
      </c>
      <c r="AH1311">
        <f t="shared" ca="1" si="266"/>
        <v>0</v>
      </c>
      <c r="AI1311">
        <f t="shared" ca="1" si="267"/>
        <v>0</v>
      </c>
      <c r="AJ1311">
        <f t="shared" ca="1" si="268"/>
        <v>0</v>
      </c>
      <c r="AK1311">
        <f t="shared" ca="1" si="269"/>
        <v>0</v>
      </c>
      <c r="AL1311">
        <f t="shared" ca="1" si="270"/>
        <v>0</v>
      </c>
    </row>
    <row r="1312" spans="1:38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#N/A, OFFSET(data!$A$1, ROW()-1, AA$1-1))</f>
        <v>0</v>
      </c>
      <c r="AB1312">
        <f t="shared" ca="1" si="261"/>
        <v>0</v>
      </c>
      <c r="AC1312" t="e">
        <f t="shared" ca="1" si="262"/>
        <v>#VALUE!</v>
      </c>
      <c r="AD1312" t="str">
        <f t="shared" ca="1" si="263"/>
        <v>0</v>
      </c>
      <c r="AE1312" t="str">
        <f t="shared" ca="1" si="264"/>
        <v/>
      </c>
      <c r="AF1312" s="6">
        <f t="shared" ca="1" si="265"/>
        <v>0</v>
      </c>
      <c r="AG1312">
        <f t="shared" ca="1" si="260"/>
        <v>0</v>
      </c>
      <c r="AH1312">
        <f t="shared" ca="1" si="266"/>
        <v>0</v>
      </c>
      <c r="AI1312">
        <f t="shared" ca="1" si="267"/>
        <v>0</v>
      </c>
      <c r="AJ1312">
        <f t="shared" ca="1" si="268"/>
        <v>0</v>
      </c>
      <c r="AK1312">
        <f t="shared" ca="1" si="269"/>
        <v>0</v>
      </c>
      <c r="AL1312">
        <f t="shared" ca="1" si="270"/>
        <v>0</v>
      </c>
    </row>
    <row r="1313" spans="1:38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#N/A, OFFSET(data!$A$1, ROW()-1, AA$1-1))</f>
        <v>0</v>
      </c>
      <c r="AB1313">
        <f t="shared" ca="1" si="261"/>
        <v>0</v>
      </c>
      <c r="AC1313" t="e">
        <f t="shared" ca="1" si="262"/>
        <v>#VALUE!</v>
      </c>
      <c r="AD1313" t="str">
        <f t="shared" ca="1" si="263"/>
        <v>0</v>
      </c>
      <c r="AE1313" t="str">
        <f t="shared" ca="1" si="264"/>
        <v/>
      </c>
      <c r="AF1313" s="6">
        <f t="shared" ca="1" si="265"/>
        <v>0</v>
      </c>
      <c r="AG1313">
        <f t="shared" ca="1" si="260"/>
        <v>0</v>
      </c>
      <c r="AH1313">
        <f t="shared" ca="1" si="266"/>
        <v>0</v>
      </c>
      <c r="AI1313">
        <f t="shared" ca="1" si="267"/>
        <v>0</v>
      </c>
      <c r="AJ1313">
        <f t="shared" ca="1" si="268"/>
        <v>0</v>
      </c>
      <c r="AK1313">
        <f t="shared" ca="1" si="269"/>
        <v>0</v>
      </c>
      <c r="AL1313">
        <f t="shared" ca="1" si="270"/>
        <v>0</v>
      </c>
    </row>
    <row r="1314" spans="1:38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#N/A, OFFSET(data!$A$1, ROW()-1, AA$1-1))</f>
        <v>0</v>
      </c>
      <c r="AB1314">
        <f t="shared" ca="1" si="261"/>
        <v>0</v>
      </c>
      <c r="AC1314" t="e">
        <f t="shared" ca="1" si="262"/>
        <v>#VALUE!</v>
      </c>
      <c r="AD1314" t="str">
        <f t="shared" ca="1" si="263"/>
        <v>0</v>
      </c>
      <c r="AE1314" t="str">
        <f t="shared" ca="1" si="264"/>
        <v/>
      </c>
      <c r="AF1314" s="6">
        <f t="shared" ca="1" si="265"/>
        <v>0</v>
      </c>
      <c r="AG1314">
        <f t="shared" ca="1" si="260"/>
        <v>0</v>
      </c>
      <c r="AH1314">
        <f t="shared" ca="1" si="266"/>
        <v>0</v>
      </c>
      <c r="AI1314">
        <f t="shared" ca="1" si="267"/>
        <v>0</v>
      </c>
      <c r="AJ1314">
        <f t="shared" ca="1" si="268"/>
        <v>0</v>
      </c>
      <c r="AK1314">
        <f t="shared" ca="1" si="269"/>
        <v>0</v>
      </c>
      <c r="AL1314">
        <f t="shared" ca="1" si="270"/>
        <v>0</v>
      </c>
    </row>
    <row r="1315" spans="1:38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#N/A, OFFSET(data!$A$1, ROW()-1, AA$1-1))</f>
        <v>0</v>
      </c>
      <c r="AB1315">
        <f t="shared" ca="1" si="261"/>
        <v>0</v>
      </c>
      <c r="AC1315" t="e">
        <f t="shared" ca="1" si="262"/>
        <v>#VALUE!</v>
      </c>
      <c r="AD1315" t="str">
        <f t="shared" ca="1" si="263"/>
        <v>0</v>
      </c>
      <c r="AE1315" t="str">
        <f t="shared" ca="1" si="264"/>
        <v/>
      </c>
      <c r="AF1315" s="6">
        <f t="shared" ca="1" si="265"/>
        <v>0</v>
      </c>
      <c r="AG1315">
        <f t="shared" ca="1" si="260"/>
        <v>0</v>
      </c>
      <c r="AH1315">
        <f t="shared" ca="1" si="266"/>
        <v>0</v>
      </c>
      <c r="AI1315">
        <f t="shared" ca="1" si="267"/>
        <v>0</v>
      </c>
      <c r="AJ1315">
        <f t="shared" ca="1" si="268"/>
        <v>0</v>
      </c>
      <c r="AK1315">
        <f t="shared" ca="1" si="269"/>
        <v>0</v>
      </c>
      <c r="AL1315">
        <f t="shared" ca="1" si="270"/>
        <v>0</v>
      </c>
    </row>
    <row r="1316" spans="1:38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#N/A, OFFSET(data!$A$1, ROW()-1, AA$1-1))</f>
        <v>0</v>
      </c>
      <c r="AB1316">
        <f t="shared" ca="1" si="261"/>
        <v>0</v>
      </c>
      <c r="AC1316" t="e">
        <f t="shared" ca="1" si="262"/>
        <v>#VALUE!</v>
      </c>
      <c r="AD1316" t="str">
        <f t="shared" ca="1" si="263"/>
        <v>0</v>
      </c>
      <c r="AE1316" t="str">
        <f t="shared" ca="1" si="264"/>
        <v/>
      </c>
      <c r="AF1316" s="6">
        <f t="shared" ca="1" si="265"/>
        <v>0</v>
      </c>
      <c r="AG1316">
        <f t="shared" ca="1" si="260"/>
        <v>0</v>
      </c>
      <c r="AH1316">
        <f t="shared" ca="1" si="266"/>
        <v>0</v>
      </c>
      <c r="AI1316">
        <f t="shared" ca="1" si="267"/>
        <v>0</v>
      </c>
      <c r="AJ1316">
        <f t="shared" ca="1" si="268"/>
        <v>0</v>
      </c>
      <c r="AK1316">
        <f t="shared" ca="1" si="269"/>
        <v>0</v>
      </c>
      <c r="AL1316">
        <f t="shared" ca="1" si="270"/>
        <v>0</v>
      </c>
    </row>
    <row r="1317" spans="1:38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#N/A, OFFSET(data!$A$1, ROW()-1, AA$1-1))</f>
        <v>0</v>
      </c>
      <c r="AB1317">
        <f t="shared" ca="1" si="261"/>
        <v>0</v>
      </c>
      <c r="AC1317" t="e">
        <f t="shared" ca="1" si="262"/>
        <v>#VALUE!</v>
      </c>
      <c r="AD1317" t="str">
        <f t="shared" ca="1" si="263"/>
        <v>0</v>
      </c>
      <c r="AE1317" t="str">
        <f t="shared" ca="1" si="264"/>
        <v/>
      </c>
      <c r="AF1317" s="6">
        <f t="shared" ca="1" si="265"/>
        <v>0</v>
      </c>
      <c r="AG1317">
        <f t="shared" ca="1" si="260"/>
        <v>0</v>
      </c>
      <c r="AH1317">
        <f t="shared" ca="1" si="266"/>
        <v>0</v>
      </c>
      <c r="AI1317">
        <f t="shared" ca="1" si="267"/>
        <v>0</v>
      </c>
      <c r="AJ1317">
        <f t="shared" ca="1" si="268"/>
        <v>0</v>
      </c>
      <c r="AK1317">
        <f t="shared" ca="1" si="269"/>
        <v>0</v>
      </c>
      <c r="AL1317">
        <f t="shared" ca="1" si="270"/>
        <v>0</v>
      </c>
    </row>
    <row r="1318" spans="1:38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#N/A, OFFSET(data!$A$1, ROW()-1, AA$1-1))</f>
        <v>0</v>
      </c>
      <c r="AB1318">
        <f t="shared" ca="1" si="261"/>
        <v>0</v>
      </c>
      <c r="AC1318" t="e">
        <f t="shared" ca="1" si="262"/>
        <v>#VALUE!</v>
      </c>
      <c r="AD1318" t="str">
        <f t="shared" ca="1" si="263"/>
        <v>0</v>
      </c>
      <c r="AE1318" t="str">
        <f t="shared" ca="1" si="264"/>
        <v/>
      </c>
      <c r="AF1318" s="6">
        <f t="shared" ca="1" si="265"/>
        <v>0</v>
      </c>
      <c r="AG1318">
        <f t="shared" ca="1" si="260"/>
        <v>0</v>
      </c>
      <c r="AH1318">
        <f t="shared" ca="1" si="266"/>
        <v>0</v>
      </c>
      <c r="AI1318">
        <f t="shared" ca="1" si="267"/>
        <v>0</v>
      </c>
      <c r="AJ1318">
        <f t="shared" ca="1" si="268"/>
        <v>0</v>
      </c>
      <c r="AK1318">
        <f t="shared" ca="1" si="269"/>
        <v>0</v>
      </c>
      <c r="AL1318">
        <f t="shared" ca="1" si="270"/>
        <v>0</v>
      </c>
    </row>
    <row r="1319" spans="1:38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#N/A, OFFSET(data!$A$1, ROW()-1, AA$1-1))</f>
        <v>0</v>
      </c>
      <c r="AB1319">
        <f t="shared" ca="1" si="261"/>
        <v>0</v>
      </c>
      <c r="AC1319" t="e">
        <f t="shared" ca="1" si="262"/>
        <v>#VALUE!</v>
      </c>
      <c r="AD1319" t="str">
        <f t="shared" ca="1" si="263"/>
        <v>0</v>
      </c>
      <c r="AE1319" t="str">
        <f t="shared" ca="1" si="264"/>
        <v/>
      </c>
      <c r="AF1319" s="6">
        <f t="shared" ca="1" si="265"/>
        <v>0</v>
      </c>
      <c r="AG1319">
        <f t="shared" ca="1" si="260"/>
        <v>0</v>
      </c>
      <c r="AH1319">
        <f t="shared" ca="1" si="266"/>
        <v>0</v>
      </c>
      <c r="AI1319">
        <f t="shared" ca="1" si="267"/>
        <v>0</v>
      </c>
      <c r="AJ1319">
        <f t="shared" ca="1" si="268"/>
        <v>0</v>
      </c>
      <c r="AK1319">
        <f t="shared" ca="1" si="269"/>
        <v>0</v>
      </c>
      <c r="AL1319">
        <f t="shared" ca="1" si="270"/>
        <v>0</v>
      </c>
    </row>
    <row r="1320" spans="1:38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#N/A, OFFSET(data!$A$1, ROW()-1, AA$1-1))</f>
        <v>0</v>
      </c>
      <c r="AB1320">
        <f t="shared" ca="1" si="261"/>
        <v>0</v>
      </c>
      <c r="AC1320" t="e">
        <f t="shared" ca="1" si="262"/>
        <v>#VALUE!</v>
      </c>
      <c r="AD1320" t="str">
        <f t="shared" ca="1" si="263"/>
        <v>0</v>
      </c>
      <c r="AE1320" t="str">
        <f t="shared" ca="1" si="264"/>
        <v/>
      </c>
      <c r="AF1320" s="6">
        <f t="shared" ca="1" si="265"/>
        <v>0</v>
      </c>
      <c r="AG1320">
        <f t="shared" ca="1" si="260"/>
        <v>0</v>
      </c>
      <c r="AH1320">
        <f t="shared" ca="1" si="266"/>
        <v>0</v>
      </c>
      <c r="AI1320">
        <f t="shared" ca="1" si="267"/>
        <v>0</v>
      </c>
      <c r="AJ1320">
        <f t="shared" ca="1" si="268"/>
        <v>0</v>
      </c>
      <c r="AK1320">
        <f t="shared" ca="1" si="269"/>
        <v>0</v>
      </c>
      <c r="AL1320">
        <f t="shared" ca="1" si="270"/>
        <v>0</v>
      </c>
    </row>
    <row r="1321" spans="1:38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#N/A, OFFSET(data!$A$1, ROW()-1, AA$1-1))</f>
        <v>0</v>
      </c>
      <c r="AB1321">
        <f t="shared" ca="1" si="261"/>
        <v>0</v>
      </c>
      <c r="AC1321" t="e">
        <f t="shared" ca="1" si="262"/>
        <v>#VALUE!</v>
      </c>
      <c r="AD1321" t="str">
        <f t="shared" ca="1" si="263"/>
        <v>0</v>
      </c>
      <c r="AE1321" t="str">
        <f t="shared" ca="1" si="264"/>
        <v/>
      </c>
      <c r="AF1321" s="6">
        <f t="shared" ca="1" si="265"/>
        <v>0</v>
      </c>
      <c r="AG1321">
        <f t="shared" ca="1" si="260"/>
        <v>0</v>
      </c>
      <c r="AH1321">
        <f t="shared" ca="1" si="266"/>
        <v>0</v>
      </c>
      <c r="AI1321">
        <f t="shared" ca="1" si="267"/>
        <v>0</v>
      </c>
      <c r="AJ1321">
        <f t="shared" ca="1" si="268"/>
        <v>0</v>
      </c>
      <c r="AK1321">
        <f t="shared" ca="1" si="269"/>
        <v>0</v>
      </c>
      <c r="AL1321">
        <f t="shared" ca="1" si="270"/>
        <v>0</v>
      </c>
    </row>
    <row r="1322" spans="1:38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#N/A, OFFSET(data!$A$1, ROW()-1, AA$1-1))</f>
        <v>0</v>
      </c>
      <c r="AB1322">
        <f t="shared" ca="1" si="261"/>
        <v>0</v>
      </c>
      <c r="AC1322" t="e">
        <f t="shared" ca="1" si="262"/>
        <v>#VALUE!</v>
      </c>
      <c r="AD1322" t="str">
        <f t="shared" ca="1" si="263"/>
        <v>0</v>
      </c>
      <c r="AE1322" t="str">
        <f t="shared" ca="1" si="264"/>
        <v/>
      </c>
      <c r="AF1322" s="6">
        <f t="shared" ca="1" si="265"/>
        <v>0</v>
      </c>
      <c r="AG1322">
        <f t="shared" ca="1" si="260"/>
        <v>0</v>
      </c>
      <c r="AH1322">
        <f t="shared" ca="1" si="266"/>
        <v>0</v>
      </c>
      <c r="AI1322">
        <f t="shared" ca="1" si="267"/>
        <v>0</v>
      </c>
      <c r="AJ1322">
        <f t="shared" ca="1" si="268"/>
        <v>0</v>
      </c>
      <c r="AK1322">
        <f t="shared" ca="1" si="269"/>
        <v>0</v>
      </c>
      <c r="AL1322">
        <f t="shared" ca="1" si="270"/>
        <v>0</v>
      </c>
    </row>
    <row r="1323" spans="1:38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#N/A, OFFSET(data!$A$1, ROW()-1, AA$1-1))</f>
        <v>0</v>
      </c>
      <c r="AB1323">
        <f t="shared" ca="1" si="261"/>
        <v>0</v>
      </c>
      <c r="AC1323" t="e">
        <f t="shared" ca="1" si="262"/>
        <v>#VALUE!</v>
      </c>
      <c r="AD1323" t="str">
        <f t="shared" ca="1" si="263"/>
        <v>0</v>
      </c>
      <c r="AE1323" t="str">
        <f t="shared" ca="1" si="264"/>
        <v/>
      </c>
      <c r="AF1323" s="6">
        <f t="shared" ca="1" si="265"/>
        <v>0</v>
      </c>
      <c r="AG1323">
        <f t="shared" ca="1" si="260"/>
        <v>0</v>
      </c>
      <c r="AH1323">
        <f t="shared" ca="1" si="266"/>
        <v>0</v>
      </c>
      <c r="AI1323">
        <f t="shared" ca="1" si="267"/>
        <v>0</v>
      </c>
      <c r="AJ1323">
        <f t="shared" ca="1" si="268"/>
        <v>0</v>
      </c>
      <c r="AK1323">
        <f t="shared" ca="1" si="269"/>
        <v>0</v>
      </c>
      <c r="AL1323">
        <f t="shared" ca="1" si="270"/>
        <v>0</v>
      </c>
    </row>
    <row r="1324" spans="1:38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#N/A, OFFSET(data!$A$1, ROW()-1, AA$1-1))</f>
        <v>0</v>
      </c>
      <c r="AB1324">
        <f t="shared" ca="1" si="261"/>
        <v>0</v>
      </c>
      <c r="AC1324" t="e">
        <f t="shared" ca="1" si="262"/>
        <v>#VALUE!</v>
      </c>
      <c r="AD1324" t="str">
        <f t="shared" ca="1" si="263"/>
        <v>0</v>
      </c>
      <c r="AE1324" t="str">
        <f t="shared" ca="1" si="264"/>
        <v/>
      </c>
      <c r="AF1324" s="6">
        <f t="shared" ca="1" si="265"/>
        <v>0</v>
      </c>
      <c r="AG1324">
        <f t="shared" ca="1" si="260"/>
        <v>0</v>
      </c>
      <c r="AH1324">
        <f t="shared" ca="1" si="266"/>
        <v>0</v>
      </c>
      <c r="AI1324">
        <f t="shared" ca="1" si="267"/>
        <v>0</v>
      </c>
      <c r="AJ1324">
        <f t="shared" ca="1" si="268"/>
        <v>0</v>
      </c>
      <c r="AK1324">
        <f t="shared" ca="1" si="269"/>
        <v>0</v>
      </c>
      <c r="AL1324">
        <f t="shared" ca="1" si="270"/>
        <v>0</v>
      </c>
    </row>
    <row r="1325" spans="1:38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#N/A, OFFSET(data!$A$1, ROW()-1, AA$1-1))</f>
        <v>0</v>
      </c>
      <c r="AB1325">
        <f t="shared" ca="1" si="261"/>
        <v>0</v>
      </c>
      <c r="AC1325" t="e">
        <f t="shared" ca="1" si="262"/>
        <v>#VALUE!</v>
      </c>
      <c r="AD1325" t="str">
        <f t="shared" ca="1" si="263"/>
        <v>0</v>
      </c>
      <c r="AE1325" t="str">
        <f t="shared" ca="1" si="264"/>
        <v/>
      </c>
      <c r="AF1325" s="6">
        <f t="shared" ca="1" si="265"/>
        <v>0</v>
      </c>
      <c r="AG1325">
        <f t="shared" ca="1" si="260"/>
        <v>0</v>
      </c>
      <c r="AH1325">
        <f t="shared" ca="1" si="266"/>
        <v>0</v>
      </c>
      <c r="AI1325">
        <f t="shared" ca="1" si="267"/>
        <v>0</v>
      </c>
      <c r="AJ1325">
        <f t="shared" ca="1" si="268"/>
        <v>0</v>
      </c>
      <c r="AK1325">
        <f t="shared" ca="1" si="269"/>
        <v>0</v>
      </c>
      <c r="AL1325">
        <f t="shared" ca="1" si="270"/>
        <v>0</v>
      </c>
    </row>
    <row r="1326" spans="1:38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#N/A, OFFSET(data!$A$1, ROW()-1, AA$1-1))</f>
        <v>0</v>
      </c>
      <c r="AB1326">
        <f t="shared" ca="1" si="261"/>
        <v>0</v>
      </c>
      <c r="AC1326" t="e">
        <f t="shared" ca="1" si="262"/>
        <v>#VALUE!</v>
      </c>
      <c r="AD1326" t="str">
        <f t="shared" ca="1" si="263"/>
        <v>0</v>
      </c>
      <c r="AE1326" t="str">
        <f t="shared" ca="1" si="264"/>
        <v/>
      </c>
      <c r="AF1326" s="6">
        <f t="shared" ca="1" si="265"/>
        <v>0</v>
      </c>
      <c r="AG1326">
        <f t="shared" ca="1" si="260"/>
        <v>0</v>
      </c>
      <c r="AH1326">
        <f t="shared" ca="1" si="266"/>
        <v>0</v>
      </c>
      <c r="AI1326">
        <f t="shared" ca="1" si="267"/>
        <v>0</v>
      </c>
      <c r="AJ1326">
        <f t="shared" ca="1" si="268"/>
        <v>0</v>
      </c>
      <c r="AK1326">
        <f t="shared" ca="1" si="269"/>
        <v>0</v>
      </c>
      <c r="AL1326">
        <f t="shared" ca="1" si="270"/>
        <v>0</v>
      </c>
    </row>
    <row r="1327" spans="1:38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#N/A, OFFSET(data!$A$1, ROW()-1, AA$1-1))</f>
        <v>0</v>
      </c>
      <c r="AB1327">
        <f t="shared" ca="1" si="261"/>
        <v>0</v>
      </c>
      <c r="AC1327" t="e">
        <f t="shared" ca="1" si="262"/>
        <v>#VALUE!</v>
      </c>
      <c r="AD1327" t="str">
        <f t="shared" ca="1" si="263"/>
        <v>0</v>
      </c>
      <c r="AE1327" t="str">
        <f t="shared" ca="1" si="264"/>
        <v/>
      </c>
      <c r="AF1327" s="6">
        <f t="shared" ca="1" si="265"/>
        <v>0</v>
      </c>
      <c r="AG1327">
        <f t="shared" ca="1" si="260"/>
        <v>0</v>
      </c>
      <c r="AH1327">
        <f t="shared" ca="1" si="266"/>
        <v>0</v>
      </c>
      <c r="AI1327">
        <f t="shared" ca="1" si="267"/>
        <v>0</v>
      </c>
      <c r="AJ1327">
        <f t="shared" ca="1" si="268"/>
        <v>0</v>
      </c>
      <c r="AK1327">
        <f t="shared" ca="1" si="269"/>
        <v>0</v>
      </c>
      <c r="AL1327">
        <f t="shared" ca="1" si="270"/>
        <v>0</v>
      </c>
    </row>
    <row r="1328" spans="1:38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#N/A, OFFSET(data!$A$1, ROW()-1, AA$1-1))</f>
        <v>0</v>
      </c>
      <c r="AB1328">
        <f t="shared" ca="1" si="261"/>
        <v>0</v>
      </c>
      <c r="AC1328" t="e">
        <f t="shared" ca="1" si="262"/>
        <v>#VALUE!</v>
      </c>
      <c r="AD1328" t="str">
        <f t="shared" ca="1" si="263"/>
        <v>0</v>
      </c>
      <c r="AE1328" t="str">
        <f t="shared" ca="1" si="264"/>
        <v/>
      </c>
      <c r="AF1328" s="6">
        <f t="shared" ca="1" si="265"/>
        <v>0</v>
      </c>
      <c r="AG1328">
        <f t="shared" ca="1" si="260"/>
        <v>0</v>
      </c>
      <c r="AH1328">
        <f t="shared" ca="1" si="266"/>
        <v>0</v>
      </c>
      <c r="AI1328">
        <f t="shared" ca="1" si="267"/>
        <v>0</v>
      </c>
      <c r="AJ1328">
        <f t="shared" ca="1" si="268"/>
        <v>0</v>
      </c>
      <c r="AK1328">
        <f t="shared" ca="1" si="269"/>
        <v>0</v>
      </c>
      <c r="AL1328">
        <f t="shared" ca="1" si="270"/>
        <v>0</v>
      </c>
    </row>
    <row r="1329" spans="1:38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#N/A, OFFSET(data!$A$1, ROW()-1, AA$1-1))</f>
        <v>0</v>
      </c>
      <c r="AB1329">
        <f t="shared" ca="1" si="261"/>
        <v>0</v>
      </c>
      <c r="AC1329" t="e">
        <f t="shared" ca="1" si="262"/>
        <v>#VALUE!</v>
      </c>
      <c r="AD1329" t="str">
        <f t="shared" ca="1" si="263"/>
        <v>0</v>
      </c>
      <c r="AE1329" t="str">
        <f t="shared" ca="1" si="264"/>
        <v/>
      </c>
      <c r="AF1329" s="6">
        <f t="shared" ca="1" si="265"/>
        <v>0</v>
      </c>
      <c r="AG1329">
        <f t="shared" ca="1" si="260"/>
        <v>0</v>
      </c>
      <c r="AH1329">
        <f t="shared" ca="1" si="266"/>
        <v>0</v>
      </c>
      <c r="AI1329">
        <f t="shared" ca="1" si="267"/>
        <v>0</v>
      </c>
      <c r="AJ1329">
        <f t="shared" ca="1" si="268"/>
        <v>0</v>
      </c>
      <c r="AK1329">
        <f t="shared" ca="1" si="269"/>
        <v>0</v>
      </c>
      <c r="AL1329">
        <f t="shared" ca="1" si="270"/>
        <v>0</v>
      </c>
    </row>
    <row r="1330" spans="1:38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#N/A, OFFSET(data!$A$1, ROW()-1, AA$1-1))</f>
        <v>0</v>
      </c>
      <c r="AB1330">
        <f t="shared" ca="1" si="261"/>
        <v>0</v>
      </c>
      <c r="AC1330" t="e">
        <f t="shared" ca="1" si="262"/>
        <v>#VALUE!</v>
      </c>
      <c r="AD1330" t="str">
        <f t="shared" ca="1" si="263"/>
        <v>0</v>
      </c>
      <c r="AE1330" t="str">
        <f t="shared" ca="1" si="264"/>
        <v/>
      </c>
      <c r="AF1330" s="6">
        <f t="shared" ca="1" si="265"/>
        <v>0</v>
      </c>
      <c r="AG1330">
        <f t="shared" ca="1" si="260"/>
        <v>0</v>
      </c>
      <c r="AH1330">
        <f t="shared" ca="1" si="266"/>
        <v>0</v>
      </c>
      <c r="AI1330">
        <f t="shared" ca="1" si="267"/>
        <v>0</v>
      </c>
      <c r="AJ1330">
        <f t="shared" ca="1" si="268"/>
        <v>0</v>
      </c>
      <c r="AK1330">
        <f t="shared" ca="1" si="269"/>
        <v>0</v>
      </c>
      <c r="AL1330">
        <f t="shared" ca="1" si="270"/>
        <v>0</v>
      </c>
    </row>
    <row r="1331" spans="1:38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#N/A, OFFSET(data!$A$1, ROW()-1, AA$1-1))</f>
        <v>0</v>
      </c>
      <c r="AB1331">
        <f t="shared" ca="1" si="261"/>
        <v>0</v>
      </c>
      <c r="AC1331" t="e">
        <f t="shared" ca="1" si="262"/>
        <v>#VALUE!</v>
      </c>
      <c r="AD1331" t="str">
        <f t="shared" ca="1" si="263"/>
        <v>0</v>
      </c>
      <c r="AE1331" t="str">
        <f t="shared" ca="1" si="264"/>
        <v/>
      </c>
      <c r="AF1331" s="6">
        <f t="shared" ca="1" si="265"/>
        <v>0</v>
      </c>
      <c r="AG1331">
        <f t="shared" ca="1" si="260"/>
        <v>0</v>
      </c>
      <c r="AH1331">
        <f t="shared" ca="1" si="266"/>
        <v>0</v>
      </c>
      <c r="AI1331">
        <f t="shared" ca="1" si="267"/>
        <v>0</v>
      </c>
      <c r="AJ1331">
        <f t="shared" ca="1" si="268"/>
        <v>0</v>
      </c>
      <c r="AK1331">
        <f t="shared" ca="1" si="269"/>
        <v>0</v>
      </c>
      <c r="AL1331">
        <f t="shared" ca="1" si="270"/>
        <v>0</v>
      </c>
    </row>
    <row r="1332" spans="1:38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#N/A, OFFSET(data!$A$1, ROW()-1, AA$1-1))</f>
        <v>0</v>
      </c>
      <c r="AB1332">
        <f t="shared" ca="1" si="261"/>
        <v>0</v>
      </c>
      <c r="AC1332" t="e">
        <f t="shared" ca="1" si="262"/>
        <v>#VALUE!</v>
      </c>
      <c r="AD1332" t="str">
        <f t="shared" ca="1" si="263"/>
        <v>0</v>
      </c>
      <c r="AE1332" t="str">
        <f t="shared" ca="1" si="264"/>
        <v/>
      </c>
      <c r="AF1332" s="6">
        <f t="shared" ca="1" si="265"/>
        <v>0</v>
      </c>
      <c r="AG1332">
        <f t="shared" ref="AG1332:AG1395" ca="1" si="271">T1332+W1332</f>
        <v>0</v>
      </c>
      <c r="AH1332">
        <f t="shared" ca="1" si="266"/>
        <v>0</v>
      </c>
      <c r="AI1332">
        <f t="shared" ca="1" si="267"/>
        <v>0</v>
      </c>
      <c r="AJ1332">
        <f t="shared" ca="1" si="268"/>
        <v>0</v>
      </c>
      <c r="AK1332">
        <f t="shared" ca="1" si="269"/>
        <v>0</v>
      </c>
      <c r="AL1332">
        <f t="shared" ca="1" si="270"/>
        <v>0</v>
      </c>
    </row>
    <row r="1333" spans="1:38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#N/A, OFFSET(data!$A$1, ROW()-1, AA$1-1))</f>
        <v>0</v>
      </c>
      <c r="AB1333">
        <f t="shared" ca="1" si="261"/>
        <v>0</v>
      </c>
      <c r="AC1333" t="e">
        <f t="shared" ca="1" si="262"/>
        <v>#VALUE!</v>
      </c>
      <c r="AD1333" t="str">
        <f t="shared" ca="1" si="263"/>
        <v>0</v>
      </c>
      <c r="AE1333" t="str">
        <f t="shared" ca="1" si="264"/>
        <v/>
      </c>
      <c r="AF1333" s="6">
        <f t="shared" ca="1" si="265"/>
        <v>0</v>
      </c>
      <c r="AG1333">
        <f t="shared" ca="1" si="271"/>
        <v>0</v>
      </c>
      <c r="AH1333">
        <f t="shared" ca="1" si="266"/>
        <v>0</v>
      </c>
      <c r="AI1333">
        <f t="shared" ca="1" si="267"/>
        <v>0</v>
      </c>
      <c r="AJ1333">
        <f t="shared" ca="1" si="268"/>
        <v>0</v>
      </c>
      <c r="AK1333">
        <f t="shared" ca="1" si="269"/>
        <v>0</v>
      </c>
      <c r="AL1333">
        <f t="shared" ca="1" si="270"/>
        <v>0</v>
      </c>
    </row>
    <row r="1334" spans="1:38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#N/A, OFFSET(data!$A$1, ROW()-1, AA$1-1))</f>
        <v>0</v>
      </c>
      <c r="AB1334">
        <f t="shared" ca="1" si="261"/>
        <v>0</v>
      </c>
      <c r="AC1334" t="e">
        <f t="shared" ca="1" si="262"/>
        <v>#VALUE!</v>
      </c>
      <c r="AD1334" t="str">
        <f t="shared" ca="1" si="263"/>
        <v>0</v>
      </c>
      <c r="AE1334" t="str">
        <f t="shared" ca="1" si="264"/>
        <v/>
      </c>
      <c r="AF1334" s="6">
        <f t="shared" ca="1" si="265"/>
        <v>0</v>
      </c>
      <c r="AG1334">
        <f t="shared" ca="1" si="271"/>
        <v>0</v>
      </c>
      <c r="AH1334">
        <f t="shared" ca="1" si="266"/>
        <v>0</v>
      </c>
      <c r="AI1334">
        <f t="shared" ca="1" si="267"/>
        <v>0</v>
      </c>
      <c r="AJ1334">
        <f t="shared" ca="1" si="268"/>
        <v>0</v>
      </c>
      <c r="AK1334">
        <f t="shared" ca="1" si="269"/>
        <v>0</v>
      </c>
      <c r="AL1334">
        <f t="shared" ca="1" si="270"/>
        <v>0</v>
      </c>
    </row>
    <row r="1335" spans="1:38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#N/A, OFFSET(data!$A$1, ROW()-1, AA$1-1))</f>
        <v>0</v>
      </c>
      <c r="AB1335">
        <f t="shared" ca="1" si="261"/>
        <v>0</v>
      </c>
      <c r="AC1335" t="e">
        <f t="shared" ca="1" si="262"/>
        <v>#VALUE!</v>
      </c>
      <c r="AD1335" t="str">
        <f t="shared" ca="1" si="263"/>
        <v>0</v>
      </c>
      <c r="AE1335" t="str">
        <f t="shared" ca="1" si="264"/>
        <v/>
      </c>
      <c r="AF1335" s="6">
        <f t="shared" ca="1" si="265"/>
        <v>0</v>
      </c>
      <c r="AG1335">
        <f t="shared" ca="1" si="271"/>
        <v>0</v>
      </c>
      <c r="AH1335">
        <f t="shared" ca="1" si="266"/>
        <v>0</v>
      </c>
      <c r="AI1335">
        <f t="shared" ca="1" si="267"/>
        <v>0</v>
      </c>
      <c r="AJ1335">
        <f t="shared" ca="1" si="268"/>
        <v>0</v>
      </c>
      <c r="AK1335">
        <f t="shared" ca="1" si="269"/>
        <v>0</v>
      </c>
      <c r="AL1335">
        <f t="shared" ca="1" si="270"/>
        <v>0</v>
      </c>
    </row>
    <row r="1336" spans="1:38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#N/A, OFFSET(data!$A$1, ROW()-1, AA$1-1))</f>
        <v>0</v>
      </c>
      <c r="AB1336">
        <f t="shared" ca="1" si="261"/>
        <v>0</v>
      </c>
      <c r="AC1336" t="e">
        <f t="shared" ca="1" si="262"/>
        <v>#VALUE!</v>
      </c>
      <c r="AD1336" t="str">
        <f t="shared" ca="1" si="263"/>
        <v>0</v>
      </c>
      <c r="AE1336" t="str">
        <f t="shared" ca="1" si="264"/>
        <v/>
      </c>
      <c r="AF1336" s="6">
        <f t="shared" ca="1" si="265"/>
        <v>0</v>
      </c>
      <c r="AG1336">
        <f t="shared" ca="1" si="271"/>
        <v>0</v>
      </c>
      <c r="AH1336">
        <f t="shared" ca="1" si="266"/>
        <v>0</v>
      </c>
      <c r="AI1336">
        <f t="shared" ca="1" si="267"/>
        <v>0</v>
      </c>
      <c r="AJ1336">
        <f t="shared" ca="1" si="268"/>
        <v>0</v>
      </c>
      <c r="AK1336">
        <f t="shared" ca="1" si="269"/>
        <v>0</v>
      </c>
      <c r="AL1336">
        <f t="shared" ca="1" si="270"/>
        <v>0</v>
      </c>
    </row>
    <row r="1337" spans="1:38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#N/A, OFFSET(data!$A$1, ROW()-1, AA$1-1))</f>
        <v>0</v>
      </c>
      <c r="AB1337">
        <f t="shared" ca="1" si="261"/>
        <v>0</v>
      </c>
      <c r="AC1337" t="e">
        <f t="shared" ca="1" si="262"/>
        <v>#VALUE!</v>
      </c>
      <c r="AD1337" t="str">
        <f t="shared" ca="1" si="263"/>
        <v>0</v>
      </c>
      <c r="AE1337" t="str">
        <f t="shared" ca="1" si="264"/>
        <v/>
      </c>
      <c r="AF1337" s="6">
        <f t="shared" ca="1" si="265"/>
        <v>0</v>
      </c>
      <c r="AG1337">
        <f t="shared" ca="1" si="271"/>
        <v>0</v>
      </c>
      <c r="AH1337">
        <f t="shared" ca="1" si="266"/>
        <v>0</v>
      </c>
      <c r="AI1337">
        <f t="shared" ca="1" si="267"/>
        <v>0</v>
      </c>
      <c r="AJ1337">
        <f t="shared" ca="1" si="268"/>
        <v>0</v>
      </c>
      <c r="AK1337">
        <f t="shared" ca="1" si="269"/>
        <v>0</v>
      </c>
      <c r="AL1337">
        <f t="shared" ca="1" si="270"/>
        <v>0</v>
      </c>
    </row>
    <row r="1338" spans="1:38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#N/A, OFFSET(data!$A$1, ROW()-1, AA$1-1))</f>
        <v>0</v>
      </c>
      <c r="AB1338">
        <f t="shared" ca="1" si="261"/>
        <v>0</v>
      </c>
      <c r="AC1338" t="e">
        <f t="shared" ca="1" si="262"/>
        <v>#VALUE!</v>
      </c>
      <c r="AD1338" t="str">
        <f t="shared" ca="1" si="263"/>
        <v>0</v>
      </c>
      <c r="AE1338" t="str">
        <f t="shared" ca="1" si="264"/>
        <v/>
      </c>
      <c r="AF1338" s="6">
        <f t="shared" ca="1" si="265"/>
        <v>0</v>
      </c>
      <c r="AG1338">
        <f t="shared" ca="1" si="271"/>
        <v>0</v>
      </c>
      <c r="AH1338">
        <f t="shared" ca="1" si="266"/>
        <v>0</v>
      </c>
      <c r="AI1338">
        <f t="shared" ca="1" si="267"/>
        <v>0</v>
      </c>
      <c r="AJ1338">
        <f t="shared" ca="1" si="268"/>
        <v>0</v>
      </c>
      <c r="AK1338">
        <f t="shared" ca="1" si="269"/>
        <v>0</v>
      </c>
      <c r="AL1338">
        <f t="shared" ca="1" si="270"/>
        <v>0</v>
      </c>
    </row>
    <row r="1339" spans="1:38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#N/A, OFFSET(data!$A$1, ROW()-1, AA$1-1))</f>
        <v>0</v>
      </c>
      <c r="AB1339">
        <f t="shared" ca="1" si="261"/>
        <v>0</v>
      </c>
      <c r="AC1339" t="e">
        <f t="shared" ca="1" si="262"/>
        <v>#VALUE!</v>
      </c>
      <c r="AD1339" t="str">
        <f t="shared" ca="1" si="263"/>
        <v>0</v>
      </c>
      <c r="AE1339" t="str">
        <f t="shared" ca="1" si="264"/>
        <v/>
      </c>
      <c r="AF1339" s="6">
        <f t="shared" ca="1" si="265"/>
        <v>0</v>
      </c>
      <c r="AG1339">
        <f t="shared" ca="1" si="271"/>
        <v>0</v>
      </c>
      <c r="AH1339">
        <f t="shared" ca="1" si="266"/>
        <v>0</v>
      </c>
      <c r="AI1339">
        <f t="shared" ca="1" si="267"/>
        <v>0</v>
      </c>
      <c r="AJ1339">
        <f t="shared" ca="1" si="268"/>
        <v>0</v>
      </c>
      <c r="AK1339">
        <f t="shared" ca="1" si="269"/>
        <v>0</v>
      </c>
      <c r="AL1339">
        <f t="shared" ca="1" si="270"/>
        <v>0</v>
      </c>
    </row>
    <row r="1340" spans="1:38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#N/A, OFFSET(data!$A$1, ROW()-1, AA$1-1))</f>
        <v>0</v>
      </c>
      <c r="AB1340">
        <f t="shared" ca="1" si="261"/>
        <v>0</v>
      </c>
      <c r="AC1340" t="e">
        <f t="shared" ca="1" si="262"/>
        <v>#VALUE!</v>
      </c>
      <c r="AD1340" t="str">
        <f t="shared" ca="1" si="263"/>
        <v>0</v>
      </c>
      <c r="AE1340" t="str">
        <f t="shared" ca="1" si="264"/>
        <v/>
      </c>
      <c r="AF1340" s="6">
        <f t="shared" ca="1" si="265"/>
        <v>0</v>
      </c>
      <c r="AG1340">
        <f t="shared" ca="1" si="271"/>
        <v>0</v>
      </c>
      <c r="AH1340">
        <f t="shared" ca="1" si="266"/>
        <v>0</v>
      </c>
      <c r="AI1340">
        <f t="shared" ca="1" si="267"/>
        <v>0</v>
      </c>
      <c r="AJ1340">
        <f t="shared" ca="1" si="268"/>
        <v>0</v>
      </c>
      <c r="AK1340">
        <f t="shared" ca="1" si="269"/>
        <v>0</v>
      </c>
      <c r="AL1340">
        <f t="shared" ca="1" si="270"/>
        <v>0</v>
      </c>
    </row>
    <row r="1341" spans="1:38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#N/A, OFFSET(data!$A$1, ROW()-1, AA$1-1))</f>
        <v>0</v>
      </c>
      <c r="AB1341">
        <f t="shared" ca="1" si="261"/>
        <v>0</v>
      </c>
      <c r="AC1341" t="e">
        <f t="shared" ca="1" si="262"/>
        <v>#VALUE!</v>
      </c>
      <c r="AD1341" t="str">
        <f t="shared" ca="1" si="263"/>
        <v>0</v>
      </c>
      <c r="AE1341" t="str">
        <f t="shared" ca="1" si="264"/>
        <v/>
      </c>
      <c r="AF1341" s="6">
        <f t="shared" ca="1" si="265"/>
        <v>0</v>
      </c>
      <c r="AG1341">
        <f t="shared" ca="1" si="271"/>
        <v>0</v>
      </c>
      <c r="AH1341">
        <f t="shared" ca="1" si="266"/>
        <v>0</v>
      </c>
      <c r="AI1341">
        <f t="shared" ca="1" si="267"/>
        <v>0</v>
      </c>
      <c r="AJ1341">
        <f t="shared" ca="1" si="268"/>
        <v>0</v>
      </c>
      <c r="AK1341">
        <f t="shared" ca="1" si="269"/>
        <v>0</v>
      </c>
      <c r="AL1341">
        <f t="shared" ca="1" si="270"/>
        <v>0</v>
      </c>
    </row>
    <row r="1342" spans="1:38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#N/A, OFFSET(data!$A$1, ROW()-1, AA$1-1))</f>
        <v>0</v>
      </c>
      <c r="AB1342">
        <f t="shared" ca="1" si="261"/>
        <v>0</v>
      </c>
      <c r="AC1342" t="e">
        <f t="shared" ca="1" si="262"/>
        <v>#VALUE!</v>
      </c>
      <c r="AD1342" t="str">
        <f t="shared" ca="1" si="263"/>
        <v>0</v>
      </c>
      <c r="AE1342" t="str">
        <f t="shared" ca="1" si="264"/>
        <v/>
      </c>
      <c r="AF1342" s="6">
        <f t="shared" ca="1" si="265"/>
        <v>0</v>
      </c>
      <c r="AG1342">
        <f t="shared" ca="1" si="271"/>
        <v>0</v>
      </c>
      <c r="AH1342">
        <f t="shared" ca="1" si="266"/>
        <v>0</v>
      </c>
      <c r="AI1342">
        <f t="shared" ca="1" si="267"/>
        <v>0</v>
      </c>
      <c r="AJ1342">
        <f t="shared" ca="1" si="268"/>
        <v>0</v>
      </c>
      <c r="AK1342">
        <f t="shared" ca="1" si="269"/>
        <v>0</v>
      </c>
      <c r="AL1342">
        <f t="shared" ca="1" si="270"/>
        <v>0</v>
      </c>
    </row>
    <row r="1343" spans="1:38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#N/A, OFFSET(data!$A$1, ROW()-1, AA$1-1))</f>
        <v>0</v>
      </c>
      <c r="AB1343">
        <f t="shared" ca="1" si="261"/>
        <v>0</v>
      </c>
      <c r="AC1343" t="e">
        <f t="shared" ca="1" si="262"/>
        <v>#VALUE!</v>
      </c>
      <c r="AD1343" t="str">
        <f t="shared" ca="1" si="263"/>
        <v>0</v>
      </c>
      <c r="AE1343" t="str">
        <f t="shared" ca="1" si="264"/>
        <v/>
      </c>
      <c r="AF1343" s="6">
        <f t="shared" ca="1" si="265"/>
        <v>0</v>
      </c>
      <c r="AG1343">
        <f t="shared" ca="1" si="271"/>
        <v>0</v>
      </c>
      <c r="AH1343">
        <f t="shared" ca="1" si="266"/>
        <v>0</v>
      </c>
      <c r="AI1343">
        <f t="shared" ca="1" si="267"/>
        <v>0</v>
      </c>
      <c r="AJ1343">
        <f t="shared" ca="1" si="268"/>
        <v>0</v>
      </c>
      <c r="AK1343">
        <f t="shared" ca="1" si="269"/>
        <v>0</v>
      </c>
      <c r="AL1343">
        <f t="shared" ca="1" si="270"/>
        <v>0</v>
      </c>
    </row>
    <row r="1344" spans="1:38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#N/A, OFFSET(data!$A$1, ROW()-1, AA$1-1))</f>
        <v>0</v>
      </c>
      <c r="AB1344">
        <f t="shared" ca="1" si="261"/>
        <v>0</v>
      </c>
      <c r="AC1344" t="e">
        <f t="shared" ca="1" si="262"/>
        <v>#VALUE!</v>
      </c>
      <c r="AD1344" t="str">
        <f t="shared" ca="1" si="263"/>
        <v>0</v>
      </c>
      <c r="AE1344" t="str">
        <f t="shared" ca="1" si="264"/>
        <v/>
      </c>
      <c r="AF1344" s="6">
        <f t="shared" ca="1" si="265"/>
        <v>0</v>
      </c>
      <c r="AG1344">
        <f t="shared" ca="1" si="271"/>
        <v>0</v>
      </c>
      <c r="AH1344">
        <f t="shared" ca="1" si="266"/>
        <v>0</v>
      </c>
      <c r="AI1344">
        <f t="shared" ca="1" si="267"/>
        <v>0</v>
      </c>
      <c r="AJ1344">
        <f t="shared" ca="1" si="268"/>
        <v>0</v>
      </c>
      <c r="AK1344">
        <f t="shared" ca="1" si="269"/>
        <v>0</v>
      </c>
      <c r="AL1344">
        <f t="shared" ca="1" si="270"/>
        <v>0</v>
      </c>
    </row>
    <row r="1345" spans="1:38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#N/A, OFFSET(data!$A$1, ROW()-1, AA$1-1))</f>
        <v>0</v>
      </c>
      <c r="AB1345">
        <f t="shared" ca="1" si="261"/>
        <v>0</v>
      </c>
      <c r="AC1345" t="e">
        <f t="shared" ca="1" si="262"/>
        <v>#VALUE!</v>
      </c>
      <c r="AD1345" t="str">
        <f t="shared" ca="1" si="263"/>
        <v>0</v>
      </c>
      <c r="AE1345" t="str">
        <f t="shared" ca="1" si="264"/>
        <v/>
      </c>
      <c r="AF1345" s="6">
        <f t="shared" ca="1" si="265"/>
        <v>0</v>
      </c>
      <c r="AG1345">
        <f t="shared" ca="1" si="271"/>
        <v>0</v>
      </c>
      <c r="AH1345">
        <f t="shared" ca="1" si="266"/>
        <v>0</v>
      </c>
      <c r="AI1345">
        <f t="shared" ca="1" si="267"/>
        <v>0</v>
      </c>
      <c r="AJ1345">
        <f t="shared" ca="1" si="268"/>
        <v>0</v>
      </c>
      <c r="AK1345">
        <f t="shared" ca="1" si="269"/>
        <v>0</v>
      </c>
      <c r="AL1345">
        <f t="shared" ca="1" si="270"/>
        <v>0</v>
      </c>
    </row>
    <row r="1346" spans="1:38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#N/A, OFFSET(data!$A$1, ROW()-1, AA$1-1))</f>
        <v>0</v>
      </c>
      <c r="AB1346">
        <f t="shared" ca="1" si="261"/>
        <v>0</v>
      </c>
      <c r="AC1346" t="e">
        <f t="shared" ca="1" si="262"/>
        <v>#VALUE!</v>
      </c>
      <c r="AD1346" t="str">
        <f t="shared" ca="1" si="263"/>
        <v>0</v>
      </c>
      <c r="AE1346" t="str">
        <f t="shared" ca="1" si="264"/>
        <v/>
      </c>
      <c r="AF1346" s="6">
        <f t="shared" ca="1" si="265"/>
        <v>0</v>
      </c>
      <c r="AG1346">
        <f t="shared" ca="1" si="271"/>
        <v>0</v>
      </c>
      <c r="AH1346">
        <f t="shared" ca="1" si="266"/>
        <v>0</v>
      </c>
      <c r="AI1346">
        <f t="shared" ca="1" si="267"/>
        <v>0</v>
      </c>
      <c r="AJ1346">
        <f t="shared" ca="1" si="268"/>
        <v>0</v>
      </c>
      <c r="AK1346">
        <f t="shared" ca="1" si="269"/>
        <v>0</v>
      </c>
      <c r="AL1346">
        <f t="shared" ca="1" si="270"/>
        <v>0</v>
      </c>
    </row>
    <row r="1347" spans="1:38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#N/A, OFFSET(data!$A$1, ROW()-1, AA$1-1))</f>
        <v>0</v>
      </c>
      <c r="AB1347">
        <f t="shared" ref="AB1347:AB1410" ca="1" si="272">VALUE(LEFT(C1347, 4))</f>
        <v>0</v>
      </c>
      <c r="AC1347" t="e">
        <f t="shared" ref="AC1347:AC1410" ca="1" si="273">VALUE(MID(C1347, 6, 2))</f>
        <v>#VALUE!</v>
      </c>
      <c r="AD1347" t="str">
        <f t="shared" ref="AD1347:AD1410" ca="1" si="274">SUBSTITUTE(MID(C1347,6,6)&amp;LEFT(C1347,4), "-", "/")</f>
        <v>0</v>
      </c>
      <c r="AE1347" t="str">
        <f t="shared" ref="AE1347:AE1410" ca="1" si="275">IF(RIGHT(C1347, 5)="12:00", AD1347, "")</f>
        <v/>
      </c>
      <c r="AF1347" s="6">
        <f t="shared" ref="AF1347:AF1410" ca="1" si="276">Z1347/1000</f>
        <v>0</v>
      </c>
      <c r="AG1347">
        <f t="shared" ca="1" si="271"/>
        <v>0</v>
      </c>
      <c r="AH1347">
        <f t="shared" ca="1" si="266"/>
        <v>0</v>
      </c>
      <c r="AI1347">
        <f t="shared" ca="1" si="267"/>
        <v>0</v>
      </c>
      <c r="AJ1347">
        <f t="shared" ca="1" si="268"/>
        <v>0</v>
      </c>
      <c r="AK1347">
        <f t="shared" ca="1" si="269"/>
        <v>0</v>
      </c>
      <c r="AL1347">
        <f t="shared" ca="1" si="270"/>
        <v>0</v>
      </c>
    </row>
    <row r="1348" spans="1:38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#N/A, OFFSET(data!$A$1, ROW()-1, AA$1-1))</f>
        <v>0</v>
      </c>
      <c r="AB1348">
        <f t="shared" ca="1" si="272"/>
        <v>0</v>
      </c>
      <c r="AC1348" t="e">
        <f t="shared" ca="1" si="273"/>
        <v>#VALUE!</v>
      </c>
      <c r="AD1348" t="str">
        <f t="shared" ca="1" si="274"/>
        <v>0</v>
      </c>
      <c r="AE1348" t="str">
        <f t="shared" ca="1" si="275"/>
        <v/>
      </c>
      <c r="AF1348" s="6">
        <f t="shared" ca="1" si="276"/>
        <v>0</v>
      </c>
      <c r="AG1348">
        <f t="shared" ca="1" si="271"/>
        <v>0</v>
      </c>
      <c r="AH1348">
        <f t="shared" ref="AH1348:AH1411" ca="1" si="277">MAX(S1348,Y1348)</f>
        <v>0</v>
      </c>
      <c r="AI1348">
        <f t="shared" ref="AI1348:AI1411" ca="1" si="278">MAX(R1348,V1348)</f>
        <v>0</v>
      </c>
      <c r="AJ1348">
        <f t="shared" ref="AJ1348:AJ1411" ca="1" si="279">K1348+N1348</f>
        <v>0</v>
      </c>
      <c r="AK1348">
        <f t="shared" ref="AK1348:AK1411" ca="1" si="280">L1348+O1348</f>
        <v>0</v>
      </c>
      <c r="AL1348">
        <f t="shared" ref="AL1348:AL1411" ca="1" si="281">M1348+P1348</f>
        <v>0</v>
      </c>
    </row>
    <row r="1349" spans="1:38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#N/A, OFFSET(data!$A$1, ROW()-1, AA$1-1))</f>
        <v>0</v>
      </c>
      <c r="AB1349">
        <f t="shared" ca="1" si="272"/>
        <v>0</v>
      </c>
      <c r="AC1349" t="e">
        <f t="shared" ca="1" si="273"/>
        <v>#VALUE!</v>
      </c>
      <c r="AD1349" t="str">
        <f t="shared" ca="1" si="274"/>
        <v>0</v>
      </c>
      <c r="AE1349" t="str">
        <f t="shared" ca="1" si="275"/>
        <v/>
      </c>
      <c r="AF1349" s="6">
        <f t="shared" ca="1" si="276"/>
        <v>0</v>
      </c>
      <c r="AG1349">
        <f t="shared" ca="1" si="271"/>
        <v>0</v>
      </c>
      <c r="AH1349">
        <f t="shared" ca="1" si="277"/>
        <v>0</v>
      </c>
      <c r="AI1349">
        <f t="shared" ca="1" si="278"/>
        <v>0</v>
      </c>
      <c r="AJ1349">
        <f t="shared" ca="1" si="279"/>
        <v>0</v>
      </c>
      <c r="AK1349">
        <f t="shared" ca="1" si="280"/>
        <v>0</v>
      </c>
      <c r="AL1349">
        <f t="shared" ca="1" si="281"/>
        <v>0</v>
      </c>
    </row>
    <row r="1350" spans="1:38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#N/A, OFFSET(data!$A$1, ROW()-1, AA$1-1))</f>
        <v>0</v>
      </c>
      <c r="AB1350">
        <f t="shared" ca="1" si="272"/>
        <v>0</v>
      </c>
      <c r="AC1350" t="e">
        <f t="shared" ca="1" si="273"/>
        <v>#VALUE!</v>
      </c>
      <c r="AD1350" t="str">
        <f t="shared" ca="1" si="274"/>
        <v>0</v>
      </c>
      <c r="AE1350" t="str">
        <f t="shared" ca="1" si="275"/>
        <v/>
      </c>
      <c r="AF1350" s="6">
        <f t="shared" ca="1" si="276"/>
        <v>0</v>
      </c>
      <c r="AG1350">
        <f t="shared" ca="1" si="271"/>
        <v>0</v>
      </c>
      <c r="AH1350">
        <f t="shared" ca="1" si="277"/>
        <v>0</v>
      </c>
      <c r="AI1350">
        <f t="shared" ca="1" si="278"/>
        <v>0</v>
      </c>
      <c r="AJ1350">
        <f t="shared" ca="1" si="279"/>
        <v>0</v>
      </c>
      <c r="AK1350">
        <f t="shared" ca="1" si="280"/>
        <v>0</v>
      </c>
      <c r="AL1350">
        <f t="shared" ca="1" si="281"/>
        <v>0</v>
      </c>
    </row>
    <row r="1351" spans="1:38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#N/A, OFFSET(data!$A$1, ROW()-1, AA$1-1))</f>
        <v>0</v>
      </c>
      <c r="AB1351">
        <f t="shared" ca="1" si="272"/>
        <v>0</v>
      </c>
      <c r="AC1351" t="e">
        <f t="shared" ca="1" si="273"/>
        <v>#VALUE!</v>
      </c>
      <c r="AD1351" t="str">
        <f t="shared" ca="1" si="274"/>
        <v>0</v>
      </c>
      <c r="AE1351" t="str">
        <f t="shared" ca="1" si="275"/>
        <v/>
      </c>
      <c r="AF1351" s="6">
        <f t="shared" ca="1" si="276"/>
        <v>0</v>
      </c>
      <c r="AG1351">
        <f t="shared" ca="1" si="271"/>
        <v>0</v>
      </c>
      <c r="AH1351">
        <f t="shared" ca="1" si="277"/>
        <v>0</v>
      </c>
      <c r="AI1351">
        <f t="shared" ca="1" si="278"/>
        <v>0</v>
      </c>
      <c r="AJ1351">
        <f t="shared" ca="1" si="279"/>
        <v>0</v>
      </c>
      <c r="AK1351">
        <f t="shared" ca="1" si="280"/>
        <v>0</v>
      </c>
      <c r="AL1351">
        <f t="shared" ca="1" si="281"/>
        <v>0</v>
      </c>
    </row>
    <row r="1352" spans="1:38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#N/A, OFFSET(data!$A$1, ROW()-1, AA$1-1))</f>
        <v>0</v>
      </c>
      <c r="AB1352">
        <f t="shared" ca="1" si="272"/>
        <v>0</v>
      </c>
      <c r="AC1352" t="e">
        <f t="shared" ca="1" si="273"/>
        <v>#VALUE!</v>
      </c>
      <c r="AD1352" t="str">
        <f t="shared" ca="1" si="274"/>
        <v>0</v>
      </c>
      <c r="AE1352" t="str">
        <f t="shared" ca="1" si="275"/>
        <v/>
      </c>
      <c r="AF1352" s="6">
        <f t="shared" ca="1" si="276"/>
        <v>0</v>
      </c>
      <c r="AG1352">
        <f t="shared" ca="1" si="271"/>
        <v>0</v>
      </c>
      <c r="AH1352">
        <f t="shared" ca="1" si="277"/>
        <v>0</v>
      </c>
      <c r="AI1352">
        <f t="shared" ca="1" si="278"/>
        <v>0</v>
      </c>
      <c r="AJ1352">
        <f t="shared" ca="1" si="279"/>
        <v>0</v>
      </c>
      <c r="AK1352">
        <f t="shared" ca="1" si="280"/>
        <v>0</v>
      </c>
      <c r="AL1352">
        <f t="shared" ca="1" si="281"/>
        <v>0</v>
      </c>
    </row>
    <row r="1353" spans="1:38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#N/A, OFFSET(data!$A$1, ROW()-1, AA$1-1))</f>
        <v>0</v>
      </c>
      <c r="AB1353">
        <f t="shared" ca="1" si="272"/>
        <v>0</v>
      </c>
      <c r="AC1353" t="e">
        <f t="shared" ca="1" si="273"/>
        <v>#VALUE!</v>
      </c>
      <c r="AD1353" t="str">
        <f t="shared" ca="1" si="274"/>
        <v>0</v>
      </c>
      <c r="AE1353" t="str">
        <f t="shared" ca="1" si="275"/>
        <v/>
      </c>
      <c r="AF1353" s="6">
        <f t="shared" ca="1" si="276"/>
        <v>0</v>
      </c>
      <c r="AG1353">
        <f t="shared" ca="1" si="271"/>
        <v>0</v>
      </c>
      <c r="AH1353">
        <f t="shared" ca="1" si="277"/>
        <v>0</v>
      </c>
      <c r="AI1353">
        <f t="shared" ca="1" si="278"/>
        <v>0</v>
      </c>
      <c r="AJ1353">
        <f t="shared" ca="1" si="279"/>
        <v>0</v>
      </c>
      <c r="AK1353">
        <f t="shared" ca="1" si="280"/>
        <v>0</v>
      </c>
      <c r="AL1353">
        <f t="shared" ca="1" si="281"/>
        <v>0</v>
      </c>
    </row>
    <row r="1354" spans="1:38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#N/A, OFFSET(data!$A$1, ROW()-1, AA$1-1))</f>
        <v>0</v>
      </c>
      <c r="AB1354">
        <f t="shared" ca="1" si="272"/>
        <v>0</v>
      </c>
      <c r="AC1354" t="e">
        <f t="shared" ca="1" si="273"/>
        <v>#VALUE!</v>
      </c>
      <c r="AD1354" t="str">
        <f t="shared" ca="1" si="274"/>
        <v>0</v>
      </c>
      <c r="AE1354" t="str">
        <f t="shared" ca="1" si="275"/>
        <v/>
      </c>
      <c r="AF1354" s="6">
        <f t="shared" ca="1" si="276"/>
        <v>0</v>
      </c>
      <c r="AG1354">
        <f t="shared" ca="1" si="271"/>
        <v>0</v>
      </c>
      <c r="AH1354">
        <f t="shared" ca="1" si="277"/>
        <v>0</v>
      </c>
      <c r="AI1354">
        <f t="shared" ca="1" si="278"/>
        <v>0</v>
      </c>
      <c r="AJ1354">
        <f t="shared" ca="1" si="279"/>
        <v>0</v>
      </c>
      <c r="AK1354">
        <f t="shared" ca="1" si="280"/>
        <v>0</v>
      </c>
      <c r="AL1354">
        <f t="shared" ca="1" si="281"/>
        <v>0</v>
      </c>
    </row>
    <row r="1355" spans="1:38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#N/A, OFFSET(data!$A$1, ROW()-1, AA$1-1))</f>
        <v>0</v>
      </c>
      <c r="AB1355">
        <f t="shared" ca="1" si="272"/>
        <v>0</v>
      </c>
      <c r="AC1355" t="e">
        <f t="shared" ca="1" si="273"/>
        <v>#VALUE!</v>
      </c>
      <c r="AD1355" t="str">
        <f t="shared" ca="1" si="274"/>
        <v>0</v>
      </c>
      <c r="AE1355" t="str">
        <f t="shared" ca="1" si="275"/>
        <v/>
      </c>
      <c r="AF1355" s="6">
        <f t="shared" ca="1" si="276"/>
        <v>0</v>
      </c>
      <c r="AG1355">
        <f t="shared" ca="1" si="271"/>
        <v>0</v>
      </c>
      <c r="AH1355">
        <f t="shared" ca="1" si="277"/>
        <v>0</v>
      </c>
      <c r="AI1355">
        <f t="shared" ca="1" si="278"/>
        <v>0</v>
      </c>
      <c r="AJ1355">
        <f t="shared" ca="1" si="279"/>
        <v>0</v>
      </c>
      <c r="AK1355">
        <f t="shared" ca="1" si="280"/>
        <v>0</v>
      </c>
      <c r="AL1355">
        <f t="shared" ca="1" si="281"/>
        <v>0</v>
      </c>
    </row>
    <row r="1356" spans="1:38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#N/A, OFFSET(data!$A$1, ROW()-1, AA$1-1))</f>
        <v>0</v>
      </c>
      <c r="AB1356">
        <f t="shared" ca="1" si="272"/>
        <v>0</v>
      </c>
      <c r="AC1356" t="e">
        <f t="shared" ca="1" si="273"/>
        <v>#VALUE!</v>
      </c>
      <c r="AD1356" t="str">
        <f t="shared" ca="1" si="274"/>
        <v>0</v>
      </c>
      <c r="AE1356" t="str">
        <f t="shared" ca="1" si="275"/>
        <v/>
      </c>
      <c r="AF1356" s="6">
        <f t="shared" ca="1" si="276"/>
        <v>0</v>
      </c>
      <c r="AG1356">
        <f t="shared" ca="1" si="271"/>
        <v>0</v>
      </c>
      <c r="AH1356">
        <f t="shared" ca="1" si="277"/>
        <v>0</v>
      </c>
      <c r="AI1356">
        <f t="shared" ca="1" si="278"/>
        <v>0</v>
      </c>
      <c r="AJ1356">
        <f t="shared" ca="1" si="279"/>
        <v>0</v>
      </c>
      <c r="AK1356">
        <f t="shared" ca="1" si="280"/>
        <v>0</v>
      </c>
      <c r="AL1356">
        <f t="shared" ca="1" si="281"/>
        <v>0</v>
      </c>
    </row>
    <row r="1357" spans="1:38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#N/A, OFFSET(data!$A$1, ROW()-1, AA$1-1))</f>
        <v>0</v>
      </c>
      <c r="AB1357">
        <f t="shared" ca="1" si="272"/>
        <v>0</v>
      </c>
      <c r="AC1357" t="e">
        <f t="shared" ca="1" si="273"/>
        <v>#VALUE!</v>
      </c>
      <c r="AD1357" t="str">
        <f t="shared" ca="1" si="274"/>
        <v>0</v>
      </c>
      <c r="AE1357" t="str">
        <f t="shared" ca="1" si="275"/>
        <v/>
      </c>
      <c r="AF1357" s="6">
        <f t="shared" ca="1" si="276"/>
        <v>0</v>
      </c>
      <c r="AG1357">
        <f t="shared" ca="1" si="271"/>
        <v>0</v>
      </c>
      <c r="AH1357">
        <f t="shared" ca="1" si="277"/>
        <v>0</v>
      </c>
      <c r="AI1357">
        <f t="shared" ca="1" si="278"/>
        <v>0</v>
      </c>
      <c r="AJ1357">
        <f t="shared" ca="1" si="279"/>
        <v>0</v>
      </c>
      <c r="AK1357">
        <f t="shared" ca="1" si="280"/>
        <v>0</v>
      </c>
      <c r="AL1357">
        <f t="shared" ca="1" si="281"/>
        <v>0</v>
      </c>
    </row>
    <row r="1358" spans="1:38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#N/A, OFFSET(data!$A$1, ROW()-1, AA$1-1))</f>
        <v>0</v>
      </c>
      <c r="AB1358">
        <f t="shared" ca="1" si="272"/>
        <v>0</v>
      </c>
      <c r="AC1358" t="e">
        <f t="shared" ca="1" si="273"/>
        <v>#VALUE!</v>
      </c>
      <c r="AD1358" t="str">
        <f t="shared" ca="1" si="274"/>
        <v>0</v>
      </c>
      <c r="AE1358" t="str">
        <f t="shared" ca="1" si="275"/>
        <v/>
      </c>
      <c r="AF1358" s="6">
        <f t="shared" ca="1" si="276"/>
        <v>0</v>
      </c>
      <c r="AG1358">
        <f t="shared" ca="1" si="271"/>
        <v>0</v>
      </c>
      <c r="AH1358">
        <f t="shared" ca="1" si="277"/>
        <v>0</v>
      </c>
      <c r="AI1358">
        <f t="shared" ca="1" si="278"/>
        <v>0</v>
      </c>
      <c r="AJ1358">
        <f t="shared" ca="1" si="279"/>
        <v>0</v>
      </c>
      <c r="AK1358">
        <f t="shared" ca="1" si="280"/>
        <v>0</v>
      </c>
      <c r="AL1358">
        <f t="shared" ca="1" si="281"/>
        <v>0</v>
      </c>
    </row>
    <row r="1359" spans="1:38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#N/A, OFFSET(data!$A$1, ROW()-1, AA$1-1))</f>
        <v>0</v>
      </c>
      <c r="AB1359">
        <f t="shared" ca="1" si="272"/>
        <v>0</v>
      </c>
      <c r="AC1359" t="e">
        <f t="shared" ca="1" si="273"/>
        <v>#VALUE!</v>
      </c>
      <c r="AD1359" t="str">
        <f t="shared" ca="1" si="274"/>
        <v>0</v>
      </c>
      <c r="AE1359" t="str">
        <f t="shared" ca="1" si="275"/>
        <v/>
      </c>
      <c r="AF1359" s="6">
        <f t="shared" ca="1" si="276"/>
        <v>0</v>
      </c>
      <c r="AG1359">
        <f t="shared" ca="1" si="271"/>
        <v>0</v>
      </c>
      <c r="AH1359">
        <f t="shared" ca="1" si="277"/>
        <v>0</v>
      </c>
      <c r="AI1359">
        <f t="shared" ca="1" si="278"/>
        <v>0</v>
      </c>
      <c r="AJ1359">
        <f t="shared" ca="1" si="279"/>
        <v>0</v>
      </c>
      <c r="AK1359">
        <f t="shared" ca="1" si="280"/>
        <v>0</v>
      </c>
      <c r="AL1359">
        <f t="shared" ca="1" si="281"/>
        <v>0</v>
      </c>
    </row>
    <row r="1360" spans="1:38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#N/A, OFFSET(data!$A$1, ROW()-1, AA$1-1))</f>
        <v>0</v>
      </c>
      <c r="AB1360">
        <f t="shared" ca="1" si="272"/>
        <v>0</v>
      </c>
      <c r="AC1360" t="e">
        <f t="shared" ca="1" si="273"/>
        <v>#VALUE!</v>
      </c>
      <c r="AD1360" t="str">
        <f t="shared" ca="1" si="274"/>
        <v>0</v>
      </c>
      <c r="AE1360" t="str">
        <f t="shared" ca="1" si="275"/>
        <v/>
      </c>
      <c r="AF1360" s="6">
        <f t="shared" ca="1" si="276"/>
        <v>0</v>
      </c>
      <c r="AG1360">
        <f t="shared" ca="1" si="271"/>
        <v>0</v>
      </c>
      <c r="AH1360">
        <f t="shared" ca="1" si="277"/>
        <v>0</v>
      </c>
      <c r="AI1360">
        <f t="shared" ca="1" si="278"/>
        <v>0</v>
      </c>
      <c r="AJ1360">
        <f t="shared" ca="1" si="279"/>
        <v>0</v>
      </c>
      <c r="AK1360">
        <f t="shared" ca="1" si="280"/>
        <v>0</v>
      </c>
      <c r="AL1360">
        <f t="shared" ca="1" si="281"/>
        <v>0</v>
      </c>
    </row>
    <row r="1361" spans="1:38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#N/A, OFFSET(data!$A$1, ROW()-1, AA$1-1))</f>
        <v>0</v>
      </c>
      <c r="AB1361">
        <f t="shared" ca="1" si="272"/>
        <v>0</v>
      </c>
      <c r="AC1361" t="e">
        <f t="shared" ca="1" si="273"/>
        <v>#VALUE!</v>
      </c>
      <c r="AD1361" t="str">
        <f t="shared" ca="1" si="274"/>
        <v>0</v>
      </c>
      <c r="AE1361" t="str">
        <f t="shared" ca="1" si="275"/>
        <v/>
      </c>
      <c r="AF1361" s="6">
        <f t="shared" ca="1" si="276"/>
        <v>0</v>
      </c>
      <c r="AG1361">
        <f t="shared" ca="1" si="271"/>
        <v>0</v>
      </c>
      <c r="AH1361">
        <f t="shared" ca="1" si="277"/>
        <v>0</v>
      </c>
      <c r="AI1361">
        <f t="shared" ca="1" si="278"/>
        <v>0</v>
      </c>
      <c r="AJ1361">
        <f t="shared" ca="1" si="279"/>
        <v>0</v>
      </c>
      <c r="AK1361">
        <f t="shared" ca="1" si="280"/>
        <v>0</v>
      </c>
      <c r="AL1361">
        <f t="shared" ca="1" si="281"/>
        <v>0</v>
      </c>
    </row>
    <row r="1362" spans="1:38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#N/A, OFFSET(data!$A$1, ROW()-1, AA$1-1))</f>
        <v>0</v>
      </c>
      <c r="AB1362">
        <f t="shared" ca="1" si="272"/>
        <v>0</v>
      </c>
      <c r="AC1362" t="e">
        <f t="shared" ca="1" si="273"/>
        <v>#VALUE!</v>
      </c>
      <c r="AD1362" t="str">
        <f t="shared" ca="1" si="274"/>
        <v>0</v>
      </c>
      <c r="AE1362" t="str">
        <f t="shared" ca="1" si="275"/>
        <v/>
      </c>
      <c r="AF1362" s="6">
        <f t="shared" ca="1" si="276"/>
        <v>0</v>
      </c>
      <c r="AG1362">
        <f t="shared" ca="1" si="271"/>
        <v>0</v>
      </c>
      <c r="AH1362">
        <f t="shared" ca="1" si="277"/>
        <v>0</v>
      </c>
      <c r="AI1362">
        <f t="shared" ca="1" si="278"/>
        <v>0</v>
      </c>
      <c r="AJ1362">
        <f t="shared" ca="1" si="279"/>
        <v>0</v>
      </c>
      <c r="AK1362">
        <f t="shared" ca="1" si="280"/>
        <v>0</v>
      </c>
      <c r="AL1362">
        <f t="shared" ca="1" si="281"/>
        <v>0</v>
      </c>
    </row>
    <row r="1363" spans="1:38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#N/A, OFFSET(data!$A$1, ROW()-1, AA$1-1))</f>
        <v>0</v>
      </c>
      <c r="AB1363">
        <f t="shared" ca="1" si="272"/>
        <v>0</v>
      </c>
      <c r="AC1363" t="e">
        <f t="shared" ca="1" si="273"/>
        <v>#VALUE!</v>
      </c>
      <c r="AD1363" t="str">
        <f t="shared" ca="1" si="274"/>
        <v>0</v>
      </c>
      <c r="AE1363" t="str">
        <f t="shared" ca="1" si="275"/>
        <v/>
      </c>
      <c r="AF1363" s="6">
        <f t="shared" ca="1" si="276"/>
        <v>0</v>
      </c>
      <c r="AG1363">
        <f t="shared" ca="1" si="271"/>
        <v>0</v>
      </c>
      <c r="AH1363">
        <f t="shared" ca="1" si="277"/>
        <v>0</v>
      </c>
      <c r="AI1363">
        <f t="shared" ca="1" si="278"/>
        <v>0</v>
      </c>
      <c r="AJ1363">
        <f t="shared" ca="1" si="279"/>
        <v>0</v>
      </c>
      <c r="AK1363">
        <f t="shared" ca="1" si="280"/>
        <v>0</v>
      </c>
      <c r="AL1363">
        <f t="shared" ca="1" si="281"/>
        <v>0</v>
      </c>
    </row>
    <row r="1364" spans="1:38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#N/A, OFFSET(data!$A$1, ROW()-1, AA$1-1))</f>
        <v>0</v>
      </c>
      <c r="AB1364">
        <f t="shared" ca="1" si="272"/>
        <v>0</v>
      </c>
      <c r="AC1364" t="e">
        <f t="shared" ca="1" si="273"/>
        <v>#VALUE!</v>
      </c>
      <c r="AD1364" t="str">
        <f t="shared" ca="1" si="274"/>
        <v>0</v>
      </c>
      <c r="AE1364" t="str">
        <f t="shared" ca="1" si="275"/>
        <v/>
      </c>
      <c r="AF1364" s="6">
        <f t="shared" ca="1" si="276"/>
        <v>0</v>
      </c>
      <c r="AG1364">
        <f t="shared" ca="1" si="271"/>
        <v>0</v>
      </c>
      <c r="AH1364">
        <f t="shared" ca="1" si="277"/>
        <v>0</v>
      </c>
      <c r="AI1364">
        <f t="shared" ca="1" si="278"/>
        <v>0</v>
      </c>
      <c r="AJ1364">
        <f t="shared" ca="1" si="279"/>
        <v>0</v>
      </c>
      <c r="AK1364">
        <f t="shared" ca="1" si="280"/>
        <v>0</v>
      </c>
      <c r="AL1364">
        <f t="shared" ca="1" si="281"/>
        <v>0</v>
      </c>
    </row>
    <row r="1365" spans="1:38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#N/A, OFFSET(data!$A$1, ROW()-1, AA$1-1))</f>
        <v>0</v>
      </c>
      <c r="AB1365">
        <f t="shared" ca="1" si="272"/>
        <v>0</v>
      </c>
      <c r="AC1365" t="e">
        <f t="shared" ca="1" si="273"/>
        <v>#VALUE!</v>
      </c>
      <c r="AD1365" t="str">
        <f t="shared" ca="1" si="274"/>
        <v>0</v>
      </c>
      <c r="AE1365" t="str">
        <f t="shared" ca="1" si="275"/>
        <v/>
      </c>
      <c r="AF1365" s="6">
        <f t="shared" ca="1" si="276"/>
        <v>0</v>
      </c>
      <c r="AG1365">
        <f t="shared" ca="1" si="271"/>
        <v>0</v>
      </c>
      <c r="AH1365">
        <f t="shared" ca="1" si="277"/>
        <v>0</v>
      </c>
      <c r="AI1365">
        <f t="shared" ca="1" si="278"/>
        <v>0</v>
      </c>
      <c r="AJ1365">
        <f t="shared" ca="1" si="279"/>
        <v>0</v>
      </c>
      <c r="AK1365">
        <f t="shared" ca="1" si="280"/>
        <v>0</v>
      </c>
      <c r="AL1365">
        <f t="shared" ca="1" si="281"/>
        <v>0</v>
      </c>
    </row>
    <row r="1366" spans="1:38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#N/A, OFFSET(data!$A$1, ROW()-1, AA$1-1))</f>
        <v>0</v>
      </c>
      <c r="AB1366">
        <f t="shared" ca="1" si="272"/>
        <v>0</v>
      </c>
      <c r="AC1366" t="e">
        <f t="shared" ca="1" si="273"/>
        <v>#VALUE!</v>
      </c>
      <c r="AD1366" t="str">
        <f t="shared" ca="1" si="274"/>
        <v>0</v>
      </c>
      <c r="AE1366" t="str">
        <f t="shared" ca="1" si="275"/>
        <v/>
      </c>
      <c r="AF1366" s="6">
        <f t="shared" ca="1" si="276"/>
        <v>0</v>
      </c>
      <c r="AG1366">
        <f t="shared" ca="1" si="271"/>
        <v>0</v>
      </c>
      <c r="AH1366">
        <f t="shared" ca="1" si="277"/>
        <v>0</v>
      </c>
      <c r="AI1366">
        <f t="shared" ca="1" si="278"/>
        <v>0</v>
      </c>
      <c r="AJ1366">
        <f t="shared" ca="1" si="279"/>
        <v>0</v>
      </c>
      <c r="AK1366">
        <f t="shared" ca="1" si="280"/>
        <v>0</v>
      </c>
      <c r="AL1366">
        <f t="shared" ca="1" si="281"/>
        <v>0</v>
      </c>
    </row>
    <row r="1367" spans="1:38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#N/A, OFFSET(data!$A$1, ROW()-1, AA$1-1))</f>
        <v>0</v>
      </c>
      <c r="AB1367">
        <f t="shared" ca="1" si="272"/>
        <v>0</v>
      </c>
      <c r="AC1367" t="e">
        <f t="shared" ca="1" si="273"/>
        <v>#VALUE!</v>
      </c>
      <c r="AD1367" t="str">
        <f t="shared" ca="1" si="274"/>
        <v>0</v>
      </c>
      <c r="AE1367" t="str">
        <f t="shared" ca="1" si="275"/>
        <v/>
      </c>
      <c r="AF1367" s="6">
        <f t="shared" ca="1" si="276"/>
        <v>0</v>
      </c>
      <c r="AG1367">
        <f t="shared" ca="1" si="271"/>
        <v>0</v>
      </c>
      <c r="AH1367">
        <f t="shared" ca="1" si="277"/>
        <v>0</v>
      </c>
      <c r="AI1367">
        <f t="shared" ca="1" si="278"/>
        <v>0</v>
      </c>
      <c r="AJ1367">
        <f t="shared" ca="1" si="279"/>
        <v>0</v>
      </c>
      <c r="AK1367">
        <f t="shared" ca="1" si="280"/>
        <v>0</v>
      </c>
      <c r="AL1367">
        <f t="shared" ca="1" si="281"/>
        <v>0</v>
      </c>
    </row>
    <row r="1368" spans="1:38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#N/A, OFFSET(data!$A$1, ROW()-1, AA$1-1))</f>
        <v>0</v>
      </c>
      <c r="AB1368">
        <f t="shared" ca="1" si="272"/>
        <v>0</v>
      </c>
      <c r="AC1368" t="e">
        <f t="shared" ca="1" si="273"/>
        <v>#VALUE!</v>
      </c>
      <c r="AD1368" t="str">
        <f t="shared" ca="1" si="274"/>
        <v>0</v>
      </c>
      <c r="AE1368" t="str">
        <f t="shared" ca="1" si="275"/>
        <v/>
      </c>
      <c r="AF1368" s="6">
        <f t="shared" ca="1" si="276"/>
        <v>0</v>
      </c>
      <c r="AG1368">
        <f t="shared" ca="1" si="271"/>
        <v>0</v>
      </c>
      <c r="AH1368">
        <f t="shared" ca="1" si="277"/>
        <v>0</v>
      </c>
      <c r="AI1368">
        <f t="shared" ca="1" si="278"/>
        <v>0</v>
      </c>
      <c r="AJ1368">
        <f t="shared" ca="1" si="279"/>
        <v>0</v>
      </c>
      <c r="AK1368">
        <f t="shared" ca="1" si="280"/>
        <v>0</v>
      </c>
      <c r="AL1368">
        <f t="shared" ca="1" si="281"/>
        <v>0</v>
      </c>
    </row>
    <row r="1369" spans="1:38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#N/A, OFFSET(data!$A$1, ROW()-1, AA$1-1))</f>
        <v>0</v>
      </c>
      <c r="AB1369">
        <f t="shared" ca="1" si="272"/>
        <v>0</v>
      </c>
      <c r="AC1369" t="e">
        <f t="shared" ca="1" si="273"/>
        <v>#VALUE!</v>
      </c>
      <c r="AD1369" t="str">
        <f t="shared" ca="1" si="274"/>
        <v>0</v>
      </c>
      <c r="AE1369" t="str">
        <f t="shared" ca="1" si="275"/>
        <v/>
      </c>
      <c r="AF1369" s="6">
        <f t="shared" ca="1" si="276"/>
        <v>0</v>
      </c>
      <c r="AG1369">
        <f t="shared" ca="1" si="271"/>
        <v>0</v>
      </c>
      <c r="AH1369">
        <f t="shared" ca="1" si="277"/>
        <v>0</v>
      </c>
      <c r="AI1369">
        <f t="shared" ca="1" si="278"/>
        <v>0</v>
      </c>
      <c r="AJ1369">
        <f t="shared" ca="1" si="279"/>
        <v>0</v>
      </c>
      <c r="AK1369">
        <f t="shared" ca="1" si="280"/>
        <v>0</v>
      </c>
      <c r="AL1369">
        <f t="shared" ca="1" si="281"/>
        <v>0</v>
      </c>
    </row>
    <row r="1370" spans="1:38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#N/A, OFFSET(data!$A$1, ROW()-1, AA$1-1))</f>
        <v>0</v>
      </c>
      <c r="AB1370">
        <f t="shared" ca="1" si="272"/>
        <v>0</v>
      </c>
      <c r="AC1370" t="e">
        <f t="shared" ca="1" si="273"/>
        <v>#VALUE!</v>
      </c>
      <c r="AD1370" t="str">
        <f t="shared" ca="1" si="274"/>
        <v>0</v>
      </c>
      <c r="AE1370" t="str">
        <f t="shared" ca="1" si="275"/>
        <v/>
      </c>
      <c r="AF1370" s="6">
        <f t="shared" ca="1" si="276"/>
        <v>0</v>
      </c>
      <c r="AG1370">
        <f t="shared" ca="1" si="271"/>
        <v>0</v>
      </c>
      <c r="AH1370">
        <f t="shared" ca="1" si="277"/>
        <v>0</v>
      </c>
      <c r="AI1370">
        <f t="shared" ca="1" si="278"/>
        <v>0</v>
      </c>
      <c r="AJ1370">
        <f t="shared" ca="1" si="279"/>
        <v>0</v>
      </c>
      <c r="AK1370">
        <f t="shared" ca="1" si="280"/>
        <v>0</v>
      </c>
      <c r="AL1370">
        <f t="shared" ca="1" si="281"/>
        <v>0</v>
      </c>
    </row>
    <row r="1371" spans="1:38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#N/A, OFFSET(data!$A$1, ROW()-1, AA$1-1))</f>
        <v>0</v>
      </c>
      <c r="AB1371">
        <f t="shared" ca="1" si="272"/>
        <v>0</v>
      </c>
      <c r="AC1371" t="e">
        <f t="shared" ca="1" si="273"/>
        <v>#VALUE!</v>
      </c>
      <c r="AD1371" t="str">
        <f t="shared" ca="1" si="274"/>
        <v>0</v>
      </c>
      <c r="AE1371" t="str">
        <f t="shared" ca="1" si="275"/>
        <v/>
      </c>
      <c r="AF1371" s="6">
        <f t="shared" ca="1" si="276"/>
        <v>0</v>
      </c>
      <c r="AG1371">
        <f t="shared" ca="1" si="271"/>
        <v>0</v>
      </c>
      <c r="AH1371">
        <f t="shared" ca="1" si="277"/>
        <v>0</v>
      </c>
      <c r="AI1371">
        <f t="shared" ca="1" si="278"/>
        <v>0</v>
      </c>
      <c r="AJ1371">
        <f t="shared" ca="1" si="279"/>
        <v>0</v>
      </c>
      <c r="AK1371">
        <f t="shared" ca="1" si="280"/>
        <v>0</v>
      </c>
      <c r="AL1371">
        <f t="shared" ca="1" si="281"/>
        <v>0</v>
      </c>
    </row>
    <row r="1372" spans="1:38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#N/A, OFFSET(data!$A$1, ROW()-1, AA$1-1))</f>
        <v>0</v>
      </c>
      <c r="AB1372">
        <f t="shared" ca="1" si="272"/>
        <v>0</v>
      </c>
      <c r="AC1372" t="e">
        <f t="shared" ca="1" si="273"/>
        <v>#VALUE!</v>
      </c>
      <c r="AD1372" t="str">
        <f t="shared" ca="1" si="274"/>
        <v>0</v>
      </c>
      <c r="AE1372" t="str">
        <f t="shared" ca="1" si="275"/>
        <v/>
      </c>
      <c r="AF1372" s="6">
        <f t="shared" ca="1" si="276"/>
        <v>0</v>
      </c>
      <c r="AG1372">
        <f t="shared" ca="1" si="271"/>
        <v>0</v>
      </c>
      <c r="AH1372">
        <f t="shared" ca="1" si="277"/>
        <v>0</v>
      </c>
      <c r="AI1372">
        <f t="shared" ca="1" si="278"/>
        <v>0</v>
      </c>
      <c r="AJ1372">
        <f t="shared" ca="1" si="279"/>
        <v>0</v>
      </c>
      <c r="AK1372">
        <f t="shared" ca="1" si="280"/>
        <v>0</v>
      </c>
      <c r="AL1372">
        <f t="shared" ca="1" si="281"/>
        <v>0</v>
      </c>
    </row>
    <row r="1373" spans="1:38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#N/A, OFFSET(data!$A$1, ROW()-1, AA$1-1))</f>
        <v>0</v>
      </c>
      <c r="AB1373">
        <f t="shared" ca="1" si="272"/>
        <v>0</v>
      </c>
      <c r="AC1373" t="e">
        <f t="shared" ca="1" si="273"/>
        <v>#VALUE!</v>
      </c>
      <c r="AD1373" t="str">
        <f t="shared" ca="1" si="274"/>
        <v>0</v>
      </c>
      <c r="AE1373" t="str">
        <f t="shared" ca="1" si="275"/>
        <v/>
      </c>
      <c r="AF1373" s="6">
        <f t="shared" ca="1" si="276"/>
        <v>0</v>
      </c>
      <c r="AG1373">
        <f t="shared" ca="1" si="271"/>
        <v>0</v>
      </c>
      <c r="AH1373">
        <f t="shared" ca="1" si="277"/>
        <v>0</v>
      </c>
      <c r="AI1373">
        <f t="shared" ca="1" si="278"/>
        <v>0</v>
      </c>
      <c r="AJ1373">
        <f t="shared" ca="1" si="279"/>
        <v>0</v>
      </c>
      <c r="AK1373">
        <f t="shared" ca="1" si="280"/>
        <v>0</v>
      </c>
      <c r="AL1373">
        <f t="shared" ca="1" si="281"/>
        <v>0</v>
      </c>
    </row>
    <row r="1374" spans="1:38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#N/A, OFFSET(data!$A$1, ROW()-1, AA$1-1))</f>
        <v>0</v>
      </c>
      <c r="AB1374">
        <f t="shared" ca="1" si="272"/>
        <v>0</v>
      </c>
      <c r="AC1374" t="e">
        <f t="shared" ca="1" si="273"/>
        <v>#VALUE!</v>
      </c>
      <c r="AD1374" t="str">
        <f t="shared" ca="1" si="274"/>
        <v>0</v>
      </c>
      <c r="AE1374" t="str">
        <f t="shared" ca="1" si="275"/>
        <v/>
      </c>
      <c r="AF1374" s="6">
        <f t="shared" ca="1" si="276"/>
        <v>0</v>
      </c>
      <c r="AG1374">
        <f t="shared" ca="1" si="271"/>
        <v>0</v>
      </c>
      <c r="AH1374">
        <f t="shared" ca="1" si="277"/>
        <v>0</v>
      </c>
      <c r="AI1374">
        <f t="shared" ca="1" si="278"/>
        <v>0</v>
      </c>
      <c r="AJ1374">
        <f t="shared" ca="1" si="279"/>
        <v>0</v>
      </c>
      <c r="AK1374">
        <f t="shared" ca="1" si="280"/>
        <v>0</v>
      </c>
      <c r="AL1374">
        <f t="shared" ca="1" si="281"/>
        <v>0</v>
      </c>
    </row>
    <row r="1375" spans="1:38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#N/A, OFFSET(data!$A$1, ROW()-1, AA$1-1))</f>
        <v>0</v>
      </c>
      <c r="AB1375">
        <f t="shared" ca="1" si="272"/>
        <v>0</v>
      </c>
      <c r="AC1375" t="e">
        <f t="shared" ca="1" si="273"/>
        <v>#VALUE!</v>
      </c>
      <c r="AD1375" t="str">
        <f t="shared" ca="1" si="274"/>
        <v>0</v>
      </c>
      <c r="AE1375" t="str">
        <f t="shared" ca="1" si="275"/>
        <v/>
      </c>
      <c r="AF1375" s="6">
        <f t="shared" ca="1" si="276"/>
        <v>0</v>
      </c>
      <c r="AG1375">
        <f t="shared" ca="1" si="271"/>
        <v>0</v>
      </c>
      <c r="AH1375">
        <f t="shared" ca="1" si="277"/>
        <v>0</v>
      </c>
      <c r="AI1375">
        <f t="shared" ca="1" si="278"/>
        <v>0</v>
      </c>
      <c r="AJ1375">
        <f t="shared" ca="1" si="279"/>
        <v>0</v>
      </c>
      <c r="AK1375">
        <f t="shared" ca="1" si="280"/>
        <v>0</v>
      </c>
      <c r="AL1375">
        <f t="shared" ca="1" si="281"/>
        <v>0</v>
      </c>
    </row>
    <row r="1376" spans="1:38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#N/A, OFFSET(data!$A$1, ROW()-1, AA$1-1))</f>
        <v>0</v>
      </c>
      <c r="AB1376">
        <f t="shared" ca="1" si="272"/>
        <v>0</v>
      </c>
      <c r="AC1376" t="e">
        <f t="shared" ca="1" si="273"/>
        <v>#VALUE!</v>
      </c>
      <c r="AD1376" t="str">
        <f t="shared" ca="1" si="274"/>
        <v>0</v>
      </c>
      <c r="AE1376" t="str">
        <f t="shared" ca="1" si="275"/>
        <v/>
      </c>
      <c r="AF1376" s="6">
        <f t="shared" ca="1" si="276"/>
        <v>0</v>
      </c>
      <c r="AG1376">
        <f t="shared" ca="1" si="271"/>
        <v>0</v>
      </c>
      <c r="AH1376">
        <f t="shared" ca="1" si="277"/>
        <v>0</v>
      </c>
      <c r="AI1376">
        <f t="shared" ca="1" si="278"/>
        <v>0</v>
      </c>
      <c r="AJ1376">
        <f t="shared" ca="1" si="279"/>
        <v>0</v>
      </c>
      <c r="AK1376">
        <f t="shared" ca="1" si="280"/>
        <v>0</v>
      </c>
      <c r="AL1376">
        <f t="shared" ca="1" si="281"/>
        <v>0</v>
      </c>
    </row>
    <row r="1377" spans="1:38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#N/A, OFFSET(data!$A$1, ROW()-1, AA$1-1))</f>
        <v>0</v>
      </c>
      <c r="AB1377">
        <f t="shared" ca="1" si="272"/>
        <v>0</v>
      </c>
      <c r="AC1377" t="e">
        <f t="shared" ca="1" si="273"/>
        <v>#VALUE!</v>
      </c>
      <c r="AD1377" t="str">
        <f t="shared" ca="1" si="274"/>
        <v>0</v>
      </c>
      <c r="AE1377" t="str">
        <f t="shared" ca="1" si="275"/>
        <v/>
      </c>
      <c r="AF1377" s="6">
        <f t="shared" ca="1" si="276"/>
        <v>0</v>
      </c>
      <c r="AG1377">
        <f t="shared" ca="1" si="271"/>
        <v>0</v>
      </c>
      <c r="AH1377">
        <f t="shared" ca="1" si="277"/>
        <v>0</v>
      </c>
      <c r="AI1377">
        <f t="shared" ca="1" si="278"/>
        <v>0</v>
      </c>
      <c r="AJ1377">
        <f t="shared" ca="1" si="279"/>
        <v>0</v>
      </c>
      <c r="AK1377">
        <f t="shared" ca="1" si="280"/>
        <v>0</v>
      </c>
      <c r="AL1377">
        <f t="shared" ca="1" si="281"/>
        <v>0</v>
      </c>
    </row>
    <row r="1378" spans="1:38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#N/A, OFFSET(data!$A$1, ROW()-1, AA$1-1))</f>
        <v>0</v>
      </c>
      <c r="AB1378">
        <f t="shared" ca="1" si="272"/>
        <v>0</v>
      </c>
      <c r="AC1378" t="e">
        <f t="shared" ca="1" si="273"/>
        <v>#VALUE!</v>
      </c>
      <c r="AD1378" t="str">
        <f t="shared" ca="1" si="274"/>
        <v>0</v>
      </c>
      <c r="AE1378" t="str">
        <f t="shared" ca="1" si="275"/>
        <v/>
      </c>
      <c r="AF1378" s="6">
        <f t="shared" ca="1" si="276"/>
        <v>0</v>
      </c>
      <c r="AG1378">
        <f t="shared" ca="1" si="271"/>
        <v>0</v>
      </c>
      <c r="AH1378">
        <f t="shared" ca="1" si="277"/>
        <v>0</v>
      </c>
      <c r="AI1378">
        <f t="shared" ca="1" si="278"/>
        <v>0</v>
      </c>
      <c r="AJ1378">
        <f t="shared" ca="1" si="279"/>
        <v>0</v>
      </c>
      <c r="AK1378">
        <f t="shared" ca="1" si="280"/>
        <v>0</v>
      </c>
      <c r="AL1378">
        <f t="shared" ca="1" si="281"/>
        <v>0</v>
      </c>
    </row>
    <row r="1379" spans="1:38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#N/A, OFFSET(data!$A$1, ROW()-1, AA$1-1))</f>
        <v>0</v>
      </c>
      <c r="AB1379">
        <f t="shared" ca="1" si="272"/>
        <v>0</v>
      </c>
      <c r="AC1379" t="e">
        <f t="shared" ca="1" si="273"/>
        <v>#VALUE!</v>
      </c>
      <c r="AD1379" t="str">
        <f t="shared" ca="1" si="274"/>
        <v>0</v>
      </c>
      <c r="AE1379" t="str">
        <f t="shared" ca="1" si="275"/>
        <v/>
      </c>
      <c r="AF1379" s="6">
        <f t="shared" ca="1" si="276"/>
        <v>0</v>
      </c>
      <c r="AG1379">
        <f t="shared" ca="1" si="271"/>
        <v>0</v>
      </c>
      <c r="AH1379">
        <f t="shared" ca="1" si="277"/>
        <v>0</v>
      </c>
      <c r="AI1379">
        <f t="shared" ca="1" si="278"/>
        <v>0</v>
      </c>
      <c r="AJ1379">
        <f t="shared" ca="1" si="279"/>
        <v>0</v>
      </c>
      <c r="AK1379">
        <f t="shared" ca="1" si="280"/>
        <v>0</v>
      </c>
      <c r="AL1379">
        <f t="shared" ca="1" si="281"/>
        <v>0</v>
      </c>
    </row>
    <row r="1380" spans="1:38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#N/A, OFFSET(data!$A$1, ROW()-1, AA$1-1))</f>
        <v>0</v>
      </c>
      <c r="AB1380">
        <f t="shared" ca="1" si="272"/>
        <v>0</v>
      </c>
      <c r="AC1380" t="e">
        <f t="shared" ca="1" si="273"/>
        <v>#VALUE!</v>
      </c>
      <c r="AD1380" t="str">
        <f t="shared" ca="1" si="274"/>
        <v>0</v>
      </c>
      <c r="AE1380" t="str">
        <f t="shared" ca="1" si="275"/>
        <v/>
      </c>
      <c r="AF1380" s="6">
        <f t="shared" ca="1" si="276"/>
        <v>0</v>
      </c>
      <c r="AG1380">
        <f t="shared" ca="1" si="271"/>
        <v>0</v>
      </c>
      <c r="AH1380">
        <f t="shared" ca="1" si="277"/>
        <v>0</v>
      </c>
      <c r="AI1380">
        <f t="shared" ca="1" si="278"/>
        <v>0</v>
      </c>
      <c r="AJ1380">
        <f t="shared" ca="1" si="279"/>
        <v>0</v>
      </c>
      <c r="AK1380">
        <f t="shared" ca="1" si="280"/>
        <v>0</v>
      </c>
      <c r="AL1380">
        <f t="shared" ca="1" si="281"/>
        <v>0</v>
      </c>
    </row>
    <row r="1381" spans="1:38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#N/A, OFFSET(data!$A$1, ROW()-1, AA$1-1))</f>
        <v>0</v>
      </c>
      <c r="AB1381">
        <f t="shared" ca="1" si="272"/>
        <v>0</v>
      </c>
      <c r="AC1381" t="e">
        <f t="shared" ca="1" si="273"/>
        <v>#VALUE!</v>
      </c>
      <c r="AD1381" t="str">
        <f t="shared" ca="1" si="274"/>
        <v>0</v>
      </c>
      <c r="AE1381" t="str">
        <f t="shared" ca="1" si="275"/>
        <v/>
      </c>
      <c r="AF1381" s="6">
        <f t="shared" ca="1" si="276"/>
        <v>0</v>
      </c>
      <c r="AG1381">
        <f t="shared" ca="1" si="271"/>
        <v>0</v>
      </c>
      <c r="AH1381">
        <f t="shared" ca="1" si="277"/>
        <v>0</v>
      </c>
      <c r="AI1381">
        <f t="shared" ca="1" si="278"/>
        <v>0</v>
      </c>
      <c r="AJ1381">
        <f t="shared" ca="1" si="279"/>
        <v>0</v>
      </c>
      <c r="AK1381">
        <f t="shared" ca="1" si="280"/>
        <v>0</v>
      </c>
      <c r="AL1381">
        <f t="shared" ca="1" si="281"/>
        <v>0</v>
      </c>
    </row>
    <row r="1382" spans="1:38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#N/A, OFFSET(data!$A$1, ROW()-1, AA$1-1))</f>
        <v>0</v>
      </c>
      <c r="AB1382">
        <f t="shared" ca="1" si="272"/>
        <v>0</v>
      </c>
      <c r="AC1382" t="e">
        <f t="shared" ca="1" si="273"/>
        <v>#VALUE!</v>
      </c>
      <c r="AD1382" t="str">
        <f t="shared" ca="1" si="274"/>
        <v>0</v>
      </c>
      <c r="AE1382" t="str">
        <f t="shared" ca="1" si="275"/>
        <v/>
      </c>
      <c r="AF1382" s="6">
        <f t="shared" ca="1" si="276"/>
        <v>0</v>
      </c>
      <c r="AG1382">
        <f t="shared" ca="1" si="271"/>
        <v>0</v>
      </c>
      <c r="AH1382">
        <f t="shared" ca="1" si="277"/>
        <v>0</v>
      </c>
      <c r="AI1382">
        <f t="shared" ca="1" si="278"/>
        <v>0</v>
      </c>
      <c r="AJ1382">
        <f t="shared" ca="1" si="279"/>
        <v>0</v>
      </c>
      <c r="AK1382">
        <f t="shared" ca="1" si="280"/>
        <v>0</v>
      </c>
      <c r="AL1382">
        <f t="shared" ca="1" si="281"/>
        <v>0</v>
      </c>
    </row>
    <row r="1383" spans="1:38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#N/A, OFFSET(data!$A$1, ROW()-1, AA$1-1))</f>
        <v>0</v>
      </c>
      <c r="AB1383">
        <f t="shared" ca="1" si="272"/>
        <v>0</v>
      </c>
      <c r="AC1383" t="e">
        <f t="shared" ca="1" si="273"/>
        <v>#VALUE!</v>
      </c>
      <c r="AD1383" t="str">
        <f t="shared" ca="1" si="274"/>
        <v>0</v>
      </c>
      <c r="AE1383" t="str">
        <f t="shared" ca="1" si="275"/>
        <v/>
      </c>
      <c r="AF1383" s="6">
        <f t="shared" ca="1" si="276"/>
        <v>0</v>
      </c>
      <c r="AG1383">
        <f t="shared" ca="1" si="271"/>
        <v>0</v>
      </c>
      <c r="AH1383">
        <f t="shared" ca="1" si="277"/>
        <v>0</v>
      </c>
      <c r="AI1383">
        <f t="shared" ca="1" si="278"/>
        <v>0</v>
      </c>
      <c r="AJ1383">
        <f t="shared" ca="1" si="279"/>
        <v>0</v>
      </c>
      <c r="AK1383">
        <f t="shared" ca="1" si="280"/>
        <v>0</v>
      </c>
      <c r="AL1383">
        <f t="shared" ca="1" si="281"/>
        <v>0</v>
      </c>
    </row>
    <row r="1384" spans="1:38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#N/A, OFFSET(data!$A$1, ROW()-1, AA$1-1))</f>
        <v>0</v>
      </c>
      <c r="AB1384">
        <f t="shared" ca="1" si="272"/>
        <v>0</v>
      </c>
      <c r="AC1384" t="e">
        <f t="shared" ca="1" si="273"/>
        <v>#VALUE!</v>
      </c>
      <c r="AD1384" t="str">
        <f t="shared" ca="1" si="274"/>
        <v>0</v>
      </c>
      <c r="AE1384" t="str">
        <f t="shared" ca="1" si="275"/>
        <v/>
      </c>
      <c r="AF1384" s="6">
        <f t="shared" ca="1" si="276"/>
        <v>0</v>
      </c>
      <c r="AG1384">
        <f t="shared" ca="1" si="271"/>
        <v>0</v>
      </c>
      <c r="AH1384">
        <f t="shared" ca="1" si="277"/>
        <v>0</v>
      </c>
      <c r="AI1384">
        <f t="shared" ca="1" si="278"/>
        <v>0</v>
      </c>
      <c r="AJ1384">
        <f t="shared" ca="1" si="279"/>
        <v>0</v>
      </c>
      <c r="AK1384">
        <f t="shared" ca="1" si="280"/>
        <v>0</v>
      </c>
      <c r="AL1384">
        <f t="shared" ca="1" si="281"/>
        <v>0</v>
      </c>
    </row>
    <row r="1385" spans="1:38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#N/A, OFFSET(data!$A$1, ROW()-1, AA$1-1))</f>
        <v>0</v>
      </c>
      <c r="AB1385">
        <f t="shared" ca="1" si="272"/>
        <v>0</v>
      </c>
      <c r="AC1385" t="e">
        <f t="shared" ca="1" si="273"/>
        <v>#VALUE!</v>
      </c>
      <c r="AD1385" t="str">
        <f t="shared" ca="1" si="274"/>
        <v>0</v>
      </c>
      <c r="AE1385" t="str">
        <f t="shared" ca="1" si="275"/>
        <v/>
      </c>
      <c r="AF1385" s="6">
        <f t="shared" ca="1" si="276"/>
        <v>0</v>
      </c>
      <c r="AG1385">
        <f t="shared" ca="1" si="271"/>
        <v>0</v>
      </c>
      <c r="AH1385">
        <f t="shared" ca="1" si="277"/>
        <v>0</v>
      </c>
      <c r="AI1385">
        <f t="shared" ca="1" si="278"/>
        <v>0</v>
      </c>
      <c r="AJ1385">
        <f t="shared" ca="1" si="279"/>
        <v>0</v>
      </c>
      <c r="AK1385">
        <f t="shared" ca="1" si="280"/>
        <v>0</v>
      </c>
      <c r="AL1385">
        <f t="shared" ca="1" si="281"/>
        <v>0</v>
      </c>
    </row>
    <row r="1386" spans="1:38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#N/A, OFFSET(data!$A$1, ROW()-1, AA$1-1))</f>
        <v>0</v>
      </c>
      <c r="AB1386">
        <f t="shared" ca="1" si="272"/>
        <v>0</v>
      </c>
      <c r="AC1386" t="e">
        <f t="shared" ca="1" si="273"/>
        <v>#VALUE!</v>
      </c>
      <c r="AD1386" t="str">
        <f t="shared" ca="1" si="274"/>
        <v>0</v>
      </c>
      <c r="AE1386" t="str">
        <f t="shared" ca="1" si="275"/>
        <v/>
      </c>
      <c r="AF1386" s="6">
        <f t="shared" ca="1" si="276"/>
        <v>0</v>
      </c>
      <c r="AG1386">
        <f t="shared" ca="1" si="271"/>
        <v>0</v>
      </c>
      <c r="AH1386">
        <f t="shared" ca="1" si="277"/>
        <v>0</v>
      </c>
      <c r="AI1386">
        <f t="shared" ca="1" si="278"/>
        <v>0</v>
      </c>
      <c r="AJ1386">
        <f t="shared" ca="1" si="279"/>
        <v>0</v>
      </c>
      <c r="AK1386">
        <f t="shared" ca="1" si="280"/>
        <v>0</v>
      </c>
      <c r="AL1386">
        <f t="shared" ca="1" si="281"/>
        <v>0</v>
      </c>
    </row>
    <row r="1387" spans="1:38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#N/A, OFFSET(data!$A$1, ROW()-1, AA$1-1))</f>
        <v>0</v>
      </c>
      <c r="AB1387">
        <f t="shared" ca="1" si="272"/>
        <v>0</v>
      </c>
      <c r="AC1387" t="e">
        <f t="shared" ca="1" si="273"/>
        <v>#VALUE!</v>
      </c>
      <c r="AD1387" t="str">
        <f t="shared" ca="1" si="274"/>
        <v>0</v>
      </c>
      <c r="AE1387" t="str">
        <f t="shared" ca="1" si="275"/>
        <v/>
      </c>
      <c r="AF1387" s="6">
        <f t="shared" ca="1" si="276"/>
        <v>0</v>
      </c>
      <c r="AG1387">
        <f t="shared" ca="1" si="271"/>
        <v>0</v>
      </c>
      <c r="AH1387">
        <f t="shared" ca="1" si="277"/>
        <v>0</v>
      </c>
      <c r="AI1387">
        <f t="shared" ca="1" si="278"/>
        <v>0</v>
      </c>
      <c r="AJ1387">
        <f t="shared" ca="1" si="279"/>
        <v>0</v>
      </c>
      <c r="AK1387">
        <f t="shared" ca="1" si="280"/>
        <v>0</v>
      </c>
      <c r="AL1387">
        <f t="shared" ca="1" si="281"/>
        <v>0</v>
      </c>
    </row>
    <row r="1388" spans="1:38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#N/A, OFFSET(data!$A$1, ROW()-1, AA$1-1))</f>
        <v>0</v>
      </c>
      <c r="AB1388">
        <f t="shared" ca="1" si="272"/>
        <v>0</v>
      </c>
      <c r="AC1388" t="e">
        <f t="shared" ca="1" si="273"/>
        <v>#VALUE!</v>
      </c>
      <c r="AD1388" t="str">
        <f t="shared" ca="1" si="274"/>
        <v>0</v>
      </c>
      <c r="AE1388" t="str">
        <f t="shared" ca="1" si="275"/>
        <v/>
      </c>
      <c r="AF1388" s="6">
        <f t="shared" ca="1" si="276"/>
        <v>0</v>
      </c>
      <c r="AG1388">
        <f t="shared" ca="1" si="271"/>
        <v>0</v>
      </c>
      <c r="AH1388">
        <f t="shared" ca="1" si="277"/>
        <v>0</v>
      </c>
      <c r="AI1388">
        <f t="shared" ca="1" si="278"/>
        <v>0</v>
      </c>
      <c r="AJ1388">
        <f t="shared" ca="1" si="279"/>
        <v>0</v>
      </c>
      <c r="AK1388">
        <f t="shared" ca="1" si="280"/>
        <v>0</v>
      </c>
      <c r="AL1388">
        <f t="shared" ca="1" si="281"/>
        <v>0</v>
      </c>
    </row>
    <row r="1389" spans="1:38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#N/A, OFFSET(data!$A$1, ROW()-1, AA$1-1))</f>
        <v>0</v>
      </c>
      <c r="AB1389">
        <f t="shared" ca="1" si="272"/>
        <v>0</v>
      </c>
      <c r="AC1389" t="e">
        <f t="shared" ca="1" si="273"/>
        <v>#VALUE!</v>
      </c>
      <c r="AD1389" t="str">
        <f t="shared" ca="1" si="274"/>
        <v>0</v>
      </c>
      <c r="AE1389" t="str">
        <f t="shared" ca="1" si="275"/>
        <v/>
      </c>
      <c r="AF1389" s="6">
        <f t="shared" ca="1" si="276"/>
        <v>0</v>
      </c>
      <c r="AG1389">
        <f t="shared" ca="1" si="271"/>
        <v>0</v>
      </c>
      <c r="AH1389">
        <f t="shared" ca="1" si="277"/>
        <v>0</v>
      </c>
      <c r="AI1389">
        <f t="shared" ca="1" si="278"/>
        <v>0</v>
      </c>
      <c r="AJ1389">
        <f t="shared" ca="1" si="279"/>
        <v>0</v>
      </c>
      <c r="AK1389">
        <f t="shared" ca="1" si="280"/>
        <v>0</v>
      </c>
      <c r="AL1389">
        <f t="shared" ca="1" si="281"/>
        <v>0</v>
      </c>
    </row>
    <row r="1390" spans="1:38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#N/A, OFFSET(data!$A$1, ROW()-1, AA$1-1))</f>
        <v>0</v>
      </c>
      <c r="AB1390">
        <f t="shared" ca="1" si="272"/>
        <v>0</v>
      </c>
      <c r="AC1390" t="e">
        <f t="shared" ca="1" si="273"/>
        <v>#VALUE!</v>
      </c>
      <c r="AD1390" t="str">
        <f t="shared" ca="1" si="274"/>
        <v>0</v>
      </c>
      <c r="AE1390" t="str">
        <f t="shared" ca="1" si="275"/>
        <v/>
      </c>
      <c r="AF1390" s="6">
        <f t="shared" ca="1" si="276"/>
        <v>0</v>
      </c>
      <c r="AG1390">
        <f t="shared" ca="1" si="271"/>
        <v>0</v>
      </c>
      <c r="AH1390">
        <f t="shared" ca="1" si="277"/>
        <v>0</v>
      </c>
      <c r="AI1390">
        <f t="shared" ca="1" si="278"/>
        <v>0</v>
      </c>
      <c r="AJ1390">
        <f t="shared" ca="1" si="279"/>
        <v>0</v>
      </c>
      <c r="AK1390">
        <f t="shared" ca="1" si="280"/>
        <v>0</v>
      </c>
      <c r="AL1390">
        <f t="shared" ca="1" si="281"/>
        <v>0</v>
      </c>
    </row>
    <row r="1391" spans="1:38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#N/A, OFFSET(data!$A$1, ROW()-1, AA$1-1))</f>
        <v>0</v>
      </c>
      <c r="AB1391">
        <f t="shared" ca="1" si="272"/>
        <v>0</v>
      </c>
      <c r="AC1391" t="e">
        <f t="shared" ca="1" si="273"/>
        <v>#VALUE!</v>
      </c>
      <c r="AD1391" t="str">
        <f t="shared" ca="1" si="274"/>
        <v>0</v>
      </c>
      <c r="AE1391" t="str">
        <f t="shared" ca="1" si="275"/>
        <v/>
      </c>
      <c r="AF1391" s="6">
        <f t="shared" ca="1" si="276"/>
        <v>0</v>
      </c>
      <c r="AG1391">
        <f t="shared" ca="1" si="271"/>
        <v>0</v>
      </c>
      <c r="AH1391">
        <f t="shared" ca="1" si="277"/>
        <v>0</v>
      </c>
      <c r="AI1391">
        <f t="shared" ca="1" si="278"/>
        <v>0</v>
      </c>
      <c r="AJ1391">
        <f t="shared" ca="1" si="279"/>
        <v>0</v>
      </c>
      <c r="AK1391">
        <f t="shared" ca="1" si="280"/>
        <v>0</v>
      </c>
      <c r="AL1391">
        <f t="shared" ca="1" si="281"/>
        <v>0</v>
      </c>
    </row>
    <row r="1392" spans="1:38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#N/A, OFFSET(data!$A$1, ROW()-1, AA$1-1))</f>
        <v>0</v>
      </c>
      <c r="AB1392">
        <f t="shared" ca="1" si="272"/>
        <v>0</v>
      </c>
      <c r="AC1392" t="e">
        <f t="shared" ca="1" si="273"/>
        <v>#VALUE!</v>
      </c>
      <c r="AD1392" t="str">
        <f t="shared" ca="1" si="274"/>
        <v>0</v>
      </c>
      <c r="AE1392" t="str">
        <f t="shared" ca="1" si="275"/>
        <v/>
      </c>
      <c r="AF1392" s="6">
        <f t="shared" ca="1" si="276"/>
        <v>0</v>
      </c>
      <c r="AG1392">
        <f t="shared" ca="1" si="271"/>
        <v>0</v>
      </c>
      <c r="AH1392">
        <f t="shared" ca="1" si="277"/>
        <v>0</v>
      </c>
      <c r="AI1392">
        <f t="shared" ca="1" si="278"/>
        <v>0</v>
      </c>
      <c r="AJ1392">
        <f t="shared" ca="1" si="279"/>
        <v>0</v>
      </c>
      <c r="AK1392">
        <f t="shared" ca="1" si="280"/>
        <v>0</v>
      </c>
      <c r="AL1392">
        <f t="shared" ca="1" si="281"/>
        <v>0</v>
      </c>
    </row>
    <row r="1393" spans="1:38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#N/A, OFFSET(data!$A$1, ROW()-1, AA$1-1))</f>
        <v>0</v>
      </c>
      <c r="AB1393">
        <f t="shared" ca="1" si="272"/>
        <v>0</v>
      </c>
      <c r="AC1393" t="e">
        <f t="shared" ca="1" si="273"/>
        <v>#VALUE!</v>
      </c>
      <c r="AD1393" t="str">
        <f t="shared" ca="1" si="274"/>
        <v>0</v>
      </c>
      <c r="AE1393" t="str">
        <f t="shared" ca="1" si="275"/>
        <v/>
      </c>
      <c r="AF1393" s="6">
        <f t="shared" ca="1" si="276"/>
        <v>0</v>
      </c>
      <c r="AG1393">
        <f t="shared" ca="1" si="271"/>
        <v>0</v>
      </c>
      <c r="AH1393">
        <f t="shared" ca="1" si="277"/>
        <v>0</v>
      </c>
      <c r="AI1393">
        <f t="shared" ca="1" si="278"/>
        <v>0</v>
      </c>
      <c r="AJ1393">
        <f t="shared" ca="1" si="279"/>
        <v>0</v>
      </c>
      <c r="AK1393">
        <f t="shared" ca="1" si="280"/>
        <v>0</v>
      </c>
      <c r="AL1393">
        <f t="shared" ca="1" si="281"/>
        <v>0</v>
      </c>
    </row>
    <row r="1394" spans="1:38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#N/A, OFFSET(data!$A$1, ROW()-1, AA$1-1))</f>
        <v>0</v>
      </c>
      <c r="AB1394">
        <f t="shared" ca="1" si="272"/>
        <v>0</v>
      </c>
      <c r="AC1394" t="e">
        <f t="shared" ca="1" si="273"/>
        <v>#VALUE!</v>
      </c>
      <c r="AD1394" t="str">
        <f t="shared" ca="1" si="274"/>
        <v>0</v>
      </c>
      <c r="AE1394" t="str">
        <f t="shared" ca="1" si="275"/>
        <v/>
      </c>
      <c r="AF1394" s="6">
        <f t="shared" ca="1" si="276"/>
        <v>0</v>
      </c>
      <c r="AG1394">
        <f t="shared" ca="1" si="271"/>
        <v>0</v>
      </c>
      <c r="AH1394">
        <f t="shared" ca="1" si="277"/>
        <v>0</v>
      </c>
      <c r="AI1394">
        <f t="shared" ca="1" si="278"/>
        <v>0</v>
      </c>
      <c r="AJ1394">
        <f t="shared" ca="1" si="279"/>
        <v>0</v>
      </c>
      <c r="AK1394">
        <f t="shared" ca="1" si="280"/>
        <v>0</v>
      </c>
      <c r="AL1394">
        <f t="shared" ca="1" si="281"/>
        <v>0</v>
      </c>
    </row>
    <row r="1395" spans="1:38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#N/A, OFFSET(data!$A$1, ROW()-1, AA$1-1))</f>
        <v>0</v>
      </c>
      <c r="AB1395">
        <f t="shared" ca="1" si="272"/>
        <v>0</v>
      </c>
      <c r="AC1395" t="e">
        <f t="shared" ca="1" si="273"/>
        <v>#VALUE!</v>
      </c>
      <c r="AD1395" t="str">
        <f t="shared" ca="1" si="274"/>
        <v>0</v>
      </c>
      <c r="AE1395" t="str">
        <f t="shared" ca="1" si="275"/>
        <v/>
      </c>
      <c r="AF1395" s="6">
        <f t="shared" ca="1" si="276"/>
        <v>0</v>
      </c>
      <c r="AG1395">
        <f t="shared" ca="1" si="271"/>
        <v>0</v>
      </c>
      <c r="AH1395">
        <f t="shared" ca="1" si="277"/>
        <v>0</v>
      </c>
      <c r="AI1395">
        <f t="shared" ca="1" si="278"/>
        <v>0</v>
      </c>
      <c r="AJ1395">
        <f t="shared" ca="1" si="279"/>
        <v>0</v>
      </c>
      <c r="AK1395">
        <f t="shared" ca="1" si="280"/>
        <v>0</v>
      </c>
      <c r="AL1395">
        <f t="shared" ca="1" si="281"/>
        <v>0</v>
      </c>
    </row>
    <row r="1396" spans="1:38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#N/A, OFFSET(data!$A$1, ROW()-1, AA$1-1))</f>
        <v>0</v>
      </c>
      <c r="AB1396">
        <f t="shared" ca="1" si="272"/>
        <v>0</v>
      </c>
      <c r="AC1396" t="e">
        <f t="shared" ca="1" si="273"/>
        <v>#VALUE!</v>
      </c>
      <c r="AD1396" t="str">
        <f t="shared" ca="1" si="274"/>
        <v>0</v>
      </c>
      <c r="AE1396" t="str">
        <f t="shared" ca="1" si="275"/>
        <v/>
      </c>
      <c r="AF1396" s="6">
        <f t="shared" ca="1" si="276"/>
        <v>0</v>
      </c>
      <c r="AG1396">
        <f t="shared" ref="AG1396:AG1459" ca="1" si="282">T1396+W1396</f>
        <v>0</v>
      </c>
      <c r="AH1396">
        <f t="shared" ca="1" si="277"/>
        <v>0</v>
      </c>
      <c r="AI1396">
        <f t="shared" ca="1" si="278"/>
        <v>0</v>
      </c>
      <c r="AJ1396">
        <f t="shared" ca="1" si="279"/>
        <v>0</v>
      </c>
      <c r="AK1396">
        <f t="shared" ca="1" si="280"/>
        <v>0</v>
      </c>
      <c r="AL1396">
        <f t="shared" ca="1" si="281"/>
        <v>0</v>
      </c>
    </row>
    <row r="1397" spans="1:38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#N/A, OFFSET(data!$A$1, ROW()-1, AA$1-1))</f>
        <v>0</v>
      </c>
      <c r="AB1397">
        <f t="shared" ca="1" si="272"/>
        <v>0</v>
      </c>
      <c r="AC1397" t="e">
        <f t="shared" ca="1" si="273"/>
        <v>#VALUE!</v>
      </c>
      <c r="AD1397" t="str">
        <f t="shared" ca="1" si="274"/>
        <v>0</v>
      </c>
      <c r="AE1397" t="str">
        <f t="shared" ca="1" si="275"/>
        <v/>
      </c>
      <c r="AF1397" s="6">
        <f t="shared" ca="1" si="276"/>
        <v>0</v>
      </c>
      <c r="AG1397">
        <f t="shared" ca="1" si="282"/>
        <v>0</v>
      </c>
      <c r="AH1397">
        <f t="shared" ca="1" si="277"/>
        <v>0</v>
      </c>
      <c r="AI1397">
        <f t="shared" ca="1" si="278"/>
        <v>0</v>
      </c>
      <c r="AJ1397">
        <f t="shared" ca="1" si="279"/>
        <v>0</v>
      </c>
      <c r="AK1397">
        <f t="shared" ca="1" si="280"/>
        <v>0</v>
      </c>
      <c r="AL1397">
        <f t="shared" ca="1" si="281"/>
        <v>0</v>
      </c>
    </row>
    <row r="1398" spans="1:38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#N/A, OFFSET(data!$A$1, ROW()-1, AA$1-1))</f>
        <v>0</v>
      </c>
      <c r="AB1398">
        <f t="shared" ca="1" si="272"/>
        <v>0</v>
      </c>
      <c r="AC1398" t="e">
        <f t="shared" ca="1" si="273"/>
        <v>#VALUE!</v>
      </c>
      <c r="AD1398" t="str">
        <f t="shared" ca="1" si="274"/>
        <v>0</v>
      </c>
      <c r="AE1398" t="str">
        <f t="shared" ca="1" si="275"/>
        <v/>
      </c>
      <c r="AF1398" s="6">
        <f t="shared" ca="1" si="276"/>
        <v>0</v>
      </c>
      <c r="AG1398">
        <f t="shared" ca="1" si="282"/>
        <v>0</v>
      </c>
      <c r="AH1398">
        <f t="shared" ca="1" si="277"/>
        <v>0</v>
      </c>
      <c r="AI1398">
        <f t="shared" ca="1" si="278"/>
        <v>0</v>
      </c>
      <c r="AJ1398">
        <f t="shared" ca="1" si="279"/>
        <v>0</v>
      </c>
      <c r="AK1398">
        <f t="shared" ca="1" si="280"/>
        <v>0</v>
      </c>
      <c r="AL1398">
        <f t="shared" ca="1" si="281"/>
        <v>0</v>
      </c>
    </row>
    <row r="1399" spans="1:38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#N/A, OFFSET(data!$A$1, ROW()-1, AA$1-1))</f>
        <v>0</v>
      </c>
      <c r="AB1399">
        <f t="shared" ca="1" si="272"/>
        <v>0</v>
      </c>
      <c r="AC1399" t="e">
        <f t="shared" ca="1" si="273"/>
        <v>#VALUE!</v>
      </c>
      <c r="AD1399" t="str">
        <f t="shared" ca="1" si="274"/>
        <v>0</v>
      </c>
      <c r="AE1399" t="str">
        <f t="shared" ca="1" si="275"/>
        <v/>
      </c>
      <c r="AF1399" s="6">
        <f t="shared" ca="1" si="276"/>
        <v>0</v>
      </c>
      <c r="AG1399">
        <f t="shared" ca="1" si="282"/>
        <v>0</v>
      </c>
      <c r="AH1399">
        <f t="shared" ca="1" si="277"/>
        <v>0</v>
      </c>
      <c r="AI1399">
        <f t="shared" ca="1" si="278"/>
        <v>0</v>
      </c>
      <c r="AJ1399">
        <f t="shared" ca="1" si="279"/>
        <v>0</v>
      </c>
      <c r="AK1399">
        <f t="shared" ca="1" si="280"/>
        <v>0</v>
      </c>
      <c r="AL1399">
        <f t="shared" ca="1" si="281"/>
        <v>0</v>
      </c>
    </row>
    <row r="1400" spans="1:38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#N/A, OFFSET(data!$A$1, ROW()-1, AA$1-1))</f>
        <v>0</v>
      </c>
      <c r="AB1400">
        <f t="shared" ca="1" si="272"/>
        <v>0</v>
      </c>
      <c r="AC1400" t="e">
        <f t="shared" ca="1" si="273"/>
        <v>#VALUE!</v>
      </c>
      <c r="AD1400" t="str">
        <f t="shared" ca="1" si="274"/>
        <v>0</v>
      </c>
      <c r="AE1400" t="str">
        <f t="shared" ca="1" si="275"/>
        <v/>
      </c>
      <c r="AF1400" s="6">
        <f t="shared" ca="1" si="276"/>
        <v>0</v>
      </c>
      <c r="AG1400">
        <f t="shared" ca="1" si="282"/>
        <v>0</v>
      </c>
      <c r="AH1400">
        <f t="shared" ca="1" si="277"/>
        <v>0</v>
      </c>
      <c r="AI1400">
        <f t="shared" ca="1" si="278"/>
        <v>0</v>
      </c>
      <c r="AJ1400">
        <f t="shared" ca="1" si="279"/>
        <v>0</v>
      </c>
      <c r="AK1400">
        <f t="shared" ca="1" si="280"/>
        <v>0</v>
      </c>
      <c r="AL1400">
        <f t="shared" ca="1" si="281"/>
        <v>0</v>
      </c>
    </row>
    <row r="1401" spans="1:38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#N/A, OFFSET(data!$A$1, ROW()-1, AA$1-1))</f>
        <v>0</v>
      </c>
      <c r="AB1401">
        <f t="shared" ca="1" si="272"/>
        <v>0</v>
      </c>
      <c r="AC1401" t="e">
        <f t="shared" ca="1" si="273"/>
        <v>#VALUE!</v>
      </c>
      <c r="AD1401" t="str">
        <f t="shared" ca="1" si="274"/>
        <v>0</v>
      </c>
      <c r="AE1401" t="str">
        <f t="shared" ca="1" si="275"/>
        <v/>
      </c>
      <c r="AF1401" s="6">
        <f t="shared" ca="1" si="276"/>
        <v>0</v>
      </c>
      <c r="AG1401">
        <f t="shared" ca="1" si="282"/>
        <v>0</v>
      </c>
      <c r="AH1401">
        <f t="shared" ca="1" si="277"/>
        <v>0</v>
      </c>
      <c r="AI1401">
        <f t="shared" ca="1" si="278"/>
        <v>0</v>
      </c>
      <c r="AJ1401">
        <f t="shared" ca="1" si="279"/>
        <v>0</v>
      </c>
      <c r="AK1401">
        <f t="shared" ca="1" si="280"/>
        <v>0</v>
      </c>
      <c r="AL1401">
        <f t="shared" ca="1" si="281"/>
        <v>0</v>
      </c>
    </row>
    <row r="1402" spans="1:38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#N/A, OFFSET(data!$A$1, ROW()-1, AA$1-1))</f>
        <v>0</v>
      </c>
      <c r="AB1402">
        <f t="shared" ca="1" si="272"/>
        <v>0</v>
      </c>
      <c r="AC1402" t="e">
        <f t="shared" ca="1" si="273"/>
        <v>#VALUE!</v>
      </c>
      <c r="AD1402" t="str">
        <f t="shared" ca="1" si="274"/>
        <v>0</v>
      </c>
      <c r="AE1402" t="str">
        <f t="shared" ca="1" si="275"/>
        <v/>
      </c>
      <c r="AF1402" s="6">
        <f t="shared" ca="1" si="276"/>
        <v>0</v>
      </c>
      <c r="AG1402">
        <f t="shared" ca="1" si="282"/>
        <v>0</v>
      </c>
      <c r="AH1402">
        <f t="shared" ca="1" si="277"/>
        <v>0</v>
      </c>
      <c r="AI1402">
        <f t="shared" ca="1" si="278"/>
        <v>0</v>
      </c>
      <c r="AJ1402">
        <f t="shared" ca="1" si="279"/>
        <v>0</v>
      </c>
      <c r="AK1402">
        <f t="shared" ca="1" si="280"/>
        <v>0</v>
      </c>
      <c r="AL1402">
        <f t="shared" ca="1" si="281"/>
        <v>0</v>
      </c>
    </row>
    <row r="1403" spans="1:38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#N/A, OFFSET(data!$A$1, ROW()-1, AA$1-1))</f>
        <v>0</v>
      </c>
      <c r="AB1403">
        <f t="shared" ca="1" si="272"/>
        <v>0</v>
      </c>
      <c r="AC1403" t="e">
        <f t="shared" ca="1" si="273"/>
        <v>#VALUE!</v>
      </c>
      <c r="AD1403" t="str">
        <f t="shared" ca="1" si="274"/>
        <v>0</v>
      </c>
      <c r="AE1403" t="str">
        <f t="shared" ca="1" si="275"/>
        <v/>
      </c>
      <c r="AF1403" s="6">
        <f t="shared" ca="1" si="276"/>
        <v>0</v>
      </c>
      <c r="AG1403">
        <f t="shared" ca="1" si="282"/>
        <v>0</v>
      </c>
      <c r="AH1403">
        <f t="shared" ca="1" si="277"/>
        <v>0</v>
      </c>
      <c r="AI1403">
        <f t="shared" ca="1" si="278"/>
        <v>0</v>
      </c>
      <c r="AJ1403">
        <f t="shared" ca="1" si="279"/>
        <v>0</v>
      </c>
      <c r="AK1403">
        <f t="shared" ca="1" si="280"/>
        <v>0</v>
      </c>
      <c r="AL1403">
        <f t="shared" ca="1" si="281"/>
        <v>0</v>
      </c>
    </row>
    <row r="1404" spans="1:38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#N/A, OFFSET(data!$A$1, ROW()-1, AA$1-1))</f>
        <v>0</v>
      </c>
      <c r="AB1404">
        <f t="shared" ca="1" si="272"/>
        <v>0</v>
      </c>
      <c r="AC1404" t="e">
        <f t="shared" ca="1" si="273"/>
        <v>#VALUE!</v>
      </c>
      <c r="AD1404" t="str">
        <f t="shared" ca="1" si="274"/>
        <v>0</v>
      </c>
      <c r="AE1404" t="str">
        <f t="shared" ca="1" si="275"/>
        <v/>
      </c>
      <c r="AF1404" s="6">
        <f t="shared" ca="1" si="276"/>
        <v>0</v>
      </c>
      <c r="AG1404">
        <f t="shared" ca="1" si="282"/>
        <v>0</v>
      </c>
      <c r="AH1404">
        <f t="shared" ca="1" si="277"/>
        <v>0</v>
      </c>
      <c r="AI1404">
        <f t="shared" ca="1" si="278"/>
        <v>0</v>
      </c>
      <c r="AJ1404">
        <f t="shared" ca="1" si="279"/>
        <v>0</v>
      </c>
      <c r="AK1404">
        <f t="shared" ca="1" si="280"/>
        <v>0</v>
      </c>
      <c r="AL1404">
        <f t="shared" ca="1" si="281"/>
        <v>0</v>
      </c>
    </row>
    <row r="1405" spans="1:38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#N/A, OFFSET(data!$A$1, ROW()-1, AA$1-1))</f>
        <v>0</v>
      </c>
      <c r="AB1405">
        <f t="shared" ca="1" si="272"/>
        <v>0</v>
      </c>
      <c r="AC1405" t="e">
        <f t="shared" ca="1" si="273"/>
        <v>#VALUE!</v>
      </c>
      <c r="AD1405" t="str">
        <f t="shared" ca="1" si="274"/>
        <v>0</v>
      </c>
      <c r="AE1405" t="str">
        <f t="shared" ca="1" si="275"/>
        <v/>
      </c>
      <c r="AF1405" s="6">
        <f t="shared" ca="1" si="276"/>
        <v>0</v>
      </c>
      <c r="AG1405">
        <f t="shared" ca="1" si="282"/>
        <v>0</v>
      </c>
      <c r="AH1405">
        <f t="shared" ca="1" si="277"/>
        <v>0</v>
      </c>
      <c r="AI1405">
        <f t="shared" ca="1" si="278"/>
        <v>0</v>
      </c>
      <c r="AJ1405">
        <f t="shared" ca="1" si="279"/>
        <v>0</v>
      </c>
      <c r="AK1405">
        <f t="shared" ca="1" si="280"/>
        <v>0</v>
      </c>
      <c r="AL1405">
        <f t="shared" ca="1" si="281"/>
        <v>0</v>
      </c>
    </row>
    <row r="1406" spans="1:38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#N/A, OFFSET(data!$A$1, ROW()-1, AA$1-1))</f>
        <v>0</v>
      </c>
      <c r="AB1406">
        <f t="shared" ca="1" si="272"/>
        <v>0</v>
      </c>
      <c r="AC1406" t="e">
        <f t="shared" ca="1" si="273"/>
        <v>#VALUE!</v>
      </c>
      <c r="AD1406" t="str">
        <f t="shared" ca="1" si="274"/>
        <v>0</v>
      </c>
      <c r="AE1406" t="str">
        <f t="shared" ca="1" si="275"/>
        <v/>
      </c>
      <c r="AF1406" s="6">
        <f t="shared" ca="1" si="276"/>
        <v>0</v>
      </c>
      <c r="AG1406">
        <f t="shared" ca="1" si="282"/>
        <v>0</v>
      </c>
      <c r="AH1406">
        <f t="shared" ca="1" si="277"/>
        <v>0</v>
      </c>
      <c r="AI1406">
        <f t="shared" ca="1" si="278"/>
        <v>0</v>
      </c>
      <c r="AJ1406">
        <f t="shared" ca="1" si="279"/>
        <v>0</v>
      </c>
      <c r="AK1406">
        <f t="shared" ca="1" si="280"/>
        <v>0</v>
      </c>
      <c r="AL1406">
        <f t="shared" ca="1" si="281"/>
        <v>0</v>
      </c>
    </row>
    <row r="1407" spans="1:38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#N/A, OFFSET(data!$A$1, ROW()-1, AA$1-1))</f>
        <v>0</v>
      </c>
      <c r="AB1407">
        <f t="shared" ca="1" si="272"/>
        <v>0</v>
      </c>
      <c r="AC1407" t="e">
        <f t="shared" ca="1" si="273"/>
        <v>#VALUE!</v>
      </c>
      <c r="AD1407" t="str">
        <f t="shared" ca="1" si="274"/>
        <v>0</v>
      </c>
      <c r="AE1407" t="str">
        <f t="shared" ca="1" si="275"/>
        <v/>
      </c>
      <c r="AF1407" s="6">
        <f t="shared" ca="1" si="276"/>
        <v>0</v>
      </c>
      <c r="AG1407">
        <f t="shared" ca="1" si="282"/>
        <v>0</v>
      </c>
      <c r="AH1407">
        <f t="shared" ca="1" si="277"/>
        <v>0</v>
      </c>
      <c r="AI1407">
        <f t="shared" ca="1" si="278"/>
        <v>0</v>
      </c>
      <c r="AJ1407">
        <f t="shared" ca="1" si="279"/>
        <v>0</v>
      </c>
      <c r="AK1407">
        <f t="shared" ca="1" si="280"/>
        <v>0</v>
      </c>
      <c r="AL1407">
        <f t="shared" ca="1" si="281"/>
        <v>0</v>
      </c>
    </row>
    <row r="1408" spans="1:38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#N/A, OFFSET(data!$A$1, ROW()-1, AA$1-1))</f>
        <v>0</v>
      </c>
      <c r="AB1408">
        <f t="shared" ca="1" si="272"/>
        <v>0</v>
      </c>
      <c r="AC1408" t="e">
        <f t="shared" ca="1" si="273"/>
        <v>#VALUE!</v>
      </c>
      <c r="AD1408" t="str">
        <f t="shared" ca="1" si="274"/>
        <v>0</v>
      </c>
      <c r="AE1408" t="str">
        <f t="shared" ca="1" si="275"/>
        <v/>
      </c>
      <c r="AF1408" s="6">
        <f t="shared" ca="1" si="276"/>
        <v>0</v>
      </c>
      <c r="AG1408">
        <f t="shared" ca="1" si="282"/>
        <v>0</v>
      </c>
      <c r="AH1408">
        <f t="shared" ca="1" si="277"/>
        <v>0</v>
      </c>
      <c r="AI1408">
        <f t="shared" ca="1" si="278"/>
        <v>0</v>
      </c>
      <c r="AJ1408">
        <f t="shared" ca="1" si="279"/>
        <v>0</v>
      </c>
      <c r="AK1408">
        <f t="shared" ca="1" si="280"/>
        <v>0</v>
      </c>
      <c r="AL1408">
        <f t="shared" ca="1" si="281"/>
        <v>0</v>
      </c>
    </row>
    <row r="1409" spans="1:38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#N/A, OFFSET(data!$A$1, ROW()-1, AA$1-1))</f>
        <v>0</v>
      </c>
      <c r="AB1409">
        <f t="shared" ca="1" si="272"/>
        <v>0</v>
      </c>
      <c r="AC1409" t="e">
        <f t="shared" ca="1" si="273"/>
        <v>#VALUE!</v>
      </c>
      <c r="AD1409" t="str">
        <f t="shared" ca="1" si="274"/>
        <v>0</v>
      </c>
      <c r="AE1409" t="str">
        <f t="shared" ca="1" si="275"/>
        <v/>
      </c>
      <c r="AF1409" s="6">
        <f t="shared" ca="1" si="276"/>
        <v>0</v>
      </c>
      <c r="AG1409">
        <f t="shared" ca="1" si="282"/>
        <v>0</v>
      </c>
      <c r="AH1409">
        <f t="shared" ca="1" si="277"/>
        <v>0</v>
      </c>
      <c r="AI1409">
        <f t="shared" ca="1" si="278"/>
        <v>0</v>
      </c>
      <c r="AJ1409">
        <f t="shared" ca="1" si="279"/>
        <v>0</v>
      </c>
      <c r="AK1409">
        <f t="shared" ca="1" si="280"/>
        <v>0</v>
      </c>
      <c r="AL1409">
        <f t="shared" ca="1" si="281"/>
        <v>0</v>
      </c>
    </row>
    <row r="1410" spans="1:38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#N/A, OFFSET(data!$A$1, ROW()-1, AA$1-1))</f>
        <v>0</v>
      </c>
      <c r="AB1410">
        <f t="shared" ca="1" si="272"/>
        <v>0</v>
      </c>
      <c r="AC1410" t="e">
        <f t="shared" ca="1" si="273"/>
        <v>#VALUE!</v>
      </c>
      <c r="AD1410" t="str">
        <f t="shared" ca="1" si="274"/>
        <v>0</v>
      </c>
      <c r="AE1410" t="str">
        <f t="shared" ca="1" si="275"/>
        <v/>
      </c>
      <c r="AF1410" s="6">
        <f t="shared" ca="1" si="276"/>
        <v>0</v>
      </c>
      <c r="AG1410">
        <f t="shared" ca="1" si="282"/>
        <v>0</v>
      </c>
      <c r="AH1410">
        <f t="shared" ca="1" si="277"/>
        <v>0</v>
      </c>
      <c r="AI1410">
        <f t="shared" ca="1" si="278"/>
        <v>0</v>
      </c>
      <c r="AJ1410">
        <f t="shared" ca="1" si="279"/>
        <v>0</v>
      </c>
      <c r="AK1410">
        <f t="shared" ca="1" si="280"/>
        <v>0</v>
      </c>
      <c r="AL1410">
        <f t="shared" ca="1" si="281"/>
        <v>0</v>
      </c>
    </row>
    <row r="1411" spans="1:38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#N/A, OFFSET(data!$A$1, ROW()-1, AA$1-1))</f>
        <v>0</v>
      </c>
      <c r="AB1411">
        <f t="shared" ref="AB1411:AB1474" ca="1" si="283">VALUE(LEFT(C1411, 4))</f>
        <v>0</v>
      </c>
      <c r="AC1411" t="e">
        <f t="shared" ref="AC1411:AC1474" ca="1" si="284">VALUE(MID(C1411, 6, 2))</f>
        <v>#VALUE!</v>
      </c>
      <c r="AD1411" t="str">
        <f t="shared" ref="AD1411:AD1474" ca="1" si="285">SUBSTITUTE(MID(C1411,6,6)&amp;LEFT(C1411,4), "-", "/")</f>
        <v>0</v>
      </c>
      <c r="AE1411" t="str">
        <f t="shared" ref="AE1411:AE1474" ca="1" si="286">IF(RIGHT(C1411, 5)="12:00", AD1411, "")</f>
        <v/>
      </c>
      <c r="AF1411" s="6">
        <f t="shared" ref="AF1411:AF1474" ca="1" si="287">Z1411/1000</f>
        <v>0</v>
      </c>
      <c r="AG1411">
        <f t="shared" ca="1" si="282"/>
        <v>0</v>
      </c>
      <c r="AH1411">
        <f t="shared" ca="1" si="277"/>
        <v>0</v>
      </c>
      <c r="AI1411">
        <f t="shared" ca="1" si="278"/>
        <v>0</v>
      </c>
      <c r="AJ1411">
        <f t="shared" ca="1" si="279"/>
        <v>0</v>
      </c>
      <c r="AK1411">
        <f t="shared" ca="1" si="280"/>
        <v>0</v>
      </c>
      <c r="AL1411">
        <f t="shared" ca="1" si="281"/>
        <v>0</v>
      </c>
    </row>
    <row r="1412" spans="1:38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#N/A, OFFSET(data!$A$1, ROW()-1, AA$1-1))</f>
        <v>0</v>
      </c>
      <c r="AB1412">
        <f t="shared" ca="1" si="283"/>
        <v>0</v>
      </c>
      <c r="AC1412" t="e">
        <f t="shared" ca="1" si="284"/>
        <v>#VALUE!</v>
      </c>
      <c r="AD1412" t="str">
        <f t="shared" ca="1" si="285"/>
        <v>0</v>
      </c>
      <c r="AE1412" t="str">
        <f t="shared" ca="1" si="286"/>
        <v/>
      </c>
      <c r="AF1412" s="6">
        <f t="shared" ca="1" si="287"/>
        <v>0</v>
      </c>
      <c r="AG1412">
        <f t="shared" ca="1" si="282"/>
        <v>0</v>
      </c>
      <c r="AH1412">
        <f t="shared" ref="AH1412:AH1475" ca="1" si="288">MAX(S1412,Y1412)</f>
        <v>0</v>
      </c>
      <c r="AI1412">
        <f t="shared" ref="AI1412:AI1475" ca="1" si="289">MAX(R1412,V1412)</f>
        <v>0</v>
      </c>
      <c r="AJ1412">
        <f t="shared" ref="AJ1412:AJ1475" ca="1" si="290">K1412+N1412</f>
        <v>0</v>
      </c>
      <c r="AK1412">
        <f t="shared" ref="AK1412:AK1475" ca="1" si="291">L1412+O1412</f>
        <v>0</v>
      </c>
      <c r="AL1412">
        <f t="shared" ref="AL1412:AL1475" ca="1" si="292">M1412+P1412</f>
        <v>0</v>
      </c>
    </row>
    <row r="1413" spans="1:38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#N/A, OFFSET(data!$A$1, ROW()-1, AA$1-1))</f>
        <v>0</v>
      </c>
      <c r="AB1413">
        <f t="shared" ca="1" si="283"/>
        <v>0</v>
      </c>
      <c r="AC1413" t="e">
        <f t="shared" ca="1" si="284"/>
        <v>#VALUE!</v>
      </c>
      <c r="AD1413" t="str">
        <f t="shared" ca="1" si="285"/>
        <v>0</v>
      </c>
      <c r="AE1413" t="str">
        <f t="shared" ca="1" si="286"/>
        <v/>
      </c>
      <c r="AF1413" s="6">
        <f t="shared" ca="1" si="287"/>
        <v>0</v>
      </c>
      <c r="AG1413">
        <f t="shared" ca="1" si="282"/>
        <v>0</v>
      </c>
      <c r="AH1413">
        <f t="shared" ca="1" si="288"/>
        <v>0</v>
      </c>
      <c r="AI1413">
        <f t="shared" ca="1" si="289"/>
        <v>0</v>
      </c>
      <c r="AJ1413">
        <f t="shared" ca="1" si="290"/>
        <v>0</v>
      </c>
      <c r="AK1413">
        <f t="shared" ca="1" si="291"/>
        <v>0</v>
      </c>
      <c r="AL1413">
        <f t="shared" ca="1" si="292"/>
        <v>0</v>
      </c>
    </row>
    <row r="1414" spans="1:38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#N/A, OFFSET(data!$A$1, ROW()-1, AA$1-1))</f>
        <v>0</v>
      </c>
      <c r="AB1414">
        <f t="shared" ca="1" si="283"/>
        <v>0</v>
      </c>
      <c r="AC1414" t="e">
        <f t="shared" ca="1" si="284"/>
        <v>#VALUE!</v>
      </c>
      <c r="AD1414" t="str">
        <f t="shared" ca="1" si="285"/>
        <v>0</v>
      </c>
      <c r="AE1414" t="str">
        <f t="shared" ca="1" si="286"/>
        <v/>
      </c>
      <c r="AF1414" s="6">
        <f t="shared" ca="1" si="287"/>
        <v>0</v>
      </c>
      <c r="AG1414">
        <f t="shared" ca="1" si="282"/>
        <v>0</v>
      </c>
      <c r="AH1414">
        <f t="shared" ca="1" si="288"/>
        <v>0</v>
      </c>
      <c r="AI1414">
        <f t="shared" ca="1" si="289"/>
        <v>0</v>
      </c>
      <c r="AJ1414">
        <f t="shared" ca="1" si="290"/>
        <v>0</v>
      </c>
      <c r="AK1414">
        <f t="shared" ca="1" si="291"/>
        <v>0</v>
      </c>
      <c r="AL1414">
        <f t="shared" ca="1" si="292"/>
        <v>0</v>
      </c>
    </row>
    <row r="1415" spans="1:38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#N/A, OFFSET(data!$A$1, ROW()-1, AA$1-1))</f>
        <v>0</v>
      </c>
      <c r="AB1415">
        <f t="shared" ca="1" si="283"/>
        <v>0</v>
      </c>
      <c r="AC1415" t="e">
        <f t="shared" ca="1" si="284"/>
        <v>#VALUE!</v>
      </c>
      <c r="AD1415" t="str">
        <f t="shared" ca="1" si="285"/>
        <v>0</v>
      </c>
      <c r="AE1415" t="str">
        <f t="shared" ca="1" si="286"/>
        <v/>
      </c>
      <c r="AF1415" s="6">
        <f t="shared" ca="1" si="287"/>
        <v>0</v>
      </c>
      <c r="AG1415">
        <f t="shared" ca="1" si="282"/>
        <v>0</v>
      </c>
      <c r="AH1415">
        <f t="shared" ca="1" si="288"/>
        <v>0</v>
      </c>
      <c r="AI1415">
        <f t="shared" ca="1" si="289"/>
        <v>0</v>
      </c>
      <c r="AJ1415">
        <f t="shared" ca="1" si="290"/>
        <v>0</v>
      </c>
      <c r="AK1415">
        <f t="shared" ca="1" si="291"/>
        <v>0</v>
      </c>
      <c r="AL1415">
        <f t="shared" ca="1" si="292"/>
        <v>0</v>
      </c>
    </row>
    <row r="1416" spans="1:38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#N/A, OFFSET(data!$A$1, ROW()-1, AA$1-1))</f>
        <v>0</v>
      </c>
      <c r="AB1416">
        <f t="shared" ca="1" si="283"/>
        <v>0</v>
      </c>
      <c r="AC1416" t="e">
        <f t="shared" ca="1" si="284"/>
        <v>#VALUE!</v>
      </c>
      <c r="AD1416" t="str">
        <f t="shared" ca="1" si="285"/>
        <v>0</v>
      </c>
      <c r="AE1416" t="str">
        <f t="shared" ca="1" si="286"/>
        <v/>
      </c>
      <c r="AF1416" s="6">
        <f t="shared" ca="1" si="287"/>
        <v>0</v>
      </c>
      <c r="AG1416">
        <f t="shared" ca="1" si="282"/>
        <v>0</v>
      </c>
      <c r="AH1416">
        <f t="shared" ca="1" si="288"/>
        <v>0</v>
      </c>
      <c r="AI1416">
        <f t="shared" ca="1" si="289"/>
        <v>0</v>
      </c>
      <c r="AJ1416">
        <f t="shared" ca="1" si="290"/>
        <v>0</v>
      </c>
      <c r="AK1416">
        <f t="shared" ca="1" si="291"/>
        <v>0</v>
      </c>
      <c r="AL1416">
        <f t="shared" ca="1" si="292"/>
        <v>0</v>
      </c>
    </row>
    <row r="1417" spans="1:38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#N/A, OFFSET(data!$A$1, ROW()-1, AA$1-1))</f>
        <v>0</v>
      </c>
      <c r="AB1417">
        <f t="shared" ca="1" si="283"/>
        <v>0</v>
      </c>
      <c r="AC1417" t="e">
        <f t="shared" ca="1" si="284"/>
        <v>#VALUE!</v>
      </c>
      <c r="AD1417" t="str">
        <f t="shared" ca="1" si="285"/>
        <v>0</v>
      </c>
      <c r="AE1417" t="str">
        <f t="shared" ca="1" si="286"/>
        <v/>
      </c>
      <c r="AF1417" s="6">
        <f t="shared" ca="1" si="287"/>
        <v>0</v>
      </c>
      <c r="AG1417">
        <f t="shared" ca="1" si="282"/>
        <v>0</v>
      </c>
      <c r="AH1417">
        <f t="shared" ca="1" si="288"/>
        <v>0</v>
      </c>
      <c r="AI1417">
        <f t="shared" ca="1" si="289"/>
        <v>0</v>
      </c>
      <c r="AJ1417">
        <f t="shared" ca="1" si="290"/>
        <v>0</v>
      </c>
      <c r="AK1417">
        <f t="shared" ca="1" si="291"/>
        <v>0</v>
      </c>
      <c r="AL1417">
        <f t="shared" ca="1" si="292"/>
        <v>0</v>
      </c>
    </row>
    <row r="1418" spans="1:38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#N/A, OFFSET(data!$A$1, ROW()-1, AA$1-1))</f>
        <v>0</v>
      </c>
      <c r="AB1418">
        <f t="shared" ca="1" si="283"/>
        <v>0</v>
      </c>
      <c r="AC1418" t="e">
        <f t="shared" ca="1" si="284"/>
        <v>#VALUE!</v>
      </c>
      <c r="AD1418" t="str">
        <f t="shared" ca="1" si="285"/>
        <v>0</v>
      </c>
      <c r="AE1418" t="str">
        <f t="shared" ca="1" si="286"/>
        <v/>
      </c>
      <c r="AF1418" s="6">
        <f t="shared" ca="1" si="287"/>
        <v>0</v>
      </c>
      <c r="AG1418">
        <f t="shared" ca="1" si="282"/>
        <v>0</v>
      </c>
      <c r="AH1418">
        <f t="shared" ca="1" si="288"/>
        <v>0</v>
      </c>
      <c r="AI1418">
        <f t="shared" ca="1" si="289"/>
        <v>0</v>
      </c>
      <c r="AJ1418">
        <f t="shared" ca="1" si="290"/>
        <v>0</v>
      </c>
      <c r="AK1418">
        <f t="shared" ca="1" si="291"/>
        <v>0</v>
      </c>
      <c r="AL1418">
        <f t="shared" ca="1" si="292"/>
        <v>0</v>
      </c>
    </row>
    <row r="1419" spans="1:38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#N/A, OFFSET(data!$A$1, ROW()-1, AA$1-1))</f>
        <v>0</v>
      </c>
      <c r="AB1419">
        <f t="shared" ca="1" si="283"/>
        <v>0</v>
      </c>
      <c r="AC1419" t="e">
        <f t="shared" ca="1" si="284"/>
        <v>#VALUE!</v>
      </c>
      <c r="AD1419" t="str">
        <f t="shared" ca="1" si="285"/>
        <v>0</v>
      </c>
      <c r="AE1419" t="str">
        <f t="shared" ca="1" si="286"/>
        <v/>
      </c>
      <c r="AF1419" s="6">
        <f t="shared" ca="1" si="287"/>
        <v>0</v>
      </c>
      <c r="AG1419">
        <f t="shared" ca="1" si="282"/>
        <v>0</v>
      </c>
      <c r="AH1419">
        <f t="shared" ca="1" si="288"/>
        <v>0</v>
      </c>
      <c r="AI1419">
        <f t="shared" ca="1" si="289"/>
        <v>0</v>
      </c>
      <c r="AJ1419">
        <f t="shared" ca="1" si="290"/>
        <v>0</v>
      </c>
      <c r="AK1419">
        <f t="shared" ca="1" si="291"/>
        <v>0</v>
      </c>
      <c r="AL1419">
        <f t="shared" ca="1" si="292"/>
        <v>0</v>
      </c>
    </row>
    <row r="1420" spans="1:38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#N/A, OFFSET(data!$A$1, ROW()-1, AA$1-1))</f>
        <v>0</v>
      </c>
      <c r="AB1420">
        <f t="shared" ca="1" si="283"/>
        <v>0</v>
      </c>
      <c r="AC1420" t="e">
        <f t="shared" ca="1" si="284"/>
        <v>#VALUE!</v>
      </c>
      <c r="AD1420" t="str">
        <f t="shared" ca="1" si="285"/>
        <v>0</v>
      </c>
      <c r="AE1420" t="str">
        <f t="shared" ca="1" si="286"/>
        <v/>
      </c>
      <c r="AF1420" s="6">
        <f t="shared" ca="1" si="287"/>
        <v>0</v>
      </c>
      <c r="AG1420">
        <f t="shared" ca="1" si="282"/>
        <v>0</v>
      </c>
      <c r="AH1420">
        <f t="shared" ca="1" si="288"/>
        <v>0</v>
      </c>
      <c r="AI1420">
        <f t="shared" ca="1" si="289"/>
        <v>0</v>
      </c>
      <c r="AJ1420">
        <f t="shared" ca="1" si="290"/>
        <v>0</v>
      </c>
      <c r="AK1420">
        <f t="shared" ca="1" si="291"/>
        <v>0</v>
      </c>
      <c r="AL1420">
        <f t="shared" ca="1" si="292"/>
        <v>0</v>
      </c>
    </row>
    <row r="1421" spans="1:38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#N/A, OFFSET(data!$A$1, ROW()-1, AA$1-1))</f>
        <v>0</v>
      </c>
      <c r="AB1421">
        <f t="shared" ca="1" si="283"/>
        <v>0</v>
      </c>
      <c r="AC1421" t="e">
        <f t="shared" ca="1" si="284"/>
        <v>#VALUE!</v>
      </c>
      <c r="AD1421" t="str">
        <f t="shared" ca="1" si="285"/>
        <v>0</v>
      </c>
      <c r="AE1421" t="str">
        <f t="shared" ca="1" si="286"/>
        <v/>
      </c>
      <c r="AF1421" s="6">
        <f t="shared" ca="1" si="287"/>
        <v>0</v>
      </c>
      <c r="AG1421">
        <f t="shared" ca="1" si="282"/>
        <v>0</v>
      </c>
      <c r="AH1421">
        <f t="shared" ca="1" si="288"/>
        <v>0</v>
      </c>
      <c r="AI1421">
        <f t="shared" ca="1" si="289"/>
        <v>0</v>
      </c>
      <c r="AJ1421">
        <f t="shared" ca="1" si="290"/>
        <v>0</v>
      </c>
      <c r="AK1421">
        <f t="shared" ca="1" si="291"/>
        <v>0</v>
      </c>
      <c r="AL1421">
        <f t="shared" ca="1" si="292"/>
        <v>0</v>
      </c>
    </row>
    <row r="1422" spans="1:38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#N/A, OFFSET(data!$A$1, ROW()-1, AA$1-1))</f>
        <v>0</v>
      </c>
      <c r="AB1422">
        <f t="shared" ca="1" si="283"/>
        <v>0</v>
      </c>
      <c r="AC1422" t="e">
        <f t="shared" ca="1" si="284"/>
        <v>#VALUE!</v>
      </c>
      <c r="AD1422" t="str">
        <f t="shared" ca="1" si="285"/>
        <v>0</v>
      </c>
      <c r="AE1422" t="str">
        <f t="shared" ca="1" si="286"/>
        <v/>
      </c>
      <c r="AF1422" s="6">
        <f t="shared" ca="1" si="287"/>
        <v>0</v>
      </c>
      <c r="AG1422">
        <f t="shared" ca="1" si="282"/>
        <v>0</v>
      </c>
      <c r="AH1422">
        <f t="shared" ca="1" si="288"/>
        <v>0</v>
      </c>
      <c r="AI1422">
        <f t="shared" ca="1" si="289"/>
        <v>0</v>
      </c>
      <c r="AJ1422">
        <f t="shared" ca="1" si="290"/>
        <v>0</v>
      </c>
      <c r="AK1422">
        <f t="shared" ca="1" si="291"/>
        <v>0</v>
      </c>
      <c r="AL1422">
        <f t="shared" ca="1" si="292"/>
        <v>0</v>
      </c>
    </row>
    <row r="1423" spans="1:38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#N/A, OFFSET(data!$A$1, ROW()-1, AA$1-1))</f>
        <v>0</v>
      </c>
      <c r="AB1423">
        <f t="shared" ca="1" si="283"/>
        <v>0</v>
      </c>
      <c r="AC1423" t="e">
        <f t="shared" ca="1" si="284"/>
        <v>#VALUE!</v>
      </c>
      <c r="AD1423" t="str">
        <f t="shared" ca="1" si="285"/>
        <v>0</v>
      </c>
      <c r="AE1423" t="str">
        <f t="shared" ca="1" si="286"/>
        <v/>
      </c>
      <c r="AF1423" s="6">
        <f t="shared" ca="1" si="287"/>
        <v>0</v>
      </c>
      <c r="AG1423">
        <f t="shared" ca="1" si="282"/>
        <v>0</v>
      </c>
      <c r="AH1423">
        <f t="shared" ca="1" si="288"/>
        <v>0</v>
      </c>
      <c r="AI1423">
        <f t="shared" ca="1" si="289"/>
        <v>0</v>
      </c>
      <c r="AJ1423">
        <f t="shared" ca="1" si="290"/>
        <v>0</v>
      </c>
      <c r="AK1423">
        <f t="shared" ca="1" si="291"/>
        <v>0</v>
      </c>
      <c r="AL1423">
        <f t="shared" ca="1" si="292"/>
        <v>0</v>
      </c>
    </row>
    <row r="1424" spans="1:38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#N/A, OFFSET(data!$A$1, ROW()-1, AA$1-1))</f>
        <v>0</v>
      </c>
      <c r="AB1424">
        <f t="shared" ca="1" si="283"/>
        <v>0</v>
      </c>
      <c r="AC1424" t="e">
        <f t="shared" ca="1" si="284"/>
        <v>#VALUE!</v>
      </c>
      <c r="AD1424" t="str">
        <f t="shared" ca="1" si="285"/>
        <v>0</v>
      </c>
      <c r="AE1424" t="str">
        <f t="shared" ca="1" si="286"/>
        <v/>
      </c>
      <c r="AF1424" s="6">
        <f t="shared" ca="1" si="287"/>
        <v>0</v>
      </c>
      <c r="AG1424">
        <f t="shared" ca="1" si="282"/>
        <v>0</v>
      </c>
      <c r="AH1424">
        <f t="shared" ca="1" si="288"/>
        <v>0</v>
      </c>
      <c r="AI1424">
        <f t="shared" ca="1" si="289"/>
        <v>0</v>
      </c>
      <c r="AJ1424">
        <f t="shared" ca="1" si="290"/>
        <v>0</v>
      </c>
      <c r="AK1424">
        <f t="shared" ca="1" si="291"/>
        <v>0</v>
      </c>
      <c r="AL1424">
        <f t="shared" ca="1" si="292"/>
        <v>0</v>
      </c>
    </row>
    <row r="1425" spans="1:38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#N/A, OFFSET(data!$A$1, ROW()-1, AA$1-1))</f>
        <v>0</v>
      </c>
      <c r="AB1425">
        <f t="shared" ca="1" si="283"/>
        <v>0</v>
      </c>
      <c r="AC1425" t="e">
        <f t="shared" ca="1" si="284"/>
        <v>#VALUE!</v>
      </c>
      <c r="AD1425" t="str">
        <f t="shared" ca="1" si="285"/>
        <v>0</v>
      </c>
      <c r="AE1425" t="str">
        <f t="shared" ca="1" si="286"/>
        <v/>
      </c>
      <c r="AF1425" s="6">
        <f t="shared" ca="1" si="287"/>
        <v>0</v>
      </c>
      <c r="AG1425">
        <f t="shared" ca="1" si="282"/>
        <v>0</v>
      </c>
      <c r="AH1425">
        <f t="shared" ca="1" si="288"/>
        <v>0</v>
      </c>
      <c r="AI1425">
        <f t="shared" ca="1" si="289"/>
        <v>0</v>
      </c>
      <c r="AJ1425">
        <f t="shared" ca="1" si="290"/>
        <v>0</v>
      </c>
      <c r="AK1425">
        <f t="shared" ca="1" si="291"/>
        <v>0</v>
      </c>
      <c r="AL1425">
        <f t="shared" ca="1" si="292"/>
        <v>0</v>
      </c>
    </row>
    <row r="1426" spans="1:38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#N/A, OFFSET(data!$A$1, ROW()-1, AA$1-1))</f>
        <v>0</v>
      </c>
      <c r="AB1426">
        <f t="shared" ca="1" si="283"/>
        <v>0</v>
      </c>
      <c r="AC1426" t="e">
        <f t="shared" ca="1" si="284"/>
        <v>#VALUE!</v>
      </c>
      <c r="AD1426" t="str">
        <f t="shared" ca="1" si="285"/>
        <v>0</v>
      </c>
      <c r="AE1426" t="str">
        <f t="shared" ca="1" si="286"/>
        <v/>
      </c>
      <c r="AF1426" s="6">
        <f t="shared" ca="1" si="287"/>
        <v>0</v>
      </c>
      <c r="AG1426">
        <f t="shared" ca="1" si="282"/>
        <v>0</v>
      </c>
      <c r="AH1426">
        <f t="shared" ca="1" si="288"/>
        <v>0</v>
      </c>
      <c r="AI1426">
        <f t="shared" ca="1" si="289"/>
        <v>0</v>
      </c>
      <c r="AJ1426">
        <f t="shared" ca="1" si="290"/>
        <v>0</v>
      </c>
      <c r="AK1426">
        <f t="shared" ca="1" si="291"/>
        <v>0</v>
      </c>
      <c r="AL1426">
        <f t="shared" ca="1" si="292"/>
        <v>0</v>
      </c>
    </row>
    <row r="1427" spans="1:38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#N/A, OFFSET(data!$A$1, ROW()-1, AA$1-1))</f>
        <v>0</v>
      </c>
      <c r="AB1427">
        <f t="shared" ca="1" si="283"/>
        <v>0</v>
      </c>
      <c r="AC1427" t="e">
        <f t="shared" ca="1" si="284"/>
        <v>#VALUE!</v>
      </c>
      <c r="AD1427" t="str">
        <f t="shared" ca="1" si="285"/>
        <v>0</v>
      </c>
      <c r="AE1427" t="str">
        <f t="shared" ca="1" si="286"/>
        <v/>
      </c>
      <c r="AF1427" s="6">
        <f t="shared" ca="1" si="287"/>
        <v>0</v>
      </c>
      <c r="AG1427">
        <f t="shared" ca="1" si="282"/>
        <v>0</v>
      </c>
      <c r="AH1427">
        <f t="shared" ca="1" si="288"/>
        <v>0</v>
      </c>
      <c r="AI1427">
        <f t="shared" ca="1" si="289"/>
        <v>0</v>
      </c>
      <c r="AJ1427">
        <f t="shared" ca="1" si="290"/>
        <v>0</v>
      </c>
      <c r="AK1427">
        <f t="shared" ca="1" si="291"/>
        <v>0</v>
      </c>
      <c r="AL1427">
        <f t="shared" ca="1" si="292"/>
        <v>0</v>
      </c>
    </row>
    <row r="1428" spans="1:38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#N/A, OFFSET(data!$A$1, ROW()-1, AA$1-1))</f>
        <v>0</v>
      </c>
      <c r="AB1428">
        <f t="shared" ca="1" si="283"/>
        <v>0</v>
      </c>
      <c r="AC1428" t="e">
        <f t="shared" ca="1" si="284"/>
        <v>#VALUE!</v>
      </c>
      <c r="AD1428" t="str">
        <f t="shared" ca="1" si="285"/>
        <v>0</v>
      </c>
      <c r="AE1428" t="str">
        <f t="shared" ca="1" si="286"/>
        <v/>
      </c>
      <c r="AF1428" s="6">
        <f t="shared" ca="1" si="287"/>
        <v>0</v>
      </c>
      <c r="AG1428">
        <f t="shared" ca="1" si="282"/>
        <v>0</v>
      </c>
      <c r="AH1428">
        <f t="shared" ca="1" si="288"/>
        <v>0</v>
      </c>
      <c r="AI1428">
        <f t="shared" ca="1" si="289"/>
        <v>0</v>
      </c>
      <c r="AJ1428">
        <f t="shared" ca="1" si="290"/>
        <v>0</v>
      </c>
      <c r="AK1428">
        <f t="shared" ca="1" si="291"/>
        <v>0</v>
      </c>
      <c r="AL1428">
        <f t="shared" ca="1" si="292"/>
        <v>0</v>
      </c>
    </row>
    <row r="1429" spans="1:38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#N/A, OFFSET(data!$A$1, ROW()-1, AA$1-1))</f>
        <v>0</v>
      </c>
      <c r="AB1429">
        <f t="shared" ca="1" si="283"/>
        <v>0</v>
      </c>
      <c r="AC1429" t="e">
        <f t="shared" ca="1" si="284"/>
        <v>#VALUE!</v>
      </c>
      <c r="AD1429" t="str">
        <f t="shared" ca="1" si="285"/>
        <v>0</v>
      </c>
      <c r="AE1429" t="str">
        <f t="shared" ca="1" si="286"/>
        <v/>
      </c>
      <c r="AF1429" s="6">
        <f t="shared" ca="1" si="287"/>
        <v>0</v>
      </c>
      <c r="AG1429">
        <f t="shared" ca="1" si="282"/>
        <v>0</v>
      </c>
      <c r="AH1429">
        <f t="shared" ca="1" si="288"/>
        <v>0</v>
      </c>
      <c r="AI1429">
        <f t="shared" ca="1" si="289"/>
        <v>0</v>
      </c>
      <c r="AJ1429">
        <f t="shared" ca="1" si="290"/>
        <v>0</v>
      </c>
      <c r="AK1429">
        <f t="shared" ca="1" si="291"/>
        <v>0</v>
      </c>
      <c r="AL1429">
        <f t="shared" ca="1" si="292"/>
        <v>0</v>
      </c>
    </row>
    <row r="1430" spans="1:38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#N/A, OFFSET(data!$A$1, ROW()-1, AA$1-1))</f>
        <v>0</v>
      </c>
      <c r="AB1430">
        <f t="shared" ca="1" si="283"/>
        <v>0</v>
      </c>
      <c r="AC1430" t="e">
        <f t="shared" ca="1" si="284"/>
        <v>#VALUE!</v>
      </c>
      <c r="AD1430" t="str">
        <f t="shared" ca="1" si="285"/>
        <v>0</v>
      </c>
      <c r="AE1430" t="str">
        <f t="shared" ca="1" si="286"/>
        <v/>
      </c>
      <c r="AF1430" s="6">
        <f t="shared" ca="1" si="287"/>
        <v>0</v>
      </c>
      <c r="AG1430">
        <f t="shared" ca="1" si="282"/>
        <v>0</v>
      </c>
      <c r="AH1430">
        <f t="shared" ca="1" si="288"/>
        <v>0</v>
      </c>
      <c r="AI1430">
        <f t="shared" ca="1" si="289"/>
        <v>0</v>
      </c>
      <c r="AJ1430">
        <f t="shared" ca="1" si="290"/>
        <v>0</v>
      </c>
      <c r="AK1430">
        <f t="shared" ca="1" si="291"/>
        <v>0</v>
      </c>
      <c r="AL1430">
        <f t="shared" ca="1" si="292"/>
        <v>0</v>
      </c>
    </row>
    <row r="1431" spans="1:38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#N/A, OFFSET(data!$A$1, ROW()-1, AA$1-1))</f>
        <v>0</v>
      </c>
      <c r="AB1431">
        <f t="shared" ca="1" si="283"/>
        <v>0</v>
      </c>
      <c r="AC1431" t="e">
        <f t="shared" ca="1" si="284"/>
        <v>#VALUE!</v>
      </c>
      <c r="AD1431" t="str">
        <f t="shared" ca="1" si="285"/>
        <v>0</v>
      </c>
      <c r="AE1431" t="str">
        <f t="shared" ca="1" si="286"/>
        <v/>
      </c>
      <c r="AF1431" s="6">
        <f t="shared" ca="1" si="287"/>
        <v>0</v>
      </c>
      <c r="AG1431">
        <f t="shared" ca="1" si="282"/>
        <v>0</v>
      </c>
      <c r="AH1431">
        <f t="shared" ca="1" si="288"/>
        <v>0</v>
      </c>
      <c r="AI1431">
        <f t="shared" ca="1" si="289"/>
        <v>0</v>
      </c>
      <c r="AJ1431">
        <f t="shared" ca="1" si="290"/>
        <v>0</v>
      </c>
      <c r="AK1431">
        <f t="shared" ca="1" si="291"/>
        <v>0</v>
      </c>
      <c r="AL1431">
        <f t="shared" ca="1" si="292"/>
        <v>0</v>
      </c>
    </row>
    <row r="1432" spans="1:38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#N/A, OFFSET(data!$A$1, ROW()-1, AA$1-1))</f>
        <v>0</v>
      </c>
      <c r="AB1432">
        <f t="shared" ca="1" si="283"/>
        <v>0</v>
      </c>
      <c r="AC1432" t="e">
        <f t="shared" ca="1" si="284"/>
        <v>#VALUE!</v>
      </c>
      <c r="AD1432" t="str">
        <f t="shared" ca="1" si="285"/>
        <v>0</v>
      </c>
      <c r="AE1432" t="str">
        <f t="shared" ca="1" si="286"/>
        <v/>
      </c>
      <c r="AF1432" s="6">
        <f t="shared" ca="1" si="287"/>
        <v>0</v>
      </c>
      <c r="AG1432">
        <f t="shared" ca="1" si="282"/>
        <v>0</v>
      </c>
      <c r="AH1432">
        <f t="shared" ca="1" si="288"/>
        <v>0</v>
      </c>
      <c r="AI1432">
        <f t="shared" ca="1" si="289"/>
        <v>0</v>
      </c>
      <c r="AJ1432">
        <f t="shared" ca="1" si="290"/>
        <v>0</v>
      </c>
      <c r="AK1432">
        <f t="shared" ca="1" si="291"/>
        <v>0</v>
      </c>
      <c r="AL1432">
        <f t="shared" ca="1" si="292"/>
        <v>0</v>
      </c>
    </row>
    <row r="1433" spans="1:38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#N/A, OFFSET(data!$A$1, ROW()-1, AA$1-1))</f>
        <v>0</v>
      </c>
      <c r="AB1433">
        <f t="shared" ca="1" si="283"/>
        <v>0</v>
      </c>
      <c r="AC1433" t="e">
        <f t="shared" ca="1" si="284"/>
        <v>#VALUE!</v>
      </c>
      <c r="AD1433" t="str">
        <f t="shared" ca="1" si="285"/>
        <v>0</v>
      </c>
      <c r="AE1433" t="str">
        <f t="shared" ca="1" si="286"/>
        <v/>
      </c>
      <c r="AF1433" s="6">
        <f t="shared" ca="1" si="287"/>
        <v>0</v>
      </c>
      <c r="AG1433">
        <f t="shared" ca="1" si="282"/>
        <v>0</v>
      </c>
      <c r="AH1433">
        <f t="shared" ca="1" si="288"/>
        <v>0</v>
      </c>
      <c r="AI1433">
        <f t="shared" ca="1" si="289"/>
        <v>0</v>
      </c>
      <c r="AJ1433">
        <f t="shared" ca="1" si="290"/>
        <v>0</v>
      </c>
      <c r="AK1433">
        <f t="shared" ca="1" si="291"/>
        <v>0</v>
      </c>
      <c r="AL1433">
        <f t="shared" ca="1" si="292"/>
        <v>0</v>
      </c>
    </row>
    <row r="1434" spans="1:38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#N/A, OFFSET(data!$A$1, ROW()-1, AA$1-1))</f>
        <v>0</v>
      </c>
      <c r="AB1434">
        <f t="shared" ca="1" si="283"/>
        <v>0</v>
      </c>
      <c r="AC1434" t="e">
        <f t="shared" ca="1" si="284"/>
        <v>#VALUE!</v>
      </c>
      <c r="AD1434" t="str">
        <f t="shared" ca="1" si="285"/>
        <v>0</v>
      </c>
      <c r="AE1434" t="str">
        <f t="shared" ca="1" si="286"/>
        <v/>
      </c>
      <c r="AF1434" s="6">
        <f t="shared" ca="1" si="287"/>
        <v>0</v>
      </c>
      <c r="AG1434">
        <f t="shared" ca="1" si="282"/>
        <v>0</v>
      </c>
      <c r="AH1434">
        <f t="shared" ca="1" si="288"/>
        <v>0</v>
      </c>
      <c r="AI1434">
        <f t="shared" ca="1" si="289"/>
        <v>0</v>
      </c>
      <c r="AJ1434">
        <f t="shared" ca="1" si="290"/>
        <v>0</v>
      </c>
      <c r="AK1434">
        <f t="shared" ca="1" si="291"/>
        <v>0</v>
      </c>
      <c r="AL1434">
        <f t="shared" ca="1" si="292"/>
        <v>0</v>
      </c>
    </row>
    <row r="1435" spans="1:38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#N/A, OFFSET(data!$A$1, ROW()-1, AA$1-1))</f>
        <v>0</v>
      </c>
      <c r="AB1435">
        <f t="shared" ca="1" si="283"/>
        <v>0</v>
      </c>
      <c r="AC1435" t="e">
        <f t="shared" ca="1" si="284"/>
        <v>#VALUE!</v>
      </c>
      <c r="AD1435" t="str">
        <f t="shared" ca="1" si="285"/>
        <v>0</v>
      </c>
      <c r="AE1435" t="str">
        <f t="shared" ca="1" si="286"/>
        <v/>
      </c>
      <c r="AF1435" s="6">
        <f t="shared" ca="1" si="287"/>
        <v>0</v>
      </c>
      <c r="AG1435">
        <f t="shared" ca="1" si="282"/>
        <v>0</v>
      </c>
      <c r="AH1435">
        <f t="shared" ca="1" si="288"/>
        <v>0</v>
      </c>
      <c r="AI1435">
        <f t="shared" ca="1" si="289"/>
        <v>0</v>
      </c>
      <c r="AJ1435">
        <f t="shared" ca="1" si="290"/>
        <v>0</v>
      </c>
      <c r="AK1435">
        <f t="shared" ca="1" si="291"/>
        <v>0</v>
      </c>
      <c r="AL1435">
        <f t="shared" ca="1" si="292"/>
        <v>0</v>
      </c>
    </row>
    <row r="1436" spans="1:38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#N/A, OFFSET(data!$A$1, ROW()-1, AA$1-1))</f>
        <v>0</v>
      </c>
      <c r="AB1436">
        <f t="shared" ca="1" si="283"/>
        <v>0</v>
      </c>
      <c r="AC1436" t="e">
        <f t="shared" ca="1" si="284"/>
        <v>#VALUE!</v>
      </c>
      <c r="AD1436" t="str">
        <f t="shared" ca="1" si="285"/>
        <v>0</v>
      </c>
      <c r="AE1436" t="str">
        <f t="shared" ca="1" si="286"/>
        <v/>
      </c>
      <c r="AF1436" s="6">
        <f t="shared" ca="1" si="287"/>
        <v>0</v>
      </c>
      <c r="AG1436">
        <f t="shared" ca="1" si="282"/>
        <v>0</v>
      </c>
      <c r="AH1436">
        <f t="shared" ca="1" si="288"/>
        <v>0</v>
      </c>
      <c r="AI1436">
        <f t="shared" ca="1" si="289"/>
        <v>0</v>
      </c>
      <c r="AJ1436">
        <f t="shared" ca="1" si="290"/>
        <v>0</v>
      </c>
      <c r="AK1436">
        <f t="shared" ca="1" si="291"/>
        <v>0</v>
      </c>
      <c r="AL1436">
        <f t="shared" ca="1" si="292"/>
        <v>0</v>
      </c>
    </row>
    <row r="1437" spans="1:38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#N/A, OFFSET(data!$A$1, ROW()-1, AA$1-1))</f>
        <v>0</v>
      </c>
      <c r="AB1437">
        <f t="shared" ca="1" si="283"/>
        <v>0</v>
      </c>
      <c r="AC1437" t="e">
        <f t="shared" ca="1" si="284"/>
        <v>#VALUE!</v>
      </c>
      <c r="AD1437" t="str">
        <f t="shared" ca="1" si="285"/>
        <v>0</v>
      </c>
      <c r="AE1437" t="str">
        <f t="shared" ca="1" si="286"/>
        <v/>
      </c>
      <c r="AF1437" s="6">
        <f t="shared" ca="1" si="287"/>
        <v>0</v>
      </c>
      <c r="AG1437">
        <f t="shared" ca="1" si="282"/>
        <v>0</v>
      </c>
      <c r="AH1437">
        <f t="shared" ca="1" si="288"/>
        <v>0</v>
      </c>
      <c r="AI1437">
        <f t="shared" ca="1" si="289"/>
        <v>0</v>
      </c>
      <c r="AJ1437">
        <f t="shared" ca="1" si="290"/>
        <v>0</v>
      </c>
      <c r="AK1437">
        <f t="shared" ca="1" si="291"/>
        <v>0</v>
      </c>
      <c r="AL1437">
        <f t="shared" ca="1" si="292"/>
        <v>0</v>
      </c>
    </row>
    <row r="1438" spans="1:38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#N/A, OFFSET(data!$A$1, ROW()-1, AA$1-1))</f>
        <v>0</v>
      </c>
      <c r="AB1438">
        <f t="shared" ca="1" si="283"/>
        <v>0</v>
      </c>
      <c r="AC1438" t="e">
        <f t="shared" ca="1" si="284"/>
        <v>#VALUE!</v>
      </c>
      <c r="AD1438" t="str">
        <f t="shared" ca="1" si="285"/>
        <v>0</v>
      </c>
      <c r="AE1438" t="str">
        <f t="shared" ca="1" si="286"/>
        <v/>
      </c>
      <c r="AF1438" s="6">
        <f t="shared" ca="1" si="287"/>
        <v>0</v>
      </c>
      <c r="AG1438">
        <f t="shared" ca="1" si="282"/>
        <v>0</v>
      </c>
      <c r="AH1438">
        <f t="shared" ca="1" si="288"/>
        <v>0</v>
      </c>
      <c r="AI1438">
        <f t="shared" ca="1" si="289"/>
        <v>0</v>
      </c>
      <c r="AJ1438">
        <f t="shared" ca="1" si="290"/>
        <v>0</v>
      </c>
      <c r="AK1438">
        <f t="shared" ca="1" si="291"/>
        <v>0</v>
      </c>
      <c r="AL1438">
        <f t="shared" ca="1" si="292"/>
        <v>0</v>
      </c>
    </row>
    <row r="1439" spans="1:38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#N/A, OFFSET(data!$A$1, ROW()-1, AA$1-1))</f>
        <v>0</v>
      </c>
      <c r="AB1439">
        <f t="shared" ca="1" si="283"/>
        <v>0</v>
      </c>
      <c r="AC1439" t="e">
        <f t="shared" ca="1" si="284"/>
        <v>#VALUE!</v>
      </c>
      <c r="AD1439" t="str">
        <f t="shared" ca="1" si="285"/>
        <v>0</v>
      </c>
      <c r="AE1439" t="str">
        <f t="shared" ca="1" si="286"/>
        <v/>
      </c>
      <c r="AF1439" s="6">
        <f t="shared" ca="1" si="287"/>
        <v>0</v>
      </c>
      <c r="AG1439">
        <f t="shared" ca="1" si="282"/>
        <v>0</v>
      </c>
      <c r="AH1439">
        <f t="shared" ca="1" si="288"/>
        <v>0</v>
      </c>
      <c r="AI1439">
        <f t="shared" ca="1" si="289"/>
        <v>0</v>
      </c>
      <c r="AJ1439">
        <f t="shared" ca="1" si="290"/>
        <v>0</v>
      </c>
      <c r="AK1439">
        <f t="shared" ca="1" si="291"/>
        <v>0</v>
      </c>
      <c r="AL1439">
        <f t="shared" ca="1" si="292"/>
        <v>0</v>
      </c>
    </row>
    <row r="1440" spans="1:38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#N/A, OFFSET(data!$A$1, ROW()-1, AA$1-1))</f>
        <v>0</v>
      </c>
      <c r="AB1440">
        <f t="shared" ca="1" si="283"/>
        <v>0</v>
      </c>
      <c r="AC1440" t="e">
        <f t="shared" ca="1" si="284"/>
        <v>#VALUE!</v>
      </c>
      <c r="AD1440" t="str">
        <f t="shared" ca="1" si="285"/>
        <v>0</v>
      </c>
      <c r="AE1440" t="str">
        <f t="shared" ca="1" si="286"/>
        <v/>
      </c>
      <c r="AF1440" s="6">
        <f t="shared" ca="1" si="287"/>
        <v>0</v>
      </c>
      <c r="AG1440">
        <f t="shared" ca="1" si="282"/>
        <v>0</v>
      </c>
      <c r="AH1440">
        <f t="shared" ca="1" si="288"/>
        <v>0</v>
      </c>
      <c r="AI1440">
        <f t="shared" ca="1" si="289"/>
        <v>0</v>
      </c>
      <c r="AJ1440">
        <f t="shared" ca="1" si="290"/>
        <v>0</v>
      </c>
      <c r="AK1440">
        <f t="shared" ca="1" si="291"/>
        <v>0</v>
      </c>
      <c r="AL1440">
        <f t="shared" ca="1" si="292"/>
        <v>0</v>
      </c>
    </row>
    <row r="1441" spans="1:38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#N/A, OFFSET(data!$A$1, ROW()-1, AA$1-1))</f>
        <v>0</v>
      </c>
      <c r="AB1441">
        <f t="shared" ca="1" si="283"/>
        <v>0</v>
      </c>
      <c r="AC1441" t="e">
        <f t="shared" ca="1" si="284"/>
        <v>#VALUE!</v>
      </c>
      <c r="AD1441" t="str">
        <f t="shared" ca="1" si="285"/>
        <v>0</v>
      </c>
      <c r="AE1441" t="str">
        <f t="shared" ca="1" si="286"/>
        <v/>
      </c>
      <c r="AF1441" s="6">
        <f t="shared" ca="1" si="287"/>
        <v>0</v>
      </c>
      <c r="AG1441">
        <f t="shared" ca="1" si="282"/>
        <v>0</v>
      </c>
      <c r="AH1441">
        <f t="shared" ca="1" si="288"/>
        <v>0</v>
      </c>
      <c r="AI1441">
        <f t="shared" ca="1" si="289"/>
        <v>0</v>
      </c>
      <c r="AJ1441">
        <f t="shared" ca="1" si="290"/>
        <v>0</v>
      </c>
      <c r="AK1441">
        <f t="shared" ca="1" si="291"/>
        <v>0</v>
      </c>
      <c r="AL1441">
        <f t="shared" ca="1" si="292"/>
        <v>0</v>
      </c>
    </row>
    <row r="1442" spans="1:38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#N/A, OFFSET(data!$A$1, ROW()-1, AA$1-1))</f>
        <v>0</v>
      </c>
      <c r="AB1442">
        <f t="shared" ca="1" si="283"/>
        <v>0</v>
      </c>
      <c r="AC1442" t="e">
        <f t="shared" ca="1" si="284"/>
        <v>#VALUE!</v>
      </c>
      <c r="AD1442" t="str">
        <f t="shared" ca="1" si="285"/>
        <v>0</v>
      </c>
      <c r="AE1442" t="str">
        <f t="shared" ca="1" si="286"/>
        <v/>
      </c>
      <c r="AF1442" s="6">
        <f t="shared" ca="1" si="287"/>
        <v>0</v>
      </c>
      <c r="AG1442">
        <f t="shared" ca="1" si="282"/>
        <v>0</v>
      </c>
      <c r="AH1442">
        <f t="shared" ca="1" si="288"/>
        <v>0</v>
      </c>
      <c r="AI1442">
        <f t="shared" ca="1" si="289"/>
        <v>0</v>
      </c>
      <c r="AJ1442">
        <f t="shared" ca="1" si="290"/>
        <v>0</v>
      </c>
      <c r="AK1442">
        <f t="shared" ca="1" si="291"/>
        <v>0</v>
      </c>
      <c r="AL1442">
        <f t="shared" ca="1" si="292"/>
        <v>0</v>
      </c>
    </row>
    <row r="1443" spans="1:38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#N/A, OFFSET(data!$A$1, ROW()-1, AA$1-1))</f>
        <v>0</v>
      </c>
      <c r="AB1443">
        <f t="shared" ca="1" si="283"/>
        <v>0</v>
      </c>
      <c r="AC1443" t="e">
        <f t="shared" ca="1" si="284"/>
        <v>#VALUE!</v>
      </c>
      <c r="AD1443" t="str">
        <f t="shared" ca="1" si="285"/>
        <v>0</v>
      </c>
      <c r="AE1443" t="str">
        <f t="shared" ca="1" si="286"/>
        <v/>
      </c>
      <c r="AF1443" s="6">
        <f t="shared" ca="1" si="287"/>
        <v>0</v>
      </c>
      <c r="AG1443">
        <f t="shared" ca="1" si="282"/>
        <v>0</v>
      </c>
      <c r="AH1443">
        <f t="shared" ca="1" si="288"/>
        <v>0</v>
      </c>
      <c r="AI1443">
        <f t="shared" ca="1" si="289"/>
        <v>0</v>
      </c>
      <c r="AJ1443">
        <f t="shared" ca="1" si="290"/>
        <v>0</v>
      </c>
      <c r="AK1443">
        <f t="shared" ca="1" si="291"/>
        <v>0</v>
      </c>
      <c r="AL1443">
        <f t="shared" ca="1" si="292"/>
        <v>0</v>
      </c>
    </row>
    <row r="1444" spans="1:38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#N/A, OFFSET(data!$A$1, ROW()-1, AA$1-1))</f>
        <v>0</v>
      </c>
      <c r="AB1444">
        <f t="shared" ca="1" si="283"/>
        <v>0</v>
      </c>
      <c r="AC1444" t="e">
        <f t="shared" ca="1" si="284"/>
        <v>#VALUE!</v>
      </c>
      <c r="AD1444" t="str">
        <f t="shared" ca="1" si="285"/>
        <v>0</v>
      </c>
      <c r="AE1444" t="str">
        <f t="shared" ca="1" si="286"/>
        <v/>
      </c>
      <c r="AF1444" s="6">
        <f t="shared" ca="1" si="287"/>
        <v>0</v>
      </c>
      <c r="AG1444">
        <f t="shared" ca="1" si="282"/>
        <v>0</v>
      </c>
      <c r="AH1444">
        <f t="shared" ca="1" si="288"/>
        <v>0</v>
      </c>
      <c r="AI1444">
        <f t="shared" ca="1" si="289"/>
        <v>0</v>
      </c>
      <c r="AJ1444">
        <f t="shared" ca="1" si="290"/>
        <v>0</v>
      </c>
      <c r="AK1444">
        <f t="shared" ca="1" si="291"/>
        <v>0</v>
      </c>
      <c r="AL1444">
        <f t="shared" ca="1" si="292"/>
        <v>0</v>
      </c>
    </row>
    <row r="1445" spans="1:38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#N/A, OFFSET(data!$A$1, ROW()-1, AA$1-1))</f>
        <v>0</v>
      </c>
      <c r="AB1445">
        <f t="shared" ca="1" si="283"/>
        <v>0</v>
      </c>
      <c r="AC1445" t="e">
        <f t="shared" ca="1" si="284"/>
        <v>#VALUE!</v>
      </c>
      <c r="AD1445" t="str">
        <f t="shared" ca="1" si="285"/>
        <v>0</v>
      </c>
      <c r="AE1445" t="str">
        <f t="shared" ca="1" si="286"/>
        <v/>
      </c>
      <c r="AF1445" s="6">
        <f t="shared" ca="1" si="287"/>
        <v>0</v>
      </c>
      <c r="AG1445">
        <f t="shared" ca="1" si="282"/>
        <v>0</v>
      </c>
      <c r="AH1445">
        <f t="shared" ca="1" si="288"/>
        <v>0</v>
      </c>
      <c r="AI1445">
        <f t="shared" ca="1" si="289"/>
        <v>0</v>
      </c>
      <c r="AJ1445">
        <f t="shared" ca="1" si="290"/>
        <v>0</v>
      </c>
      <c r="AK1445">
        <f t="shared" ca="1" si="291"/>
        <v>0</v>
      </c>
      <c r="AL1445">
        <f t="shared" ca="1" si="292"/>
        <v>0</v>
      </c>
    </row>
    <row r="1446" spans="1:38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#N/A, OFFSET(data!$A$1, ROW()-1, AA$1-1))</f>
        <v>0</v>
      </c>
      <c r="AB1446">
        <f t="shared" ca="1" si="283"/>
        <v>0</v>
      </c>
      <c r="AC1446" t="e">
        <f t="shared" ca="1" si="284"/>
        <v>#VALUE!</v>
      </c>
      <c r="AD1446" t="str">
        <f t="shared" ca="1" si="285"/>
        <v>0</v>
      </c>
      <c r="AE1446" t="str">
        <f t="shared" ca="1" si="286"/>
        <v/>
      </c>
      <c r="AF1446" s="6">
        <f t="shared" ca="1" si="287"/>
        <v>0</v>
      </c>
      <c r="AG1446">
        <f t="shared" ca="1" si="282"/>
        <v>0</v>
      </c>
      <c r="AH1446">
        <f t="shared" ca="1" si="288"/>
        <v>0</v>
      </c>
      <c r="AI1446">
        <f t="shared" ca="1" si="289"/>
        <v>0</v>
      </c>
      <c r="AJ1446">
        <f t="shared" ca="1" si="290"/>
        <v>0</v>
      </c>
      <c r="AK1446">
        <f t="shared" ca="1" si="291"/>
        <v>0</v>
      </c>
      <c r="AL1446">
        <f t="shared" ca="1" si="292"/>
        <v>0</v>
      </c>
    </row>
    <row r="1447" spans="1:38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#N/A, OFFSET(data!$A$1, ROW()-1, AA$1-1))</f>
        <v>0</v>
      </c>
      <c r="AB1447">
        <f t="shared" ca="1" si="283"/>
        <v>0</v>
      </c>
      <c r="AC1447" t="e">
        <f t="shared" ca="1" si="284"/>
        <v>#VALUE!</v>
      </c>
      <c r="AD1447" t="str">
        <f t="shared" ca="1" si="285"/>
        <v>0</v>
      </c>
      <c r="AE1447" t="str">
        <f t="shared" ca="1" si="286"/>
        <v/>
      </c>
      <c r="AF1447" s="6">
        <f t="shared" ca="1" si="287"/>
        <v>0</v>
      </c>
      <c r="AG1447">
        <f t="shared" ca="1" si="282"/>
        <v>0</v>
      </c>
      <c r="AH1447">
        <f t="shared" ca="1" si="288"/>
        <v>0</v>
      </c>
      <c r="AI1447">
        <f t="shared" ca="1" si="289"/>
        <v>0</v>
      </c>
      <c r="AJ1447">
        <f t="shared" ca="1" si="290"/>
        <v>0</v>
      </c>
      <c r="AK1447">
        <f t="shared" ca="1" si="291"/>
        <v>0</v>
      </c>
      <c r="AL1447">
        <f t="shared" ca="1" si="292"/>
        <v>0</v>
      </c>
    </row>
    <row r="1448" spans="1:38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#N/A, OFFSET(data!$A$1, ROW()-1, AA$1-1))</f>
        <v>0</v>
      </c>
      <c r="AB1448">
        <f t="shared" ca="1" si="283"/>
        <v>0</v>
      </c>
      <c r="AC1448" t="e">
        <f t="shared" ca="1" si="284"/>
        <v>#VALUE!</v>
      </c>
      <c r="AD1448" t="str">
        <f t="shared" ca="1" si="285"/>
        <v>0</v>
      </c>
      <c r="AE1448" t="str">
        <f t="shared" ca="1" si="286"/>
        <v/>
      </c>
      <c r="AF1448" s="6">
        <f t="shared" ca="1" si="287"/>
        <v>0</v>
      </c>
      <c r="AG1448">
        <f t="shared" ca="1" si="282"/>
        <v>0</v>
      </c>
      <c r="AH1448">
        <f t="shared" ca="1" si="288"/>
        <v>0</v>
      </c>
      <c r="AI1448">
        <f t="shared" ca="1" si="289"/>
        <v>0</v>
      </c>
      <c r="AJ1448">
        <f t="shared" ca="1" si="290"/>
        <v>0</v>
      </c>
      <c r="AK1448">
        <f t="shared" ca="1" si="291"/>
        <v>0</v>
      </c>
      <c r="AL1448">
        <f t="shared" ca="1" si="292"/>
        <v>0</v>
      </c>
    </row>
    <row r="1449" spans="1:38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#N/A, OFFSET(data!$A$1, ROW()-1, AA$1-1))</f>
        <v>0</v>
      </c>
      <c r="AB1449">
        <f t="shared" ca="1" si="283"/>
        <v>0</v>
      </c>
      <c r="AC1449" t="e">
        <f t="shared" ca="1" si="284"/>
        <v>#VALUE!</v>
      </c>
      <c r="AD1449" t="str">
        <f t="shared" ca="1" si="285"/>
        <v>0</v>
      </c>
      <c r="AE1449" t="str">
        <f t="shared" ca="1" si="286"/>
        <v/>
      </c>
      <c r="AF1449" s="6">
        <f t="shared" ca="1" si="287"/>
        <v>0</v>
      </c>
      <c r="AG1449">
        <f t="shared" ca="1" si="282"/>
        <v>0</v>
      </c>
      <c r="AH1449">
        <f t="shared" ca="1" si="288"/>
        <v>0</v>
      </c>
      <c r="AI1449">
        <f t="shared" ca="1" si="289"/>
        <v>0</v>
      </c>
      <c r="AJ1449">
        <f t="shared" ca="1" si="290"/>
        <v>0</v>
      </c>
      <c r="AK1449">
        <f t="shared" ca="1" si="291"/>
        <v>0</v>
      </c>
      <c r="AL1449">
        <f t="shared" ca="1" si="292"/>
        <v>0</v>
      </c>
    </row>
    <row r="1450" spans="1:38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#N/A, OFFSET(data!$A$1, ROW()-1, AA$1-1))</f>
        <v>0</v>
      </c>
      <c r="AB1450">
        <f t="shared" ca="1" si="283"/>
        <v>0</v>
      </c>
      <c r="AC1450" t="e">
        <f t="shared" ca="1" si="284"/>
        <v>#VALUE!</v>
      </c>
      <c r="AD1450" t="str">
        <f t="shared" ca="1" si="285"/>
        <v>0</v>
      </c>
      <c r="AE1450" t="str">
        <f t="shared" ca="1" si="286"/>
        <v/>
      </c>
      <c r="AF1450" s="6">
        <f t="shared" ca="1" si="287"/>
        <v>0</v>
      </c>
      <c r="AG1450">
        <f t="shared" ca="1" si="282"/>
        <v>0</v>
      </c>
      <c r="AH1450">
        <f t="shared" ca="1" si="288"/>
        <v>0</v>
      </c>
      <c r="AI1450">
        <f t="shared" ca="1" si="289"/>
        <v>0</v>
      </c>
      <c r="AJ1450">
        <f t="shared" ca="1" si="290"/>
        <v>0</v>
      </c>
      <c r="AK1450">
        <f t="shared" ca="1" si="291"/>
        <v>0</v>
      </c>
      <c r="AL1450">
        <f t="shared" ca="1" si="292"/>
        <v>0</v>
      </c>
    </row>
    <row r="1451" spans="1:38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#N/A, OFFSET(data!$A$1, ROW()-1, AA$1-1))</f>
        <v>0</v>
      </c>
      <c r="AB1451">
        <f t="shared" ca="1" si="283"/>
        <v>0</v>
      </c>
      <c r="AC1451" t="e">
        <f t="shared" ca="1" si="284"/>
        <v>#VALUE!</v>
      </c>
      <c r="AD1451" t="str">
        <f t="shared" ca="1" si="285"/>
        <v>0</v>
      </c>
      <c r="AE1451" t="str">
        <f t="shared" ca="1" si="286"/>
        <v/>
      </c>
      <c r="AF1451" s="6">
        <f t="shared" ca="1" si="287"/>
        <v>0</v>
      </c>
      <c r="AG1451">
        <f t="shared" ca="1" si="282"/>
        <v>0</v>
      </c>
      <c r="AH1451">
        <f t="shared" ca="1" si="288"/>
        <v>0</v>
      </c>
      <c r="AI1451">
        <f t="shared" ca="1" si="289"/>
        <v>0</v>
      </c>
      <c r="AJ1451">
        <f t="shared" ca="1" si="290"/>
        <v>0</v>
      </c>
      <c r="AK1451">
        <f t="shared" ca="1" si="291"/>
        <v>0</v>
      </c>
      <c r="AL1451">
        <f t="shared" ca="1" si="292"/>
        <v>0</v>
      </c>
    </row>
    <row r="1452" spans="1:38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#N/A, OFFSET(data!$A$1, ROW()-1, AA$1-1))</f>
        <v>0</v>
      </c>
      <c r="AB1452">
        <f t="shared" ca="1" si="283"/>
        <v>0</v>
      </c>
      <c r="AC1452" t="e">
        <f t="shared" ca="1" si="284"/>
        <v>#VALUE!</v>
      </c>
      <c r="AD1452" t="str">
        <f t="shared" ca="1" si="285"/>
        <v>0</v>
      </c>
      <c r="AE1452" t="str">
        <f t="shared" ca="1" si="286"/>
        <v/>
      </c>
      <c r="AF1452" s="6">
        <f t="shared" ca="1" si="287"/>
        <v>0</v>
      </c>
      <c r="AG1452">
        <f t="shared" ca="1" si="282"/>
        <v>0</v>
      </c>
      <c r="AH1452">
        <f t="shared" ca="1" si="288"/>
        <v>0</v>
      </c>
      <c r="AI1452">
        <f t="shared" ca="1" si="289"/>
        <v>0</v>
      </c>
      <c r="AJ1452">
        <f t="shared" ca="1" si="290"/>
        <v>0</v>
      </c>
      <c r="AK1452">
        <f t="shared" ca="1" si="291"/>
        <v>0</v>
      </c>
      <c r="AL1452">
        <f t="shared" ca="1" si="292"/>
        <v>0</v>
      </c>
    </row>
    <row r="1453" spans="1:38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#N/A, OFFSET(data!$A$1, ROW()-1, AA$1-1))</f>
        <v>0</v>
      </c>
      <c r="AB1453">
        <f t="shared" ca="1" si="283"/>
        <v>0</v>
      </c>
      <c r="AC1453" t="e">
        <f t="shared" ca="1" si="284"/>
        <v>#VALUE!</v>
      </c>
      <c r="AD1453" t="str">
        <f t="shared" ca="1" si="285"/>
        <v>0</v>
      </c>
      <c r="AE1453" t="str">
        <f t="shared" ca="1" si="286"/>
        <v/>
      </c>
      <c r="AF1453" s="6">
        <f t="shared" ca="1" si="287"/>
        <v>0</v>
      </c>
      <c r="AG1453">
        <f t="shared" ca="1" si="282"/>
        <v>0</v>
      </c>
      <c r="AH1453">
        <f t="shared" ca="1" si="288"/>
        <v>0</v>
      </c>
      <c r="AI1453">
        <f t="shared" ca="1" si="289"/>
        <v>0</v>
      </c>
      <c r="AJ1453">
        <f t="shared" ca="1" si="290"/>
        <v>0</v>
      </c>
      <c r="AK1453">
        <f t="shared" ca="1" si="291"/>
        <v>0</v>
      </c>
      <c r="AL1453">
        <f t="shared" ca="1" si="292"/>
        <v>0</v>
      </c>
    </row>
    <row r="1454" spans="1:38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#N/A, OFFSET(data!$A$1, ROW()-1, AA$1-1))</f>
        <v>0</v>
      </c>
      <c r="AB1454">
        <f t="shared" ca="1" si="283"/>
        <v>0</v>
      </c>
      <c r="AC1454" t="e">
        <f t="shared" ca="1" si="284"/>
        <v>#VALUE!</v>
      </c>
      <c r="AD1454" t="str">
        <f t="shared" ca="1" si="285"/>
        <v>0</v>
      </c>
      <c r="AE1454" t="str">
        <f t="shared" ca="1" si="286"/>
        <v/>
      </c>
      <c r="AF1454" s="6">
        <f t="shared" ca="1" si="287"/>
        <v>0</v>
      </c>
      <c r="AG1454">
        <f t="shared" ca="1" si="282"/>
        <v>0</v>
      </c>
      <c r="AH1454">
        <f t="shared" ca="1" si="288"/>
        <v>0</v>
      </c>
      <c r="AI1454">
        <f t="shared" ca="1" si="289"/>
        <v>0</v>
      </c>
      <c r="AJ1454">
        <f t="shared" ca="1" si="290"/>
        <v>0</v>
      </c>
      <c r="AK1454">
        <f t="shared" ca="1" si="291"/>
        <v>0</v>
      </c>
      <c r="AL1454">
        <f t="shared" ca="1" si="292"/>
        <v>0</v>
      </c>
    </row>
    <row r="1455" spans="1:38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#N/A, OFFSET(data!$A$1, ROW()-1, AA$1-1))</f>
        <v>0</v>
      </c>
      <c r="AB1455">
        <f t="shared" ca="1" si="283"/>
        <v>0</v>
      </c>
      <c r="AC1455" t="e">
        <f t="shared" ca="1" si="284"/>
        <v>#VALUE!</v>
      </c>
      <c r="AD1455" t="str">
        <f t="shared" ca="1" si="285"/>
        <v>0</v>
      </c>
      <c r="AE1455" t="str">
        <f t="shared" ca="1" si="286"/>
        <v/>
      </c>
      <c r="AF1455" s="6">
        <f t="shared" ca="1" si="287"/>
        <v>0</v>
      </c>
      <c r="AG1455">
        <f t="shared" ca="1" si="282"/>
        <v>0</v>
      </c>
      <c r="AH1455">
        <f t="shared" ca="1" si="288"/>
        <v>0</v>
      </c>
      <c r="AI1455">
        <f t="shared" ca="1" si="289"/>
        <v>0</v>
      </c>
      <c r="AJ1455">
        <f t="shared" ca="1" si="290"/>
        <v>0</v>
      </c>
      <c r="AK1455">
        <f t="shared" ca="1" si="291"/>
        <v>0</v>
      </c>
      <c r="AL1455">
        <f t="shared" ca="1" si="292"/>
        <v>0</v>
      </c>
    </row>
    <row r="1456" spans="1:38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#N/A, OFFSET(data!$A$1, ROW()-1, AA$1-1))</f>
        <v>0</v>
      </c>
      <c r="AB1456">
        <f t="shared" ca="1" si="283"/>
        <v>0</v>
      </c>
      <c r="AC1456" t="e">
        <f t="shared" ca="1" si="284"/>
        <v>#VALUE!</v>
      </c>
      <c r="AD1456" t="str">
        <f t="shared" ca="1" si="285"/>
        <v>0</v>
      </c>
      <c r="AE1456" t="str">
        <f t="shared" ca="1" si="286"/>
        <v/>
      </c>
      <c r="AF1456" s="6">
        <f t="shared" ca="1" si="287"/>
        <v>0</v>
      </c>
      <c r="AG1456">
        <f t="shared" ca="1" si="282"/>
        <v>0</v>
      </c>
      <c r="AH1456">
        <f t="shared" ca="1" si="288"/>
        <v>0</v>
      </c>
      <c r="AI1456">
        <f t="shared" ca="1" si="289"/>
        <v>0</v>
      </c>
      <c r="AJ1456">
        <f t="shared" ca="1" si="290"/>
        <v>0</v>
      </c>
      <c r="AK1456">
        <f t="shared" ca="1" si="291"/>
        <v>0</v>
      </c>
      <c r="AL1456">
        <f t="shared" ca="1" si="292"/>
        <v>0</v>
      </c>
    </row>
    <row r="1457" spans="1:38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#N/A, OFFSET(data!$A$1, ROW()-1, AA$1-1))</f>
        <v>0</v>
      </c>
      <c r="AB1457">
        <f t="shared" ca="1" si="283"/>
        <v>0</v>
      </c>
      <c r="AC1457" t="e">
        <f t="shared" ca="1" si="284"/>
        <v>#VALUE!</v>
      </c>
      <c r="AD1457" t="str">
        <f t="shared" ca="1" si="285"/>
        <v>0</v>
      </c>
      <c r="AE1457" t="str">
        <f t="shared" ca="1" si="286"/>
        <v/>
      </c>
      <c r="AF1457" s="6">
        <f t="shared" ca="1" si="287"/>
        <v>0</v>
      </c>
      <c r="AG1457">
        <f t="shared" ca="1" si="282"/>
        <v>0</v>
      </c>
      <c r="AH1457">
        <f t="shared" ca="1" si="288"/>
        <v>0</v>
      </c>
      <c r="AI1457">
        <f t="shared" ca="1" si="289"/>
        <v>0</v>
      </c>
      <c r="AJ1457">
        <f t="shared" ca="1" si="290"/>
        <v>0</v>
      </c>
      <c r="AK1457">
        <f t="shared" ca="1" si="291"/>
        <v>0</v>
      </c>
      <c r="AL1457">
        <f t="shared" ca="1" si="292"/>
        <v>0</v>
      </c>
    </row>
    <row r="1458" spans="1:38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#N/A, OFFSET(data!$A$1, ROW()-1, AA$1-1))</f>
        <v>0</v>
      </c>
      <c r="AB1458">
        <f t="shared" ca="1" si="283"/>
        <v>0</v>
      </c>
      <c r="AC1458" t="e">
        <f t="shared" ca="1" si="284"/>
        <v>#VALUE!</v>
      </c>
      <c r="AD1458" t="str">
        <f t="shared" ca="1" si="285"/>
        <v>0</v>
      </c>
      <c r="AE1458" t="str">
        <f t="shared" ca="1" si="286"/>
        <v/>
      </c>
      <c r="AF1458" s="6">
        <f t="shared" ca="1" si="287"/>
        <v>0</v>
      </c>
      <c r="AG1458">
        <f t="shared" ca="1" si="282"/>
        <v>0</v>
      </c>
      <c r="AH1458">
        <f t="shared" ca="1" si="288"/>
        <v>0</v>
      </c>
      <c r="AI1458">
        <f t="shared" ca="1" si="289"/>
        <v>0</v>
      </c>
      <c r="AJ1458">
        <f t="shared" ca="1" si="290"/>
        <v>0</v>
      </c>
      <c r="AK1458">
        <f t="shared" ca="1" si="291"/>
        <v>0</v>
      </c>
      <c r="AL1458">
        <f t="shared" ca="1" si="292"/>
        <v>0</v>
      </c>
    </row>
    <row r="1459" spans="1:38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#N/A, OFFSET(data!$A$1, ROW()-1, AA$1-1))</f>
        <v>0</v>
      </c>
      <c r="AB1459">
        <f t="shared" ca="1" si="283"/>
        <v>0</v>
      </c>
      <c r="AC1459" t="e">
        <f t="shared" ca="1" si="284"/>
        <v>#VALUE!</v>
      </c>
      <c r="AD1459" t="str">
        <f t="shared" ca="1" si="285"/>
        <v>0</v>
      </c>
      <c r="AE1459" t="str">
        <f t="shared" ca="1" si="286"/>
        <v/>
      </c>
      <c r="AF1459" s="6">
        <f t="shared" ca="1" si="287"/>
        <v>0</v>
      </c>
      <c r="AG1459">
        <f t="shared" ca="1" si="282"/>
        <v>0</v>
      </c>
      <c r="AH1459">
        <f t="shared" ca="1" si="288"/>
        <v>0</v>
      </c>
      <c r="AI1459">
        <f t="shared" ca="1" si="289"/>
        <v>0</v>
      </c>
      <c r="AJ1459">
        <f t="shared" ca="1" si="290"/>
        <v>0</v>
      </c>
      <c r="AK1459">
        <f t="shared" ca="1" si="291"/>
        <v>0</v>
      </c>
      <c r="AL1459">
        <f t="shared" ca="1" si="292"/>
        <v>0</v>
      </c>
    </row>
    <row r="1460" spans="1:38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#N/A, OFFSET(data!$A$1, ROW()-1, AA$1-1))</f>
        <v>0</v>
      </c>
      <c r="AB1460">
        <f t="shared" ca="1" si="283"/>
        <v>0</v>
      </c>
      <c r="AC1460" t="e">
        <f t="shared" ca="1" si="284"/>
        <v>#VALUE!</v>
      </c>
      <c r="AD1460" t="str">
        <f t="shared" ca="1" si="285"/>
        <v>0</v>
      </c>
      <c r="AE1460" t="str">
        <f t="shared" ca="1" si="286"/>
        <v/>
      </c>
      <c r="AF1460" s="6">
        <f t="shared" ca="1" si="287"/>
        <v>0</v>
      </c>
      <c r="AG1460">
        <f t="shared" ref="AG1460:AG1523" ca="1" si="293">T1460+W1460</f>
        <v>0</v>
      </c>
      <c r="AH1460">
        <f t="shared" ca="1" si="288"/>
        <v>0</v>
      </c>
      <c r="AI1460">
        <f t="shared" ca="1" si="289"/>
        <v>0</v>
      </c>
      <c r="AJ1460">
        <f t="shared" ca="1" si="290"/>
        <v>0</v>
      </c>
      <c r="AK1460">
        <f t="shared" ca="1" si="291"/>
        <v>0</v>
      </c>
      <c r="AL1460">
        <f t="shared" ca="1" si="292"/>
        <v>0</v>
      </c>
    </row>
    <row r="1461" spans="1:38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#N/A, OFFSET(data!$A$1, ROW()-1, AA$1-1))</f>
        <v>0</v>
      </c>
      <c r="AB1461">
        <f t="shared" ca="1" si="283"/>
        <v>0</v>
      </c>
      <c r="AC1461" t="e">
        <f t="shared" ca="1" si="284"/>
        <v>#VALUE!</v>
      </c>
      <c r="AD1461" t="str">
        <f t="shared" ca="1" si="285"/>
        <v>0</v>
      </c>
      <c r="AE1461" t="str">
        <f t="shared" ca="1" si="286"/>
        <v/>
      </c>
      <c r="AF1461" s="6">
        <f t="shared" ca="1" si="287"/>
        <v>0</v>
      </c>
      <c r="AG1461">
        <f t="shared" ca="1" si="293"/>
        <v>0</v>
      </c>
      <c r="AH1461">
        <f t="shared" ca="1" si="288"/>
        <v>0</v>
      </c>
      <c r="AI1461">
        <f t="shared" ca="1" si="289"/>
        <v>0</v>
      </c>
      <c r="AJ1461">
        <f t="shared" ca="1" si="290"/>
        <v>0</v>
      </c>
      <c r="AK1461">
        <f t="shared" ca="1" si="291"/>
        <v>0</v>
      </c>
      <c r="AL1461">
        <f t="shared" ca="1" si="292"/>
        <v>0</v>
      </c>
    </row>
    <row r="1462" spans="1:38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#N/A, OFFSET(data!$A$1, ROW()-1, AA$1-1))</f>
        <v>0</v>
      </c>
      <c r="AB1462">
        <f t="shared" ca="1" si="283"/>
        <v>0</v>
      </c>
      <c r="AC1462" t="e">
        <f t="shared" ca="1" si="284"/>
        <v>#VALUE!</v>
      </c>
      <c r="AD1462" t="str">
        <f t="shared" ca="1" si="285"/>
        <v>0</v>
      </c>
      <c r="AE1462" t="str">
        <f t="shared" ca="1" si="286"/>
        <v/>
      </c>
      <c r="AF1462" s="6">
        <f t="shared" ca="1" si="287"/>
        <v>0</v>
      </c>
      <c r="AG1462">
        <f t="shared" ca="1" si="293"/>
        <v>0</v>
      </c>
      <c r="AH1462">
        <f t="shared" ca="1" si="288"/>
        <v>0</v>
      </c>
      <c r="AI1462">
        <f t="shared" ca="1" si="289"/>
        <v>0</v>
      </c>
      <c r="AJ1462">
        <f t="shared" ca="1" si="290"/>
        <v>0</v>
      </c>
      <c r="AK1462">
        <f t="shared" ca="1" si="291"/>
        <v>0</v>
      </c>
      <c r="AL1462">
        <f t="shared" ca="1" si="292"/>
        <v>0</v>
      </c>
    </row>
    <row r="1463" spans="1:38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#N/A, OFFSET(data!$A$1, ROW()-1, AA$1-1))</f>
        <v>0</v>
      </c>
      <c r="AB1463">
        <f t="shared" ca="1" si="283"/>
        <v>0</v>
      </c>
      <c r="AC1463" t="e">
        <f t="shared" ca="1" si="284"/>
        <v>#VALUE!</v>
      </c>
      <c r="AD1463" t="str">
        <f t="shared" ca="1" si="285"/>
        <v>0</v>
      </c>
      <c r="AE1463" t="str">
        <f t="shared" ca="1" si="286"/>
        <v/>
      </c>
      <c r="AF1463" s="6">
        <f t="shared" ca="1" si="287"/>
        <v>0</v>
      </c>
      <c r="AG1463">
        <f t="shared" ca="1" si="293"/>
        <v>0</v>
      </c>
      <c r="AH1463">
        <f t="shared" ca="1" si="288"/>
        <v>0</v>
      </c>
      <c r="AI1463">
        <f t="shared" ca="1" si="289"/>
        <v>0</v>
      </c>
      <c r="AJ1463">
        <f t="shared" ca="1" si="290"/>
        <v>0</v>
      </c>
      <c r="AK1463">
        <f t="shared" ca="1" si="291"/>
        <v>0</v>
      </c>
      <c r="AL1463">
        <f t="shared" ca="1" si="292"/>
        <v>0</v>
      </c>
    </row>
    <row r="1464" spans="1:38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#N/A, OFFSET(data!$A$1, ROW()-1, AA$1-1))</f>
        <v>0</v>
      </c>
      <c r="AB1464">
        <f t="shared" ca="1" si="283"/>
        <v>0</v>
      </c>
      <c r="AC1464" t="e">
        <f t="shared" ca="1" si="284"/>
        <v>#VALUE!</v>
      </c>
      <c r="AD1464" t="str">
        <f t="shared" ca="1" si="285"/>
        <v>0</v>
      </c>
      <c r="AE1464" t="str">
        <f t="shared" ca="1" si="286"/>
        <v/>
      </c>
      <c r="AF1464" s="6">
        <f t="shared" ca="1" si="287"/>
        <v>0</v>
      </c>
      <c r="AG1464">
        <f t="shared" ca="1" si="293"/>
        <v>0</v>
      </c>
      <c r="AH1464">
        <f t="shared" ca="1" si="288"/>
        <v>0</v>
      </c>
      <c r="AI1464">
        <f t="shared" ca="1" si="289"/>
        <v>0</v>
      </c>
      <c r="AJ1464">
        <f t="shared" ca="1" si="290"/>
        <v>0</v>
      </c>
      <c r="AK1464">
        <f t="shared" ca="1" si="291"/>
        <v>0</v>
      </c>
      <c r="AL1464">
        <f t="shared" ca="1" si="292"/>
        <v>0</v>
      </c>
    </row>
    <row r="1465" spans="1:38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#N/A, OFFSET(data!$A$1, ROW()-1, AA$1-1))</f>
        <v>0</v>
      </c>
      <c r="AB1465">
        <f t="shared" ca="1" si="283"/>
        <v>0</v>
      </c>
      <c r="AC1465" t="e">
        <f t="shared" ca="1" si="284"/>
        <v>#VALUE!</v>
      </c>
      <c r="AD1465" t="str">
        <f t="shared" ca="1" si="285"/>
        <v>0</v>
      </c>
      <c r="AE1465" t="str">
        <f t="shared" ca="1" si="286"/>
        <v/>
      </c>
      <c r="AF1465" s="6">
        <f t="shared" ca="1" si="287"/>
        <v>0</v>
      </c>
      <c r="AG1465">
        <f t="shared" ca="1" si="293"/>
        <v>0</v>
      </c>
      <c r="AH1465">
        <f t="shared" ca="1" si="288"/>
        <v>0</v>
      </c>
      <c r="AI1465">
        <f t="shared" ca="1" si="289"/>
        <v>0</v>
      </c>
      <c r="AJ1465">
        <f t="shared" ca="1" si="290"/>
        <v>0</v>
      </c>
      <c r="AK1465">
        <f t="shared" ca="1" si="291"/>
        <v>0</v>
      </c>
      <c r="AL1465">
        <f t="shared" ca="1" si="292"/>
        <v>0</v>
      </c>
    </row>
    <row r="1466" spans="1:38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#N/A, OFFSET(data!$A$1, ROW()-1, AA$1-1))</f>
        <v>0</v>
      </c>
      <c r="AB1466">
        <f t="shared" ca="1" si="283"/>
        <v>0</v>
      </c>
      <c r="AC1466" t="e">
        <f t="shared" ca="1" si="284"/>
        <v>#VALUE!</v>
      </c>
      <c r="AD1466" t="str">
        <f t="shared" ca="1" si="285"/>
        <v>0</v>
      </c>
      <c r="AE1466" t="str">
        <f t="shared" ca="1" si="286"/>
        <v/>
      </c>
      <c r="AF1466" s="6">
        <f t="shared" ca="1" si="287"/>
        <v>0</v>
      </c>
      <c r="AG1466">
        <f t="shared" ca="1" si="293"/>
        <v>0</v>
      </c>
      <c r="AH1466">
        <f t="shared" ca="1" si="288"/>
        <v>0</v>
      </c>
      <c r="AI1466">
        <f t="shared" ca="1" si="289"/>
        <v>0</v>
      </c>
      <c r="AJ1466">
        <f t="shared" ca="1" si="290"/>
        <v>0</v>
      </c>
      <c r="AK1466">
        <f t="shared" ca="1" si="291"/>
        <v>0</v>
      </c>
      <c r="AL1466">
        <f t="shared" ca="1" si="292"/>
        <v>0</v>
      </c>
    </row>
    <row r="1467" spans="1:38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#N/A, OFFSET(data!$A$1, ROW()-1, AA$1-1))</f>
        <v>0</v>
      </c>
      <c r="AB1467">
        <f t="shared" ca="1" si="283"/>
        <v>0</v>
      </c>
      <c r="AC1467" t="e">
        <f t="shared" ca="1" si="284"/>
        <v>#VALUE!</v>
      </c>
      <c r="AD1467" t="str">
        <f t="shared" ca="1" si="285"/>
        <v>0</v>
      </c>
      <c r="AE1467" t="str">
        <f t="shared" ca="1" si="286"/>
        <v/>
      </c>
      <c r="AF1467" s="6">
        <f t="shared" ca="1" si="287"/>
        <v>0</v>
      </c>
      <c r="AG1467">
        <f t="shared" ca="1" si="293"/>
        <v>0</v>
      </c>
      <c r="AH1467">
        <f t="shared" ca="1" si="288"/>
        <v>0</v>
      </c>
      <c r="AI1467">
        <f t="shared" ca="1" si="289"/>
        <v>0</v>
      </c>
      <c r="AJ1467">
        <f t="shared" ca="1" si="290"/>
        <v>0</v>
      </c>
      <c r="AK1467">
        <f t="shared" ca="1" si="291"/>
        <v>0</v>
      </c>
      <c r="AL1467">
        <f t="shared" ca="1" si="292"/>
        <v>0</v>
      </c>
    </row>
    <row r="1468" spans="1:38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#N/A, OFFSET(data!$A$1, ROW()-1, AA$1-1))</f>
        <v>0</v>
      </c>
      <c r="AB1468">
        <f t="shared" ca="1" si="283"/>
        <v>0</v>
      </c>
      <c r="AC1468" t="e">
        <f t="shared" ca="1" si="284"/>
        <v>#VALUE!</v>
      </c>
      <c r="AD1468" t="str">
        <f t="shared" ca="1" si="285"/>
        <v>0</v>
      </c>
      <c r="AE1468" t="str">
        <f t="shared" ca="1" si="286"/>
        <v/>
      </c>
      <c r="AF1468" s="6">
        <f t="shared" ca="1" si="287"/>
        <v>0</v>
      </c>
      <c r="AG1468">
        <f t="shared" ca="1" si="293"/>
        <v>0</v>
      </c>
      <c r="AH1468">
        <f t="shared" ca="1" si="288"/>
        <v>0</v>
      </c>
      <c r="AI1468">
        <f t="shared" ca="1" si="289"/>
        <v>0</v>
      </c>
      <c r="AJ1468">
        <f t="shared" ca="1" si="290"/>
        <v>0</v>
      </c>
      <c r="AK1468">
        <f t="shared" ca="1" si="291"/>
        <v>0</v>
      </c>
      <c r="AL1468">
        <f t="shared" ca="1" si="292"/>
        <v>0</v>
      </c>
    </row>
    <row r="1469" spans="1:38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#N/A, OFFSET(data!$A$1, ROW()-1, AA$1-1))</f>
        <v>0</v>
      </c>
      <c r="AB1469">
        <f t="shared" ca="1" si="283"/>
        <v>0</v>
      </c>
      <c r="AC1469" t="e">
        <f t="shared" ca="1" si="284"/>
        <v>#VALUE!</v>
      </c>
      <c r="AD1469" t="str">
        <f t="shared" ca="1" si="285"/>
        <v>0</v>
      </c>
      <c r="AE1469" t="str">
        <f t="shared" ca="1" si="286"/>
        <v/>
      </c>
      <c r="AF1469" s="6">
        <f t="shared" ca="1" si="287"/>
        <v>0</v>
      </c>
      <c r="AG1469">
        <f t="shared" ca="1" si="293"/>
        <v>0</v>
      </c>
      <c r="AH1469">
        <f t="shared" ca="1" si="288"/>
        <v>0</v>
      </c>
      <c r="AI1469">
        <f t="shared" ca="1" si="289"/>
        <v>0</v>
      </c>
      <c r="AJ1469">
        <f t="shared" ca="1" si="290"/>
        <v>0</v>
      </c>
      <c r="AK1469">
        <f t="shared" ca="1" si="291"/>
        <v>0</v>
      </c>
      <c r="AL1469">
        <f t="shared" ca="1" si="292"/>
        <v>0</v>
      </c>
    </row>
    <row r="1470" spans="1:38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#N/A, OFFSET(data!$A$1, ROW()-1, AA$1-1))</f>
        <v>0</v>
      </c>
      <c r="AB1470">
        <f t="shared" ca="1" si="283"/>
        <v>0</v>
      </c>
      <c r="AC1470" t="e">
        <f t="shared" ca="1" si="284"/>
        <v>#VALUE!</v>
      </c>
      <c r="AD1470" t="str">
        <f t="shared" ca="1" si="285"/>
        <v>0</v>
      </c>
      <c r="AE1470" t="str">
        <f t="shared" ca="1" si="286"/>
        <v/>
      </c>
      <c r="AF1470" s="6">
        <f t="shared" ca="1" si="287"/>
        <v>0</v>
      </c>
      <c r="AG1470">
        <f t="shared" ca="1" si="293"/>
        <v>0</v>
      </c>
      <c r="AH1470">
        <f t="shared" ca="1" si="288"/>
        <v>0</v>
      </c>
      <c r="AI1470">
        <f t="shared" ca="1" si="289"/>
        <v>0</v>
      </c>
      <c r="AJ1470">
        <f t="shared" ca="1" si="290"/>
        <v>0</v>
      </c>
      <c r="AK1470">
        <f t="shared" ca="1" si="291"/>
        <v>0</v>
      </c>
      <c r="AL1470">
        <f t="shared" ca="1" si="292"/>
        <v>0</v>
      </c>
    </row>
    <row r="1471" spans="1:38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#N/A, OFFSET(data!$A$1, ROW()-1, AA$1-1))</f>
        <v>0</v>
      </c>
      <c r="AB1471">
        <f t="shared" ca="1" si="283"/>
        <v>0</v>
      </c>
      <c r="AC1471" t="e">
        <f t="shared" ca="1" si="284"/>
        <v>#VALUE!</v>
      </c>
      <c r="AD1471" t="str">
        <f t="shared" ca="1" si="285"/>
        <v>0</v>
      </c>
      <c r="AE1471" t="str">
        <f t="shared" ca="1" si="286"/>
        <v/>
      </c>
      <c r="AF1471" s="6">
        <f t="shared" ca="1" si="287"/>
        <v>0</v>
      </c>
      <c r="AG1471">
        <f t="shared" ca="1" si="293"/>
        <v>0</v>
      </c>
      <c r="AH1471">
        <f t="shared" ca="1" si="288"/>
        <v>0</v>
      </c>
      <c r="AI1471">
        <f t="shared" ca="1" si="289"/>
        <v>0</v>
      </c>
      <c r="AJ1471">
        <f t="shared" ca="1" si="290"/>
        <v>0</v>
      </c>
      <c r="AK1471">
        <f t="shared" ca="1" si="291"/>
        <v>0</v>
      </c>
      <c r="AL1471">
        <f t="shared" ca="1" si="292"/>
        <v>0</v>
      </c>
    </row>
    <row r="1472" spans="1:38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#N/A, OFFSET(data!$A$1, ROW()-1, AA$1-1))</f>
        <v>0</v>
      </c>
      <c r="AB1472">
        <f t="shared" ca="1" si="283"/>
        <v>0</v>
      </c>
      <c r="AC1472" t="e">
        <f t="shared" ca="1" si="284"/>
        <v>#VALUE!</v>
      </c>
      <c r="AD1472" t="str">
        <f t="shared" ca="1" si="285"/>
        <v>0</v>
      </c>
      <c r="AE1472" t="str">
        <f t="shared" ca="1" si="286"/>
        <v/>
      </c>
      <c r="AF1472" s="6">
        <f t="shared" ca="1" si="287"/>
        <v>0</v>
      </c>
      <c r="AG1472">
        <f t="shared" ca="1" si="293"/>
        <v>0</v>
      </c>
      <c r="AH1472">
        <f t="shared" ca="1" si="288"/>
        <v>0</v>
      </c>
      <c r="AI1472">
        <f t="shared" ca="1" si="289"/>
        <v>0</v>
      </c>
      <c r="AJ1472">
        <f t="shared" ca="1" si="290"/>
        <v>0</v>
      </c>
      <c r="AK1472">
        <f t="shared" ca="1" si="291"/>
        <v>0</v>
      </c>
      <c r="AL1472">
        <f t="shared" ca="1" si="292"/>
        <v>0</v>
      </c>
    </row>
    <row r="1473" spans="1:38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#N/A, OFFSET(data!$A$1, ROW()-1, AA$1-1))</f>
        <v>0</v>
      </c>
      <c r="AB1473">
        <f t="shared" ca="1" si="283"/>
        <v>0</v>
      </c>
      <c r="AC1473" t="e">
        <f t="shared" ca="1" si="284"/>
        <v>#VALUE!</v>
      </c>
      <c r="AD1473" t="str">
        <f t="shared" ca="1" si="285"/>
        <v>0</v>
      </c>
      <c r="AE1473" t="str">
        <f t="shared" ca="1" si="286"/>
        <v/>
      </c>
      <c r="AF1473" s="6">
        <f t="shared" ca="1" si="287"/>
        <v>0</v>
      </c>
      <c r="AG1473">
        <f t="shared" ca="1" si="293"/>
        <v>0</v>
      </c>
      <c r="AH1473">
        <f t="shared" ca="1" si="288"/>
        <v>0</v>
      </c>
      <c r="AI1473">
        <f t="shared" ca="1" si="289"/>
        <v>0</v>
      </c>
      <c r="AJ1473">
        <f t="shared" ca="1" si="290"/>
        <v>0</v>
      </c>
      <c r="AK1473">
        <f t="shared" ca="1" si="291"/>
        <v>0</v>
      </c>
      <c r="AL1473">
        <f t="shared" ca="1" si="292"/>
        <v>0</v>
      </c>
    </row>
    <row r="1474" spans="1:38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#N/A, OFFSET(data!$A$1, ROW()-1, AA$1-1))</f>
        <v>0</v>
      </c>
      <c r="AB1474">
        <f t="shared" ca="1" si="283"/>
        <v>0</v>
      </c>
      <c r="AC1474" t="e">
        <f t="shared" ca="1" si="284"/>
        <v>#VALUE!</v>
      </c>
      <c r="AD1474" t="str">
        <f t="shared" ca="1" si="285"/>
        <v>0</v>
      </c>
      <c r="AE1474" t="str">
        <f t="shared" ca="1" si="286"/>
        <v/>
      </c>
      <c r="AF1474" s="6">
        <f t="shared" ca="1" si="287"/>
        <v>0</v>
      </c>
      <c r="AG1474">
        <f t="shared" ca="1" si="293"/>
        <v>0</v>
      </c>
      <c r="AH1474">
        <f t="shared" ca="1" si="288"/>
        <v>0</v>
      </c>
      <c r="AI1474">
        <f t="shared" ca="1" si="289"/>
        <v>0</v>
      </c>
      <c r="AJ1474">
        <f t="shared" ca="1" si="290"/>
        <v>0</v>
      </c>
      <c r="AK1474">
        <f t="shared" ca="1" si="291"/>
        <v>0</v>
      </c>
      <c r="AL1474">
        <f t="shared" ca="1" si="292"/>
        <v>0</v>
      </c>
    </row>
    <row r="1475" spans="1:38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#N/A, OFFSET(data!$A$1, ROW()-1, AA$1-1))</f>
        <v>0</v>
      </c>
      <c r="AB1475">
        <f t="shared" ref="AB1475:AB1538" ca="1" si="294">VALUE(LEFT(C1475, 4))</f>
        <v>0</v>
      </c>
      <c r="AC1475" t="e">
        <f t="shared" ref="AC1475:AC1538" ca="1" si="295">VALUE(MID(C1475, 6, 2))</f>
        <v>#VALUE!</v>
      </c>
      <c r="AD1475" t="str">
        <f t="shared" ref="AD1475:AD1538" ca="1" si="296">SUBSTITUTE(MID(C1475,6,6)&amp;LEFT(C1475,4), "-", "/")</f>
        <v>0</v>
      </c>
      <c r="AE1475" t="str">
        <f t="shared" ref="AE1475:AE1538" ca="1" si="297">IF(RIGHT(C1475, 5)="12:00", AD1475, "")</f>
        <v/>
      </c>
      <c r="AF1475" s="6">
        <f t="shared" ref="AF1475:AF1538" ca="1" si="298">Z1475/1000</f>
        <v>0</v>
      </c>
      <c r="AG1475">
        <f t="shared" ca="1" si="293"/>
        <v>0</v>
      </c>
      <c r="AH1475">
        <f t="shared" ca="1" si="288"/>
        <v>0</v>
      </c>
      <c r="AI1475">
        <f t="shared" ca="1" si="289"/>
        <v>0</v>
      </c>
      <c r="AJ1475">
        <f t="shared" ca="1" si="290"/>
        <v>0</v>
      </c>
      <c r="AK1475">
        <f t="shared" ca="1" si="291"/>
        <v>0</v>
      </c>
      <c r="AL1475">
        <f t="shared" ca="1" si="292"/>
        <v>0</v>
      </c>
    </row>
    <row r="1476" spans="1:38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#N/A, OFFSET(data!$A$1, ROW()-1, AA$1-1))</f>
        <v>0</v>
      </c>
      <c r="AB1476">
        <f t="shared" ca="1" si="294"/>
        <v>0</v>
      </c>
      <c r="AC1476" t="e">
        <f t="shared" ca="1" si="295"/>
        <v>#VALUE!</v>
      </c>
      <c r="AD1476" t="str">
        <f t="shared" ca="1" si="296"/>
        <v>0</v>
      </c>
      <c r="AE1476" t="str">
        <f t="shared" ca="1" si="297"/>
        <v/>
      </c>
      <c r="AF1476" s="6">
        <f t="shared" ca="1" si="298"/>
        <v>0</v>
      </c>
      <c r="AG1476">
        <f t="shared" ca="1" si="293"/>
        <v>0</v>
      </c>
      <c r="AH1476">
        <f t="shared" ref="AH1476:AH1539" ca="1" si="299">MAX(S1476,Y1476)</f>
        <v>0</v>
      </c>
      <c r="AI1476">
        <f t="shared" ref="AI1476:AI1539" ca="1" si="300">MAX(R1476,V1476)</f>
        <v>0</v>
      </c>
      <c r="AJ1476">
        <f t="shared" ref="AJ1476:AJ1539" ca="1" si="301">K1476+N1476</f>
        <v>0</v>
      </c>
      <c r="AK1476">
        <f t="shared" ref="AK1476:AK1539" ca="1" si="302">L1476+O1476</f>
        <v>0</v>
      </c>
      <c r="AL1476">
        <f t="shared" ref="AL1476:AL1539" ca="1" si="303">M1476+P1476</f>
        <v>0</v>
      </c>
    </row>
    <row r="1477" spans="1:38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#N/A, OFFSET(data!$A$1, ROW()-1, AA$1-1))</f>
        <v>0</v>
      </c>
      <c r="AB1477">
        <f t="shared" ca="1" si="294"/>
        <v>0</v>
      </c>
      <c r="AC1477" t="e">
        <f t="shared" ca="1" si="295"/>
        <v>#VALUE!</v>
      </c>
      <c r="AD1477" t="str">
        <f t="shared" ca="1" si="296"/>
        <v>0</v>
      </c>
      <c r="AE1477" t="str">
        <f t="shared" ca="1" si="297"/>
        <v/>
      </c>
      <c r="AF1477" s="6">
        <f t="shared" ca="1" si="298"/>
        <v>0</v>
      </c>
      <c r="AG1477">
        <f t="shared" ca="1" si="293"/>
        <v>0</v>
      </c>
      <c r="AH1477">
        <f t="shared" ca="1" si="299"/>
        <v>0</v>
      </c>
      <c r="AI1477">
        <f t="shared" ca="1" si="300"/>
        <v>0</v>
      </c>
      <c r="AJ1477">
        <f t="shared" ca="1" si="301"/>
        <v>0</v>
      </c>
      <c r="AK1477">
        <f t="shared" ca="1" si="302"/>
        <v>0</v>
      </c>
      <c r="AL1477">
        <f t="shared" ca="1" si="303"/>
        <v>0</v>
      </c>
    </row>
    <row r="1478" spans="1:38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#N/A, OFFSET(data!$A$1, ROW()-1, AA$1-1))</f>
        <v>0</v>
      </c>
      <c r="AB1478">
        <f t="shared" ca="1" si="294"/>
        <v>0</v>
      </c>
      <c r="AC1478" t="e">
        <f t="shared" ca="1" si="295"/>
        <v>#VALUE!</v>
      </c>
      <c r="AD1478" t="str">
        <f t="shared" ca="1" si="296"/>
        <v>0</v>
      </c>
      <c r="AE1478" t="str">
        <f t="shared" ca="1" si="297"/>
        <v/>
      </c>
      <c r="AF1478" s="6">
        <f t="shared" ca="1" si="298"/>
        <v>0</v>
      </c>
      <c r="AG1478">
        <f t="shared" ca="1" si="293"/>
        <v>0</v>
      </c>
      <c r="AH1478">
        <f t="shared" ca="1" si="299"/>
        <v>0</v>
      </c>
      <c r="AI1478">
        <f t="shared" ca="1" si="300"/>
        <v>0</v>
      </c>
      <c r="AJ1478">
        <f t="shared" ca="1" si="301"/>
        <v>0</v>
      </c>
      <c r="AK1478">
        <f t="shared" ca="1" si="302"/>
        <v>0</v>
      </c>
      <c r="AL1478">
        <f t="shared" ca="1" si="303"/>
        <v>0</v>
      </c>
    </row>
    <row r="1479" spans="1:38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#N/A, OFFSET(data!$A$1, ROW()-1, AA$1-1))</f>
        <v>0</v>
      </c>
      <c r="AB1479">
        <f t="shared" ca="1" si="294"/>
        <v>0</v>
      </c>
      <c r="AC1479" t="e">
        <f t="shared" ca="1" si="295"/>
        <v>#VALUE!</v>
      </c>
      <c r="AD1479" t="str">
        <f t="shared" ca="1" si="296"/>
        <v>0</v>
      </c>
      <c r="AE1479" t="str">
        <f t="shared" ca="1" si="297"/>
        <v/>
      </c>
      <c r="AF1479" s="6">
        <f t="shared" ca="1" si="298"/>
        <v>0</v>
      </c>
      <c r="AG1479">
        <f t="shared" ca="1" si="293"/>
        <v>0</v>
      </c>
      <c r="AH1479">
        <f t="shared" ca="1" si="299"/>
        <v>0</v>
      </c>
      <c r="AI1479">
        <f t="shared" ca="1" si="300"/>
        <v>0</v>
      </c>
      <c r="AJ1479">
        <f t="shared" ca="1" si="301"/>
        <v>0</v>
      </c>
      <c r="AK1479">
        <f t="shared" ca="1" si="302"/>
        <v>0</v>
      </c>
      <c r="AL1479">
        <f t="shared" ca="1" si="303"/>
        <v>0</v>
      </c>
    </row>
    <row r="1480" spans="1:38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#N/A, OFFSET(data!$A$1, ROW()-1, AA$1-1))</f>
        <v>0</v>
      </c>
      <c r="AB1480">
        <f t="shared" ca="1" si="294"/>
        <v>0</v>
      </c>
      <c r="AC1480" t="e">
        <f t="shared" ca="1" si="295"/>
        <v>#VALUE!</v>
      </c>
      <c r="AD1480" t="str">
        <f t="shared" ca="1" si="296"/>
        <v>0</v>
      </c>
      <c r="AE1480" t="str">
        <f t="shared" ca="1" si="297"/>
        <v/>
      </c>
      <c r="AF1480" s="6">
        <f t="shared" ca="1" si="298"/>
        <v>0</v>
      </c>
      <c r="AG1480">
        <f t="shared" ca="1" si="293"/>
        <v>0</v>
      </c>
      <c r="AH1480">
        <f t="shared" ca="1" si="299"/>
        <v>0</v>
      </c>
      <c r="AI1480">
        <f t="shared" ca="1" si="300"/>
        <v>0</v>
      </c>
      <c r="AJ1480">
        <f t="shared" ca="1" si="301"/>
        <v>0</v>
      </c>
      <c r="AK1480">
        <f t="shared" ca="1" si="302"/>
        <v>0</v>
      </c>
      <c r="AL1480">
        <f t="shared" ca="1" si="303"/>
        <v>0</v>
      </c>
    </row>
    <row r="1481" spans="1:38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#N/A, OFFSET(data!$A$1, ROW()-1, AA$1-1))</f>
        <v>0</v>
      </c>
      <c r="AB1481">
        <f t="shared" ca="1" si="294"/>
        <v>0</v>
      </c>
      <c r="AC1481" t="e">
        <f t="shared" ca="1" si="295"/>
        <v>#VALUE!</v>
      </c>
      <c r="AD1481" t="str">
        <f t="shared" ca="1" si="296"/>
        <v>0</v>
      </c>
      <c r="AE1481" t="str">
        <f t="shared" ca="1" si="297"/>
        <v/>
      </c>
      <c r="AF1481" s="6">
        <f t="shared" ca="1" si="298"/>
        <v>0</v>
      </c>
      <c r="AG1481">
        <f t="shared" ca="1" si="293"/>
        <v>0</v>
      </c>
      <c r="AH1481">
        <f t="shared" ca="1" si="299"/>
        <v>0</v>
      </c>
      <c r="AI1481">
        <f t="shared" ca="1" si="300"/>
        <v>0</v>
      </c>
      <c r="AJ1481">
        <f t="shared" ca="1" si="301"/>
        <v>0</v>
      </c>
      <c r="AK1481">
        <f t="shared" ca="1" si="302"/>
        <v>0</v>
      </c>
      <c r="AL1481">
        <f t="shared" ca="1" si="303"/>
        <v>0</v>
      </c>
    </row>
    <row r="1482" spans="1:38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#N/A, OFFSET(data!$A$1, ROW()-1, AA$1-1))</f>
        <v>0</v>
      </c>
      <c r="AB1482">
        <f t="shared" ca="1" si="294"/>
        <v>0</v>
      </c>
      <c r="AC1482" t="e">
        <f t="shared" ca="1" si="295"/>
        <v>#VALUE!</v>
      </c>
      <c r="AD1482" t="str">
        <f t="shared" ca="1" si="296"/>
        <v>0</v>
      </c>
      <c r="AE1482" t="str">
        <f t="shared" ca="1" si="297"/>
        <v/>
      </c>
      <c r="AF1482" s="6">
        <f t="shared" ca="1" si="298"/>
        <v>0</v>
      </c>
      <c r="AG1482">
        <f t="shared" ca="1" si="293"/>
        <v>0</v>
      </c>
      <c r="AH1482">
        <f t="shared" ca="1" si="299"/>
        <v>0</v>
      </c>
      <c r="AI1482">
        <f t="shared" ca="1" si="300"/>
        <v>0</v>
      </c>
      <c r="AJ1482">
        <f t="shared" ca="1" si="301"/>
        <v>0</v>
      </c>
      <c r="AK1482">
        <f t="shared" ca="1" si="302"/>
        <v>0</v>
      </c>
      <c r="AL1482">
        <f t="shared" ca="1" si="303"/>
        <v>0</v>
      </c>
    </row>
    <row r="1483" spans="1:38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#N/A, OFFSET(data!$A$1, ROW()-1, AA$1-1))</f>
        <v>0</v>
      </c>
      <c r="AB1483">
        <f t="shared" ca="1" si="294"/>
        <v>0</v>
      </c>
      <c r="AC1483" t="e">
        <f t="shared" ca="1" si="295"/>
        <v>#VALUE!</v>
      </c>
      <c r="AD1483" t="str">
        <f t="shared" ca="1" si="296"/>
        <v>0</v>
      </c>
      <c r="AE1483" t="str">
        <f t="shared" ca="1" si="297"/>
        <v/>
      </c>
      <c r="AF1483" s="6">
        <f t="shared" ca="1" si="298"/>
        <v>0</v>
      </c>
      <c r="AG1483">
        <f t="shared" ca="1" si="293"/>
        <v>0</v>
      </c>
      <c r="AH1483">
        <f t="shared" ca="1" si="299"/>
        <v>0</v>
      </c>
      <c r="AI1483">
        <f t="shared" ca="1" si="300"/>
        <v>0</v>
      </c>
      <c r="AJ1483">
        <f t="shared" ca="1" si="301"/>
        <v>0</v>
      </c>
      <c r="AK1483">
        <f t="shared" ca="1" si="302"/>
        <v>0</v>
      </c>
      <c r="AL1483">
        <f t="shared" ca="1" si="303"/>
        <v>0</v>
      </c>
    </row>
    <row r="1484" spans="1:38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#N/A, OFFSET(data!$A$1, ROW()-1, AA$1-1))</f>
        <v>0</v>
      </c>
      <c r="AB1484">
        <f t="shared" ca="1" si="294"/>
        <v>0</v>
      </c>
      <c r="AC1484" t="e">
        <f t="shared" ca="1" si="295"/>
        <v>#VALUE!</v>
      </c>
      <c r="AD1484" t="str">
        <f t="shared" ca="1" si="296"/>
        <v>0</v>
      </c>
      <c r="AE1484" t="str">
        <f t="shared" ca="1" si="297"/>
        <v/>
      </c>
      <c r="AF1484" s="6">
        <f t="shared" ca="1" si="298"/>
        <v>0</v>
      </c>
      <c r="AG1484">
        <f t="shared" ca="1" si="293"/>
        <v>0</v>
      </c>
      <c r="AH1484">
        <f t="shared" ca="1" si="299"/>
        <v>0</v>
      </c>
      <c r="AI1484">
        <f t="shared" ca="1" si="300"/>
        <v>0</v>
      </c>
      <c r="AJ1484">
        <f t="shared" ca="1" si="301"/>
        <v>0</v>
      </c>
      <c r="AK1484">
        <f t="shared" ca="1" si="302"/>
        <v>0</v>
      </c>
      <c r="AL1484">
        <f t="shared" ca="1" si="303"/>
        <v>0</v>
      </c>
    </row>
    <row r="1485" spans="1:38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#N/A, OFFSET(data!$A$1, ROW()-1, AA$1-1))</f>
        <v>0</v>
      </c>
      <c r="AB1485">
        <f t="shared" ca="1" si="294"/>
        <v>0</v>
      </c>
      <c r="AC1485" t="e">
        <f t="shared" ca="1" si="295"/>
        <v>#VALUE!</v>
      </c>
      <c r="AD1485" t="str">
        <f t="shared" ca="1" si="296"/>
        <v>0</v>
      </c>
      <c r="AE1485" t="str">
        <f t="shared" ca="1" si="297"/>
        <v/>
      </c>
      <c r="AF1485" s="6">
        <f t="shared" ca="1" si="298"/>
        <v>0</v>
      </c>
      <c r="AG1485">
        <f t="shared" ca="1" si="293"/>
        <v>0</v>
      </c>
      <c r="AH1485">
        <f t="shared" ca="1" si="299"/>
        <v>0</v>
      </c>
      <c r="AI1485">
        <f t="shared" ca="1" si="300"/>
        <v>0</v>
      </c>
      <c r="AJ1485">
        <f t="shared" ca="1" si="301"/>
        <v>0</v>
      </c>
      <c r="AK1485">
        <f t="shared" ca="1" si="302"/>
        <v>0</v>
      </c>
      <c r="AL1485">
        <f t="shared" ca="1" si="303"/>
        <v>0</v>
      </c>
    </row>
    <row r="1486" spans="1:38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#N/A, OFFSET(data!$A$1, ROW()-1, AA$1-1))</f>
        <v>0</v>
      </c>
      <c r="AB1486">
        <f t="shared" ca="1" si="294"/>
        <v>0</v>
      </c>
      <c r="AC1486" t="e">
        <f t="shared" ca="1" si="295"/>
        <v>#VALUE!</v>
      </c>
      <c r="AD1486" t="str">
        <f t="shared" ca="1" si="296"/>
        <v>0</v>
      </c>
      <c r="AE1486" t="str">
        <f t="shared" ca="1" si="297"/>
        <v/>
      </c>
      <c r="AF1486" s="6">
        <f t="shared" ca="1" si="298"/>
        <v>0</v>
      </c>
      <c r="AG1486">
        <f t="shared" ca="1" si="293"/>
        <v>0</v>
      </c>
      <c r="AH1486">
        <f t="shared" ca="1" si="299"/>
        <v>0</v>
      </c>
      <c r="AI1486">
        <f t="shared" ca="1" si="300"/>
        <v>0</v>
      </c>
      <c r="AJ1486">
        <f t="shared" ca="1" si="301"/>
        <v>0</v>
      </c>
      <c r="AK1486">
        <f t="shared" ca="1" si="302"/>
        <v>0</v>
      </c>
      <c r="AL1486">
        <f t="shared" ca="1" si="303"/>
        <v>0</v>
      </c>
    </row>
    <row r="1487" spans="1:38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#N/A, OFFSET(data!$A$1, ROW()-1, AA$1-1))</f>
        <v>0</v>
      </c>
      <c r="AB1487">
        <f t="shared" ca="1" si="294"/>
        <v>0</v>
      </c>
      <c r="AC1487" t="e">
        <f t="shared" ca="1" si="295"/>
        <v>#VALUE!</v>
      </c>
      <c r="AD1487" t="str">
        <f t="shared" ca="1" si="296"/>
        <v>0</v>
      </c>
      <c r="AE1487" t="str">
        <f t="shared" ca="1" si="297"/>
        <v/>
      </c>
      <c r="AF1487" s="6">
        <f t="shared" ca="1" si="298"/>
        <v>0</v>
      </c>
      <c r="AG1487">
        <f t="shared" ca="1" si="293"/>
        <v>0</v>
      </c>
      <c r="AH1487">
        <f t="shared" ca="1" si="299"/>
        <v>0</v>
      </c>
      <c r="AI1487">
        <f t="shared" ca="1" si="300"/>
        <v>0</v>
      </c>
      <c r="AJ1487">
        <f t="shared" ca="1" si="301"/>
        <v>0</v>
      </c>
      <c r="AK1487">
        <f t="shared" ca="1" si="302"/>
        <v>0</v>
      </c>
      <c r="AL1487">
        <f t="shared" ca="1" si="303"/>
        <v>0</v>
      </c>
    </row>
    <row r="1488" spans="1:38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#N/A, OFFSET(data!$A$1, ROW()-1, AA$1-1))</f>
        <v>0</v>
      </c>
      <c r="AB1488">
        <f t="shared" ca="1" si="294"/>
        <v>0</v>
      </c>
      <c r="AC1488" t="e">
        <f t="shared" ca="1" si="295"/>
        <v>#VALUE!</v>
      </c>
      <c r="AD1488" t="str">
        <f t="shared" ca="1" si="296"/>
        <v>0</v>
      </c>
      <c r="AE1488" t="str">
        <f t="shared" ca="1" si="297"/>
        <v/>
      </c>
      <c r="AF1488" s="6">
        <f t="shared" ca="1" si="298"/>
        <v>0</v>
      </c>
      <c r="AG1488">
        <f t="shared" ca="1" si="293"/>
        <v>0</v>
      </c>
      <c r="AH1488">
        <f t="shared" ca="1" si="299"/>
        <v>0</v>
      </c>
      <c r="AI1488">
        <f t="shared" ca="1" si="300"/>
        <v>0</v>
      </c>
      <c r="AJ1488">
        <f t="shared" ca="1" si="301"/>
        <v>0</v>
      </c>
      <c r="AK1488">
        <f t="shared" ca="1" si="302"/>
        <v>0</v>
      </c>
      <c r="AL1488">
        <f t="shared" ca="1" si="303"/>
        <v>0</v>
      </c>
    </row>
    <row r="1489" spans="1:38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#N/A, OFFSET(data!$A$1, ROW()-1, AA$1-1))</f>
        <v>0</v>
      </c>
      <c r="AB1489">
        <f t="shared" ca="1" si="294"/>
        <v>0</v>
      </c>
      <c r="AC1489" t="e">
        <f t="shared" ca="1" si="295"/>
        <v>#VALUE!</v>
      </c>
      <c r="AD1489" t="str">
        <f t="shared" ca="1" si="296"/>
        <v>0</v>
      </c>
      <c r="AE1489" t="str">
        <f t="shared" ca="1" si="297"/>
        <v/>
      </c>
      <c r="AF1489" s="6">
        <f t="shared" ca="1" si="298"/>
        <v>0</v>
      </c>
      <c r="AG1489">
        <f t="shared" ca="1" si="293"/>
        <v>0</v>
      </c>
      <c r="AH1489">
        <f t="shared" ca="1" si="299"/>
        <v>0</v>
      </c>
      <c r="AI1489">
        <f t="shared" ca="1" si="300"/>
        <v>0</v>
      </c>
      <c r="AJ1489">
        <f t="shared" ca="1" si="301"/>
        <v>0</v>
      </c>
      <c r="AK1489">
        <f t="shared" ca="1" si="302"/>
        <v>0</v>
      </c>
      <c r="AL1489">
        <f t="shared" ca="1" si="303"/>
        <v>0</v>
      </c>
    </row>
    <row r="1490" spans="1:38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#N/A, OFFSET(data!$A$1, ROW()-1, AA$1-1))</f>
        <v>0</v>
      </c>
      <c r="AB1490">
        <f t="shared" ca="1" si="294"/>
        <v>0</v>
      </c>
      <c r="AC1490" t="e">
        <f t="shared" ca="1" si="295"/>
        <v>#VALUE!</v>
      </c>
      <c r="AD1490" t="str">
        <f t="shared" ca="1" si="296"/>
        <v>0</v>
      </c>
      <c r="AE1490" t="str">
        <f t="shared" ca="1" si="297"/>
        <v/>
      </c>
      <c r="AF1490" s="6">
        <f t="shared" ca="1" si="298"/>
        <v>0</v>
      </c>
      <c r="AG1490">
        <f t="shared" ca="1" si="293"/>
        <v>0</v>
      </c>
      <c r="AH1490">
        <f t="shared" ca="1" si="299"/>
        <v>0</v>
      </c>
      <c r="AI1490">
        <f t="shared" ca="1" si="300"/>
        <v>0</v>
      </c>
      <c r="AJ1490">
        <f t="shared" ca="1" si="301"/>
        <v>0</v>
      </c>
      <c r="AK1490">
        <f t="shared" ca="1" si="302"/>
        <v>0</v>
      </c>
      <c r="AL1490">
        <f t="shared" ca="1" si="303"/>
        <v>0</v>
      </c>
    </row>
    <row r="1491" spans="1:38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#N/A, OFFSET(data!$A$1, ROW()-1, AA$1-1))</f>
        <v>0</v>
      </c>
      <c r="AB1491">
        <f t="shared" ca="1" si="294"/>
        <v>0</v>
      </c>
      <c r="AC1491" t="e">
        <f t="shared" ca="1" si="295"/>
        <v>#VALUE!</v>
      </c>
      <c r="AD1491" t="str">
        <f t="shared" ca="1" si="296"/>
        <v>0</v>
      </c>
      <c r="AE1491" t="str">
        <f t="shared" ca="1" si="297"/>
        <v/>
      </c>
      <c r="AF1491" s="6">
        <f t="shared" ca="1" si="298"/>
        <v>0</v>
      </c>
      <c r="AG1491">
        <f t="shared" ca="1" si="293"/>
        <v>0</v>
      </c>
      <c r="AH1491">
        <f t="shared" ca="1" si="299"/>
        <v>0</v>
      </c>
      <c r="AI1491">
        <f t="shared" ca="1" si="300"/>
        <v>0</v>
      </c>
      <c r="AJ1491">
        <f t="shared" ca="1" si="301"/>
        <v>0</v>
      </c>
      <c r="AK1491">
        <f t="shared" ca="1" si="302"/>
        <v>0</v>
      </c>
      <c r="AL1491">
        <f t="shared" ca="1" si="303"/>
        <v>0</v>
      </c>
    </row>
    <row r="1492" spans="1:38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#N/A, OFFSET(data!$A$1, ROW()-1, AA$1-1))</f>
        <v>0</v>
      </c>
      <c r="AB1492">
        <f t="shared" ca="1" si="294"/>
        <v>0</v>
      </c>
      <c r="AC1492" t="e">
        <f t="shared" ca="1" si="295"/>
        <v>#VALUE!</v>
      </c>
      <c r="AD1492" t="str">
        <f t="shared" ca="1" si="296"/>
        <v>0</v>
      </c>
      <c r="AE1492" t="str">
        <f t="shared" ca="1" si="297"/>
        <v/>
      </c>
      <c r="AF1492" s="6">
        <f t="shared" ca="1" si="298"/>
        <v>0</v>
      </c>
      <c r="AG1492">
        <f t="shared" ca="1" si="293"/>
        <v>0</v>
      </c>
      <c r="AH1492">
        <f t="shared" ca="1" si="299"/>
        <v>0</v>
      </c>
      <c r="AI1492">
        <f t="shared" ca="1" si="300"/>
        <v>0</v>
      </c>
      <c r="AJ1492">
        <f t="shared" ca="1" si="301"/>
        <v>0</v>
      </c>
      <c r="AK1492">
        <f t="shared" ca="1" si="302"/>
        <v>0</v>
      </c>
      <c r="AL1492">
        <f t="shared" ca="1" si="303"/>
        <v>0</v>
      </c>
    </row>
    <row r="1493" spans="1:38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#N/A, OFFSET(data!$A$1, ROW()-1, AA$1-1))</f>
        <v>0</v>
      </c>
      <c r="AB1493">
        <f t="shared" ca="1" si="294"/>
        <v>0</v>
      </c>
      <c r="AC1493" t="e">
        <f t="shared" ca="1" si="295"/>
        <v>#VALUE!</v>
      </c>
      <c r="AD1493" t="str">
        <f t="shared" ca="1" si="296"/>
        <v>0</v>
      </c>
      <c r="AE1493" t="str">
        <f t="shared" ca="1" si="297"/>
        <v/>
      </c>
      <c r="AF1493" s="6">
        <f t="shared" ca="1" si="298"/>
        <v>0</v>
      </c>
      <c r="AG1493">
        <f t="shared" ca="1" si="293"/>
        <v>0</v>
      </c>
      <c r="AH1493">
        <f t="shared" ca="1" si="299"/>
        <v>0</v>
      </c>
      <c r="AI1493">
        <f t="shared" ca="1" si="300"/>
        <v>0</v>
      </c>
      <c r="AJ1493">
        <f t="shared" ca="1" si="301"/>
        <v>0</v>
      </c>
      <c r="AK1493">
        <f t="shared" ca="1" si="302"/>
        <v>0</v>
      </c>
      <c r="AL1493">
        <f t="shared" ca="1" si="303"/>
        <v>0</v>
      </c>
    </row>
    <row r="1494" spans="1:38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#N/A, OFFSET(data!$A$1, ROW()-1, AA$1-1))</f>
        <v>0</v>
      </c>
      <c r="AB1494">
        <f t="shared" ca="1" si="294"/>
        <v>0</v>
      </c>
      <c r="AC1494" t="e">
        <f t="shared" ca="1" si="295"/>
        <v>#VALUE!</v>
      </c>
      <c r="AD1494" t="str">
        <f t="shared" ca="1" si="296"/>
        <v>0</v>
      </c>
      <c r="AE1494" t="str">
        <f t="shared" ca="1" si="297"/>
        <v/>
      </c>
      <c r="AF1494" s="6">
        <f t="shared" ca="1" si="298"/>
        <v>0</v>
      </c>
      <c r="AG1494">
        <f t="shared" ca="1" si="293"/>
        <v>0</v>
      </c>
      <c r="AH1494">
        <f t="shared" ca="1" si="299"/>
        <v>0</v>
      </c>
      <c r="AI1494">
        <f t="shared" ca="1" si="300"/>
        <v>0</v>
      </c>
      <c r="AJ1494">
        <f t="shared" ca="1" si="301"/>
        <v>0</v>
      </c>
      <c r="AK1494">
        <f t="shared" ca="1" si="302"/>
        <v>0</v>
      </c>
      <c r="AL1494">
        <f t="shared" ca="1" si="303"/>
        <v>0</v>
      </c>
    </row>
    <row r="1495" spans="1:38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#N/A, OFFSET(data!$A$1, ROW()-1, AA$1-1))</f>
        <v>0</v>
      </c>
      <c r="AB1495">
        <f t="shared" ca="1" si="294"/>
        <v>0</v>
      </c>
      <c r="AC1495" t="e">
        <f t="shared" ca="1" si="295"/>
        <v>#VALUE!</v>
      </c>
      <c r="AD1495" t="str">
        <f t="shared" ca="1" si="296"/>
        <v>0</v>
      </c>
      <c r="AE1495" t="str">
        <f t="shared" ca="1" si="297"/>
        <v/>
      </c>
      <c r="AF1495" s="6">
        <f t="shared" ca="1" si="298"/>
        <v>0</v>
      </c>
      <c r="AG1495">
        <f t="shared" ca="1" si="293"/>
        <v>0</v>
      </c>
      <c r="AH1495">
        <f t="shared" ca="1" si="299"/>
        <v>0</v>
      </c>
      <c r="AI1495">
        <f t="shared" ca="1" si="300"/>
        <v>0</v>
      </c>
      <c r="AJ1495">
        <f t="shared" ca="1" si="301"/>
        <v>0</v>
      </c>
      <c r="AK1495">
        <f t="shared" ca="1" si="302"/>
        <v>0</v>
      </c>
      <c r="AL1495">
        <f t="shared" ca="1" si="303"/>
        <v>0</v>
      </c>
    </row>
    <row r="1496" spans="1:38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#N/A, OFFSET(data!$A$1, ROW()-1, AA$1-1))</f>
        <v>0</v>
      </c>
      <c r="AB1496">
        <f t="shared" ca="1" si="294"/>
        <v>0</v>
      </c>
      <c r="AC1496" t="e">
        <f t="shared" ca="1" si="295"/>
        <v>#VALUE!</v>
      </c>
      <c r="AD1496" t="str">
        <f t="shared" ca="1" si="296"/>
        <v>0</v>
      </c>
      <c r="AE1496" t="str">
        <f t="shared" ca="1" si="297"/>
        <v/>
      </c>
      <c r="AF1496" s="6">
        <f t="shared" ca="1" si="298"/>
        <v>0</v>
      </c>
      <c r="AG1496">
        <f t="shared" ca="1" si="293"/>
        <v>0</v>
      </c>
      <c r="AH1496">
        <f t="shared" ca="1" si="299"/>
        <v>0</v>
      </c>
      <c r="AI1496">
        <f t="shared" ca="1" si="300"/>
        <v>0</v>
      </c>
      <c r="AJ1496">
        <f t="shared" ca="1" si="301"/>
        <v>0</v>
      </c>
      <c r="AK1496">
        <f t="shared" ca="1" si="302"/>
        <v>0</v>
      </c>
      <c r="AL1496">
        <f t="shared" ca="1" si="303"/>
        <v>0</v>
      </c>
    </row>
    <row r="1497" spans="1:38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#N/A, OFFSET(data!$A$1, ROW()-1, AA$1-1))</f>
        <v>0</v>
      </c>
      <c r="AB1497">
        <f t="shared" ca="1" si="294"/>
        <v>0</v>
      </c>
      <c r="AC1497" t="e">
        <f t="shared" ca="1" si="295"/>
        <v>#VALUE!</v>
      </c>
      <c r="AD1497" t="str">
        <f t="shared" ca="1" si="296"/>
        <v>0</v>
      </c>
      <c r="AE1497" t="str">
        <f t="shared" ca="1" si="297"/>
        <v/>
      </c>
      <c r="AF1497" s="6">
        <f t="shared" ca="1" si="298"/>
        <v>0</v>
      </c>
      <c r="AG1497">
        <f t="shared" ca="1" si="293"/>
        <v>0</v>
      </c>
      <c r="AH1497">
        <f t="shared" ca="1" si="299"/>
        <v>0</v>
      </c>
      <c r="AI1497">
        <f t="shared" ca="1" si="300"/>
        <v>0</v>
      </c>
      <c r="AJ1497">
        <f t="shared" ca="1" si="301"/>
        <v>0</v>
      </c>
      <c r="AK1497">
        <f t="shared" ca="1" si="302"/>
        <v>0</v>
      </c>
      <c r="AL1497">
        <f t="shared" ca="1" si="303"/>
        <v>0</v>
      </c>
    </row>
    <row r="1498" spans="1:38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#N/A, OFFSET(data!$A$1, ROW()-1, AA$1-1))</f>
        <v>0</v>
      </c>
      <c r="AB1498">
        <f t="shared" ca="1" si="294"/>
        <v>0</v>
      </c>
      <c r="AC1498" t="e">
        <f t="shared" ca="1" si="295"/>
        <v>#VALUE!</v>
      </c>
      <c r="AD1498" t="str">
        <f t="shared" ca="1" si="296"/>
        <v>0</v>
      </c>
      <c r="AE1498" t="str">
        <f t="shared" ca="1" si="297"/>
        <v/>
      </c>
      <c r="AF1498" s="6">
        <f t="shared" ca="1" si="298"/>
        <v>0</v>
      </c>
      <c r="AG1498">
        <f t="shared" ca="1" si="293"/>
        <v>0</v>
      </c>
      <c r="AH1498">
        <f t="shared" ca="1" si="299"/>
        <v>0</v>
      </c>
      <c r="AI1498">
        <f t="shared" ca="1" si="300"/>
        <v>0</v>
      </c>
      <c r="AJ1498">
        <f t="shared" ca="1" si="301"/>
        <v>0</v>
      </c>
      <c r="AK1498">
        <f t="shared" ca="1" si="302"/>
        <v>0</v>
      </c>
      <c r="AL1498">
        <f t="shared" ca="1" si="303"/>
        <v>0</v>
      </c>
    </row>
    <row r="1499" spans="1:38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#N/A, OFFSET(data!$A$1, ROW()-1, AA$1-1))</f>
        <v>0</v>
      </c>
      <c r="AB1499">
        <f t="shared" ca="1" si="294"/>
        <v>0</v>
      </c>
      <c r="AC1499" t="e">
        <f t="shared" ca="1" si="295"/>
        <v>#VALUE!</v>
      </c>
      <c r="AD1499" t="str">
        <f t="shared" ca="1" si="296"/>
        <v>0</v>
      </c>
      <c r="AE1499" t="str">
        <f t="shared" ca="1" si="297"/>
        <v/>
      </c>
      <c r="AF1499" s="6">
        <f t="shared" ca="1" si="298"/>
        <v>0</v>
      </c>
      <c r="AG1499">
        <f t="shared" ca="1" si="293"/>
        <v>0</v>
      </c>
      <c r="AH1499">
        <f t="shared" ca="1" si="299"/>
        <v>0</v>
      </c>
      <c r="AI1499">
        <f t="shared" ca="1" si="300"/>
        <v>0</v>
      </c>
      <c r="AJ1499">
        <f t="shared" ca="1" si="301"/>
        <v>0</v>
      </c>
      <c r="AK1499">
        <f t="shared" ca="1" si="302"/>
        <v>0</v>
      </c>
      <c r="AL1499">
        <f t="shared" ca="1" si="303"/>
        <v>0</v>
      </c>
    </row>
    <row r="1500" spans="1:38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#N/A, OFFSET(data!$A$1, ROW()-1, AA$1-1))</f>
        <v>0</v>
      </c>
      <c r="AB1500">
        <f t="shared" ca="1" si="294"/>
        <v>0</v>
      </c>
      <c r="AC1500" t="e">
        <f t="shared" ca="1" si="295"/>
        <v>#VALUE!</v>
      </c>
      <c r="AD1500" t="str">
        <f t="shared" ca="1" si="296"/>
        <v>0</v>
      </c>
      <c r="AE1500" t="str">
        <f t="shared" ca="1" si="297"/>
        <v/>
      </c>
      <c r="AF1500" s="6">
        <f t="shared" ca="1" si="298"/>
        <v>0</v>
      </c>
      <c r="AG1500">
        <f t="shared" ca="1" si="293"/>
        <v>0</v>
      </c>
      <c r="AH1500">
        <f t="shared" ca="1" si="299"/>
        <v>0</v>
      </c>
      <c r="AI1500">
        <f t="shared" ca="1" si="300"/>
        <v>0</v>
      </c>
      <c r="AJ1500">
        <f t="shared" ca="1" si="301"/>
        <v>0</v>
      </c>
      <c r="AK1500">
        <f t="shared" ca="1" si="302"/>
        <v>0</v>
      </c>
      <c r="AL1500">
        <f t="shared" ca="1" si="303"/>
        <v>0</v>
      </c>
    </row>
    <row r="1501" spans="1:38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#N/A, OFFSET(data!$A$1, ROW()-1, AA$1-1))</f>
        <v>0</v>
      </c>
      <c r="AB1501">
        <f t="shared" ca="1" si="294"/>
        <v>0</v>
      </c>
      <c r="AC1501" t="e">
        <f t="shared" ca="1" si="295"/>
        <v>#VALUE!</v>
      </c>
      <c r="AD1501" t="str">
        <f t="shared" ca="1" si="296"/>
        <v>0</v>
      </c>
      <c r="AE1501" t="str">
        <f t="shared" ca="1" si="297"/>
        <v/>
      </c>
      <c r="AF1501" s="6">
        <f t="shared" ca="1" si="298"/>
        <v>0</v>
      </c>
      <c r="AG1501">
        <f t="shared" ca="1" si="293"/>
        <v>0</v>
      </c>
      <c r="AH1501">
        <f t="shared" ca="1" si="299"/>
        <v>0</v>
      </c>
      <c r="AI1501">
        <f t="shared" ca="1" si="300"/>
        <v>0</v>
      </c>
      <c r="AJ1501">
        <f t="shared" ca="1" si="301"/>
        <v>0</v>
      </c>
      <c r="AK1501">
        <f t="shared" ca="1" si="302"/>
        <v>0</v>
      </c>
      <c r="AL1501">
        <f t="shared" ca="1" si="303"/>
        <v>0</v>
      </c>
    </row>
    <row r="1502" spans="1:38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#N/A, OFFSET(data!$A$1, ROW()-1, AA$1-1))</f>
        <v>0</v>
      </c>
      <c r="AB1502">
        <f t="shared" ca="1" si="294"/>
        <v>0</v>
      </c>
      <c r="AC1502" t="e">
        <f t="shared" ca="1" si="295"/>
        <v>#VALUE!</v>
      </c>
      <c r="AD1502" t="str">
        <f t="shared" ca="1" si="296"/>
        <v>0</v>
      </c>
      <c r="AE1502" t="str">
        <f t="shared" ca="1" si="297"/>
        <v/>
      </c>
      <c r="AF1502" s="6">
        <f t="shared" ca="1" si="298"/>
        <v>0</v>
      </c>
      <c r="AG1502">
        <f t="shared" ca="1" si="293"/>
        <v>0</v>
      </c>
      <c r="AH1502">
        <f t="shared" ca="1" si="299"/>
        <v>0</v>
      </c>
      <c r="AI1502">
        <f t="shared" ca="1" si="300"/>
        <v>0</v>
      </c>
      <c r="AJ1502">
        <f t="shared" ca="1" si="301"/>
        <v>0</v>
      </c>
      <c r="AK1502">
        <f t="shared" ca="1" si="302"/>
        <v>0</v>
      </c>
      <c r="AL1502">
        <f t="shared" ca="1" si="303"/>
        <v>0</v>
      </c>
    </row>
    <row r="1503" spans="1:38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#N/A, OFFSET(data!$A$1, ROW()-1, AA$1-1))</f>
        <v>0</v>
      </c>
      <c r="AB1503">
        <f t="shared" ca="1" si="294"/>
        <v>0</v>
      </c>
      <c r="AC1503" t="e">
        <f t="shared" ca="1" si="295"/>
        <v>#VALUE!</v>
      </c>
      <c r="AD1503" t="str">
        <f t="shared" ca="1" si="296"/>
        <v>0</v>
      </c>
      <c r="AE1503" t="str">
        <f t="shared" ca="1" si="297"/>
        <v/>
      </c>
      <c r="AF1503" s="6">
        <f t="shared" ca="1" si="298"/>
        <v>0</v>
      </c>
      <c r="AG1503">
        <f t="shared" ca="1" si="293"/>
        <v>0</v>
      </c>
      <c r="AH1503">
        <f t="shared" ca="1" si="299"/>
        <v>0</v>
      </c>
      <c r="AI1503">
        <f t="shared" ca="1" si="300"/>
        <v>0</v>
      </c>
      <c r="AJ1503">
        <f t="shared" ca="1" si="301"/>
        <v>0</v>
      </c>
      <c r="AK1503">
        <f t="shared" ca="1" si="302"/>
        <v>0</v>
      </c>
      <c r="AL1503">
        <f t="shared" ca="1" si="303"/>
        <v>0</v>
      </c>
    </row>
    <row r="1504" spans="1:38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#N/A, OFFSET(data!$A$1, ROW()-1, AA$1-1))</f>
        <v>0</v>
      </c>
      <c r="AB1504">
        <f t="shared" ca="1" si="294"/>
        <v>0</v>
      </c>
      <c r="AC1504" t="e">
        <f t="shared" ca="1" si="295"/>
        <v>#VALUE!</v>
      </c>
      <c r="AD1504" t="str">
        <f t="shared" ca="1" si="296"/>
        <v>0</v>
      </c>
      <c r="AE1504" t="str">
        <f t="shared" ca="1" si="297"/>
        <v/>
      </c>
      <c r="AF1504" s="6">
        <f t="shared" ca="1" si="298"/>
        <v>0</v>
      </c>
      <c r="AG1504">
        <f t="shared" ca="1" si="293"/>
        <v>0</v>
      </c>
      <c r="AH1504">
        <f t="shared" ca="1" si="299"/>
        <v>0</v>
      </c>
      <c r="AI1504">
        <f t="shared" ca="1" si="300"/>
        <v>0</v>
      </c>
      <c r="AJ1504">
        <f t="shared" ca="1" si="301"/>
        <v>0</v>
      </c>
      <c r="AK1504">
        <f t="shared" ca="1" si="302"/>
        <v>0</v>
      </c>
      <c r="AL1504">
        <f t="shared" ca="1" si="303"/>
        <v>0</v>
      </c>
    </row>
    <row r="1505" spans="1:38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#N/A, OFFSET(data!$A$1, ROW()-1, AA$1-1))</f>
        <v>0</v>
      </c>
      <c r="AB1505">
        <f t="shared" ca="1" si="294"/>
        <v>0</v>
      </c>
      <c r="AC1505" t="e">
        <f t="shared" ca="1" si="295"/>
        <v>#VALUE!</v>
      </c>
      <c r="AD1505" t="str">
        <f t="shared" ca="1" si="296"/>
        <v>0</v>
      </c>
      <c r="AE1505" t="str">
        <f t="shared" ca="1" si="297"/>
        <v/>
      </c>
      <c r="AF1505" s="6">
        <f t="shared" ca="1" si="298"/>
        <v>0</v>
      </c>
      <c r="AG1505">
        <f t="shared" ca="1" si="293"/>
        <v>0</v>
      </c>
      <c r="AH1505">
        <f t="shared" ca="1" si="299"/>
        <v>0</v>
      </c>
      <c r="AI1505">
        <f t="shared" ca="1" si="300"/>
        <v>0</v>
      </c>
      <c r="AJ1505">
        <f t="shared" ca="1" si="301"/>
        <v>0</v>
      </c>
      <c r="AK1505">
        <f t="shared" ca="1" si="302"/>
        <v>0</v>
      </c>
      <c r="AL1505">
        <f t="shared" ca="1" si="303"/>
        <v>0</v>
      </c>
    </row>
    <row r="1506" spans="1:38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#N/A, OFFSET(data!$A$1, ROW()-1, AA$1-1))</f>
        <v>0</v>
      </c>
      <c r="AB1506">
        <f t="shared" ca="1" si="294"/>
        <v>0</v>
      </c>
      <c r="AC1506" t="e">
        <f t="shared" ca="1" si="295"/>
        <v>#VALUE!</v>
      </c>
      <c r="AD1506" t="str">
        <f t="shared" ca="1" si="296"/>
        <v>0</v>
      </c>
      <c r="AE1506" t="str">
        <f t="shared" ca="1" si="297"/>
        <v/>
      </c>
      <c r="AF1506" s="6">
        <f t="shared" ca="1" si="298"/>
        <v>0</v>
      </c>
      <c r="AG1506">
        <f t="shared" ca="1" si="293"/>
        <v>0</v>
      </c>
      <c r="AH1506">
        <f t="shared" ca="1" si="299"/>
        <v>0</v>
      </c>
      <c r="AI1506">
        <f t="shared" ca="1" si="300"/>
        <v>0</v>
      </c>
      <c r="AJ1506">
        <f t="shared" ca="1" si="301"/>
        <v>0</v>
      </c>
      <c r="AK1506">
        <f t="shared" ca="1" si="302"/>
        <v>0</v>
      </c>
      <c r="AL1506">
        <f t="shared" ca="1" si="303"/>
        <v>0</v>
      </c>
    </row>
    <row r="1507" spans="1:38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#N/A, OFFSET(data!$A$1, ROW()-1, AA$1-1))</f>
        <v>0</v>
      </c>
      <c r="AB1507">
        <f t="shared" ca="1" si="294"/>
        <v>0</v>
      </c>
      <c r="AC1507" t="e">
        <f t="shared" ca="1" si="295"/>
        <v>#VALUE!</v>
      </c>
      <c r="AD1507" t="str">
        <f t="shared" ca="1" si="296"/>
        <v>0</v>
      </c>
      <c r="AE1507" t="str">
        <f t="shared" ca="1" si="297"/>
        <v/>
      </c>
      <c r="AF1507" s="6">
        <f t="shared" ca="1" si="298"/>
        <v>0</v>
      </c>
      <c r="AG1507">
        <f t="shared" ca="1" si="293"/>
        <v>0</v>
      </c>
      <c r="AH1507">
        <f t="shared" ca="1" si="299"/>
        <v>0</v>
      </c>
      <c r="AI1507">
        <f t="shared" ca="1" si="300"/>
        <v>0</v>
      </c>
      <c r="AJ1507">
        <f t="shared" ca="1" si="301"/>
        <v>0</v>
      </c>
      <c r="AK1507">
        <f t="shared" ca="1" si="302"/>
        <v>0</v>
      </c>
      <c r="AL1507">
        <f t="shared" ca="1" si="303"/>
        <v>0</v>
      </c>
    </row>
    <row r="1508" spans="1:38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#N/A, OFFSET(data!$A$1, ROW()-1, AA$1-1))</f>
        <v>0</v>
      </c>
      <c r="AB1508">
        <f t="shared" ca="1" si="294"/>
        <v>0</v>
      </c>
      <c r="AC1508" t="e">
        <f t="shared" ca="1" si="295"/>
        <v>#VALUE!</v>
      </c>
      <c r="AD1508" t="str">
        <f t="shared" ca="1" si="296"/>
        <v>0</v>
      </c>
      <c r="AE1508" t="str">
        <f t="shared" ca="1" si="297"/>
        <v/>
      </c>
      <c r="AF1508" s="6">
        <f t="shared" ca="1" si="298"/>
        <v>0</v>
      </c>
      <c r="AG1508">
        <f t="shared" ca="1" si="293"/>
        <v>0</v>
      </c>
      <c r="AH1508">
        <f t="shared" ca="1" si="299"/>
        <v>0</v>
      </c>
      <c r="AI1508">
        <f t="shared" ca="1" si="300"/>
        <v>0</v>
      </c>
      <c r="AJ1508">
        <f t="shared" ca="1" si="301"/>
        <v>0</v>
      </c>
      <c r="AK1508">
        <f t="shared" ca="1" si="302"/>
        <v>0</v>
      </c>
      <c r="AL1508">
        <f t="shared" ca="1" si="303"/>
        <v>0</v>
      </c>
    </row>
    <row r="1509" spans="1:38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#N/A, OFFSET(data!$A$1, ROW()-1, AA$1-1))</f>
        <v>0</v>
      </c>
      <c r="AB1509">
        <f t="shared" ca="1" si="294"/>
        <v>0</v>
      </c>
      <c r="AC1509" t="e">
        <f t="shared" ca="1" si="295"/>
        <v>#VALUE!</v>
      </c>
      <c r="AD1509" t="str">
        <f t="shared" ca="1" si="296"/>
        <v>0</v>
      </c>
      <c r="AE1509" t="str">
        <f t="shared" ca="1" si="297"/>
        <v/>
      </c>
      <c r="AF1509" s="6">
        <f t="shared" ca="1" si="298"/>
        <v>0</v>
      </c>
      <c r="AG1509">
        <f t="shared" ca="1" si="293"/>
        <v>0</v>
      </c>
      <c r="AH1509">
        <f t="shared" ca="1" si="299"/>
        <v>0</v>
      </c>
      <c r="AI1509">
        <f t="shared" ca="1" si="300"/>
        <v>0</v>
      </c>
      <c r="AJ1509">
        <f t="shared" ca="1" si="301"/>
        <v>0</v>
      </c>
      <c r="AK1509">
        <f t="shared" ca="1" si="302"/>
        <v>0</v>
      </c>
      <c r="AL1509">
        <f t="shared" ca="1" si="303"/>
        <v>0</v>
      </c>
    </row>
    <row r="1510" spans="1:38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#N/A, OFFSET(data!$A$1, ROW()-1, AA$1-1))</f>
        <v>0</v>
      </c>
      <c r="AB1510">
        <f t="shared" ca="1" si="294"/>
        <v>0</v>
      </c>
      <c r="AC1510" t="e">
        <f t="shared" ca="1" si="295"/>
        <v>#VALUE!</v>
      </c>
      <c r="AD1510" t="str">
        <f t="shared" ca="1" si="296"/>
        <v>0</v>
      </c>
      <c r="AE1510" t="str">
        <f t="shared" ca="1" si="297"/>
        <v/>
      </c>
      <c r="AF1510" s="6">
        <f t="shared" ca="1" si="298"/>
        <v>0</v>
      </c>
      <c r="AG1510">
        <f t="shared" ca="1" si="293"/>
        <v>0</v>
      </c>
      <c r="AH1510">
        <f t="shared" ca="1" si="299"/>
        <v>0</v>
      </c>
      <c r="AI1510">
        <f t="shared" ca="1" si="300"/>
        <v>0</v>
      </c>
      <c r="AJ1510">
        <f t="shared" ca="1" si="301"/>
        <v>0</v>
      </c>
      <c r="AK1510">
        <f t="shared" ca="1" si="302"/>
        <v>0</v>
      </c>
      <c r="AL1510">
        <f t="shared" ca="1" si="303"/>
        <v>0</v>
      </c>
    </row>
    <row r="1511" spans="1:38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#N/A, OFFSET(data!$A$1, ROW()-1, AA$1-1))</f>
        <v>0</v>
      </c>
      <c r="AB1511">
        <f t="shared" ca="1" si="294"/>
        <v>0</v>
      </c>
      <c r="AC1511" t="e">
        <f t="shared" ca="1" si="295"/>
        <v>#VALUE!</v>
      </c>
      <c r="AD1511" t="str">
        <f t="shared" ca="1" si="296"/>
        <v>0</v>
      </c>
      <c r="AE1511" t="str">
        <f t="shared" ca="1" si="297"/>
        <v/>
      </c>
      <c r="AF1511" s="6">
        <f t="shared" ca="1" si="298"/>
        <v>0</v>
      </c>
      <c r="AG1511">
        <f t="shared" ca="1" si="293"/>
        <v>0</v>
      </c>
      <c r="AH1511">
        <f t="shared" ca="1" si="299"/>
        <v>0</v>
      </c>
      <c r="AI1511">
        <f t="shared" ca="1" si="300"/>
        <v>0</v>
      </c>
      <c r="AJ1511">
        <f t="shared" ca="1" si="301"/>
        <v>0</v>
      </c>
      <c r="AK1511">
        <f t="shared" ca="1" si="302"/>
        <v>0</v>
      </c>
      <c r="AL1511">
        <f t="shared" ca="1" si="303"/>
        <v>0</v>
      </c>
    </row>
    <row r="1512" spans="1:38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#N/A, OFFSET(data!$A$1, ROW()-1, AA$1-1))</f>
        <v>0</v>
      </c>
      <c r="AB1512">
        <f t="shared" ca="1" si="294"/>
        <v>0</v>
      </c>
      <c r="AC1512" t="e">
        <f t="shared" ca="1" si="295"/>
        <v>#VALUE!</v>
      </c>
      <c r="AD1512" t="str">
        <f t="shared" ca="1" si="296"/>
        <v>0</v>
      </c>
      <c r="AE1512" t="str">
        <f t="shared" ca="1" si="297"/>
        <v/>
      </c>
      <c r="AF1512" s="6">
        <f t="shared" ca="1" si="298"/>
        <v>0</v>
      </c>
      <c r="AG1512">
        <f t="shared" ca="1" si="293"/>
        <v>0</v>
      </c>
      <c r="AH1512">
        <f t="shared" ca="1" si="299"/>
        <v>0</v>
      </c>
      <c r="AI1512">
        <f t="shared" ca="1" si="300"/>
        <v>0</v>
      </c>
      <c r="AJ1512">
        <f t="shared" ca="1" si="301"/>
        <v>0</v>
      </c>
      <c r="AK1512">
        <f t="shared" ca="1" si="302"/>
        <v>0</v>
      </c>
      <c r="AL1512">
        <f t="shared" ca="1" si="303"/>
        <v>0</v>
      </c>
    </row>
    <row r="1513" spans="1:38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#N/A, OFFSET(data!$A$1, ROW()-1, AA$1-1))</f>
        <v>0</v>
      </c>
      <c r="AB1513">
        <f t="shared" ca="1" si="294"/>
        <v>0</v>
      </c>
      <c r="AC1513" t="e">
        <f t="shared" ca="1" si="295"/>
        <v>#VALUE!</v>
      </c>
      <c r="AD1513" t="str">
        <f t="shared" ca="1" si="296"/>
        <v>0</v>
      </c>
      <c r="AE1513" t="str">
        <f t="shared" ca="1" si="297"/>
        <v/>
      </c>
      <c r="AF1513" s="6">
        <f t="shared" ca="1" si="298"/>
        <v>0</v>
      </c>
      <c r="AG1513">
        <f t="shared" ca="1" si="293"/>
        <v>0</v>
      </c>
      <c r="AH1513">
        <f t="shared" ca="1" si="299"/>
        <v>0</v>
      </c>
      <c r="AI1513">
        <f t="shared" ca="1" si="300"/>
        <v>0</v>
      </c>
      <c r="AJ1513">
        <f t="shared" ca="1" si="301"/>
        <v>0</v>
      </c>
      <c r="AK1513">
        <f t="shared" ca="1" si="302"/>
        <v>0</v>
      </c>
      <c r="AL1513">
        <f t="shared" ca="1" si="303"/>
        <v>0</v>
      </c>
    </row>
    <row r="1514" spans="1:38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#N/A, OFFSET(data!$A$1, ROW()-1, AA$1-1))</f>
        <v>0</v>
      </c>
      <c r="AB1514">
        <f t="shared" ca="1" si="294"/>
        <v>0</v>
      </c>
      <c r="AC1514" t="e">
        <f t="shared" ca="1" si="295"/>
        <v>#VALUE!</v>
      </c>
      <c r="AD1514" t="str">
        <f t="shared" ca="1" si="296"/>
        <v>0</v>
      </c>
      <c r="AE1514" t="str">
        <f t="shared" ca="1" si="297"/>
        <v/>
      </c>
      <c r="AF1514" s="6">
        <f t="shared" ca="1" si="298"/>
        <v>0</v>
      </c>
      <c r="AG1514">
        <f t="shared" ca="1" si="293"/>
        <v>0</v>
      </c>
      <c r="AH1514">
        <f t="shared" ca="1" si="299"/>
        <v>0</v>
      </c>
      <c r="AI1514">
        <f t="shared" ca="1" si="300"/>
        <v>0</v>
      </c>
      <c r="AJ1514">
        <f t="shared" ca="1" si="301"/>
        <v>0</v>
      </c>
      <c r="AK1514">
        <f t="shared" ca="1" si="302"/>
        <v>0</v>
      </c>
      <c r="AL1514">
        <f t="shared" ca="1" si="303"/>
        <v>0</v>
      </c>
    </row>
    <row r="1515" spans="1:38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#N/A, OFFSET(data!$A$1, ROW()-1, AA$1-1))</f>
        <v>0</v>
      </c>
      <c r="AB1515">
        <f t="shared" ca="1" si="294"/>
        <v>0</v>
      </c>
      <c r="AC1515" t="e">
        <f t="shared" ca="1" si="295"/>
        <v>#VALUE!</v>
      </c>
      <c r="AD1515" t="str">
        <f t="shared" ca="1" si="296"/>
        <v>0</v>
      </c>
      <c r="AE1515" t="str">
        <f t="shared" ca="1" si="297"/>
        <v/>
      </c>
      <c r="AF1515" s="6">
        <f t="shared" ca="1" si="298"/>
        <v>0</v>
      </c>
      <c r="AG1515">
        <f t="shared" ca="1" si="293"/>
        <v>0</v>
      </c>
      <c r="AH1515">
        <f t="shared" ca="1" si="299"/>
        <v>0</v>
      </c>
      <c r="AI1515">
        <f t="shared" ca="1" si="300"/>
        <v>0</v>
      </c>
      <c r="AJ1515">
        <f t="shared" ca="1" si="301"/>
        <v>0</v>
      </c>
      <c r="AK1515">
        <f t="shared" ca="1" si="302"/>
        <v>0</v>
      </c>
      <c r="AL1515">
        <f t="shared" ca="1" si="303"/>
        <v>0</v>
      </c>
    </row>
    <row r="1516" spans="1:38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#N/A, OFFSET(data!$A$1, ROW()-1, AA$1-1))</f>
        <v>0</v>
      </c>
      <c r="AB1516">
        <f t="shared" ca="1" si="294"/>
        <v>0</v>
      </c>
      <c r="AC1516" t="e">
        <f t="shared" ca="1" si="295"/>
        <v>#VALUE!</v>
      </c>
      <c r="AD1516" t="str">
        <f t="shared" ca="1" si="296"/>
        <v>0</v>
      </c>
      <c r="AE1516" t="str">
        <f t="shared" ca="1" si="297"/>
        <v/>
      </c>
      <c r="AF1516" s="6">
        <f t="shared" ca="1" si="298"/>
        <v>0</v>
      </c>
      <c r="AG1516">
        <f t="shared" ca="1" si="293"/>
        <v>0</v>
      </c>
      <c r="AH1516">
        <f t="shared" ca="1" si="299"/>
        <v>0</v>
      </c>
      <c r="AI1516">
        <f t="shared" ca="1" si="300"/>
        <v>0</v>
      </c>
      <c r="AJ1516">
        <f t="shared" ca="1" si="301"/>
        <v>0</v>
      </c>
      <c r="AK1516">
        <f t="shared" ca="1" si="302"/>
        <v>0</v>
      </c>
      <c r="AL1516">
        <f t="shared" ca="1" si="303"/>
        <v>0</v>
      </c>
    </row>
    <row r="1517" spans="1:38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#N/A, OFFSET(data!$A$1, ROW()-1, AA$1-1))</f>
        <v>0</v>
      </c>
      <c r="AB1517">
        <f t="shared" ca="1" si="294"/>
        <v>0</v>
      </c>
      <c r="AC1517" t="e">
        <f t="shared" ca="1" si="295"/>
        <v>#VALUE!</v>
      </c>
      <c r="AD1517" t="str">
        <f t="shared" ca="1" si="296"/>
        <v>0</v>
      </c>
      <c r="AE1517" t="str">
        <f t="shared" ca="1" si="297"/>
        <v/>
      </c>
      <c r="AF1517" s="6">
        <f t="shared" ca="1" si="298"/>
        <v>0</v>
      </c>
      <c r="AG1517">
        <f t="shared" ca="1" si="293"/>
        <v>0</v>
      </c>
      <c r="AH1517">
        <f t="shared" ca="1" si="299"/>
        <v>0</v>
      </c>
      <c r="AI1517">
        <f t="shared" ca="1" si="300"/>
        <v>0</v>
      </c>
      <c r="AJ1517">
        <f t="shared" ca="1" si="301"/>
        <v>0</v>
      </c>
      <c r="AK1517">
        <f t="shared" ca="1" si="302"/>
        <v>0</v>
      </c>
      <c r="AL1517">
        <f t="shared" ca="1" si="303"/>
        <v>0</v>
      </c>
    </row>
    <row r="1518" spans="1:38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#N/A, OFFSET(data!$A$1, ROW()-1, AA$1-1))</f>
        <v>0</v>
      </c>
      <c r="AB1518">
        <f t="shared" ca="1" si="294"/>
        <v>0</v>
      </c>
      <c r="AC1518" t="e">
        <f t="shared" ca="1" si="295"/>
        <v>#VALUE!</v>
      </c>
      <c r="AD1518" t="str">
        <f t="shared" ca="1" si="296"/>
        <v>0</v>
      </c>
      <c r="AE1518" t="str">
        <f t="shared" ca="1" si="297"/>
        <v/>
      </c>
      <c r="AF1518" s="6">
        <f t="shared" ca="1" si="298"/>
        <v>0</v>
      </c>
      <c r="AG1518">
        <f t="shared" ca="1" si="293"/>
        <v>0</v>
      </c>
      <c r="AH1518">
        <f t="shared" ca="1" si="299"/>
        <v>0</v>
      </c>
      <c r="AI1518">
        <f t="shared" ca="1" si="300"/>
        <v>0</v>
      </c>
      <c r="AJ1518">
        <f t="shared" ca="1" si="301"/>
        <v>0</v>
      </c>
      <c r="AK1518">
        <f t="shared" ca="1" si="302"/>
        <v>0</v>
      </c>
      <c r="AL1518">
        <f t="shared" ca="1" si="303"/>
        <v>0</v>
      </c>
    </row>
    <row r="1519" spans="1:38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#N/A, OFFSET(data!$A$1, ROW()-1, AA$1-1))</f>
        <v>0</v>
      </c>
      <c r="AB1519">
        <f t="shared" ca="1" si="294"/>
        <v>0</v>
      </c>
      <c r="AC1519" t="e">
        <f t="shared" ca="1" si="295"/>
        <v>#VALUE!</v>
      </c>
      <c r="AD1519" t="str">
        <f t="shared" ca="1" si="296"/>
        <v>0</v>
      </c>
      <c r="AE1519" t="str">
        <f t="shared" ca="1" si="297"/>
        <v/>
      </c>
      <c r="AF1519" s="6">
        <f t="shared" ca="1" si="298"/>
        <v>0</v>
      </c>
      <c r="AG1519">
        <f t="shared" ca="1" si="293"/>
        <v>0</v>
      </c>
      <c r="AH1519">
        <f t="shared" ca="1" si="299"/>
        <v>0</v>
      </c>
      <c r="AI1519">
        <f t="shared" ca="1" si="300"/>
        <v>0</v>
      </c>
      <c r="AJ1519">
        <f t="shared" ca="1" si="301"/>
        <v>0</v>
      </c>
      <c r="AK1519">
        <f t="shared" ca="1" si="302"/>
        <v>0</v>
      </c>
      <c r="AL1519">
        <f t="shared" ca="1" si="303"/>
        <v>0</v>
      </c>
    </row>
    <row r="1520" spans="1:38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#N/A, OFFSET(data!$A$1, ROW()-1, AA$1-1))</f>
        <v>0</v>
      </c>
      <c r="AB1520">
        <f t="shared" ca="1" si="294"/>
        <v>0</v>
      </c>
      <c r="AC1520" t="e">
        <f t="shared" ca="1" si="295"/>
        <v>#VALUE!</v>
      </c>
      <c r="AD1520" t="str">
        <f t="shared" ca="1" si="296"/>
        <v>0</v>
      </c>
      <c r="AE1520" t="str">
        <f t="shared" ca="1" si="297"/>
        <v/>
      </c>
      <c r="AF1520" s="6">
        <f t="shared" ca="1" si="298"/>
        <v>0</v>
      </c>
      <c r="AG1520">
        <f t="shared" ca="1" si="293"/>
        <v>0</v>
      </c>
      <c r="AH1520">
        <f t="shared" ca="1" si="299"/>
        <v>0</v>
      </c>
      <c r="AI1520">
        <f t="shared" ca="1" si="300"/>
        <v>0</v>
      </c>
      <c r="AJ1520">
        <f t="shared" ca="1" si="301"/>
        <v>0</v>
      </c>
      <c r="AK1520">
        <f t="shared" ca="1" si="302"/>
        <v>0</v>
      </c>
      <c r="AL1520">
        <f t="shared" ca="1" si="303"/>
        <v>0</v>
      </c>
    </row>
    <row r="1521" spans="1:38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#N/A, OFFSET(data!$A$1, ROW()-1, AA$1-1))</f>
        <v>0</v>
      </c>
      <c r="AB1521">
        <f t="shared" ca="1" si="294"/>
        <v>0</v>
      </c>
      <c r="AC1521" t="e">
        <f t="shared" ca="1" si="295"/>
        <v>#VALUE!</v>
      </c>
      <c r="AD1521" t="str">
        <f t="shared" ca="1" si="296"/>
        <v>0</v>
      </c>
      <c r="AE1521" t="str">
        <f t="shared" ca="1" si="297"/>
        <v/>
      </c>
      <c r="AF1521" s="6">
        <f t="shared" ca="1" si="298"/>
        <v>0</v>
      </c>
      <c r="AG1521">
        <f t="shared" ca="1" si="293"/>
        <v>0</v>
      </c>
      <c r="AH1521">
        <f t="shared" ca="1" si="299"/>
        <v>0</v>
      </c>
      <c r="AI1521">
        <f t="shared" ca="1" si="300"/>
        <v>0</v>
      </c>
      <c r="AJ1521">
        <f t="shared" ca="1" si="301"/>
        <v>0</v>
      </c>
      <c r="AK1521">
        <f t="shared" ca="1" si="302"/>
        <v>0</v>
      </c>
      <c r="AL1521">
        <f t="shared" ca="1" si="303"/>
        <v>0</v>
      </c>
    </row>
    <row r="1522" spans="1:38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#N/A, OFFSET(data!$A$1, ROW()-1, AA$1-1))</f>
        <v>0</v>
      </c>
      <c r="AB1522">
        <f t="shared" ca="1" si="294"/>
        <v>0</v>
      </c>
      <c r="AC1522" t="e">
        <f t="shared" ca="1" si="295"/>
        <v>#VALUE!</v>
      </c>
      <c r="AD1522" t="str">
        <f t="shared" ca="1" si="296"/>
        <v>0</v>
      </c>
      <c r="AE1522" t="str">
        <f t="shared" ca="1" si="297"/>
        <v/>
      </c>
      <c r="AF1522" s="6">
        <f t="shared" ca="1" si="298"/>
        <v>0</v>
      </c>
      <c r="AG1522">
        <f t="shared" ca="1" si="293"/>
        <v>0</v>
      </c>
      <c r="AH1522">
        <f t="shared" ca="1" si="299"/>
        <v>0</v>
      </c>
      <c r="AI1522">
        <f t="shared" ca="1" si="300"/>
        <v>0</v>
      </c>
      <c r="AJ1522">
        <f t="shared" ca="1" si="301"/>
        <v>0</v>
      </c>
      <c r="AK1522">
        <f t="shared" ca="1" si="302"/>
        <v>0</v>
      </c>
      <c r="AL1522">
        <f t="shared" ca="1" si="303"/>
        <v>0</v>
      </c>
    </row>
    <row r="1523" spans="1:38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#N/A, OFFSET(data!$A$1, ROW()-1, AA$1-1))</f>
        <v>0</v>
      </c>
      <c r="AB1523">
        <f t="shared" ca="1" si="294"/>
        <v>0</v>
      </c>
      <c r="AC1523" t="e">
        <f t="shared" ca="1" si="295"/>
        <v>#VALUE!</v>
      </c>
      <c r="AD1523" t="str">
        <f t="shared" ca="1" si="296"/>
        <v>0</v>
      </c>
      <c r="AE1523" t="str">
        <f t="shared" ca="1" si="297"/>
        <v/>
      </c>
      <c r="AF1523" s="6">
        <f t="shared" ca="1" si="298"/>
        <v>0</v>
      </c>
      <c r="AG1523">
        <f t="shared" ca="1" si="293"/>
        <v>0</v>
      </c>
      <c r="AH1523">
        <f t="shared" ca="1" si="299"/>
        <v>0</v>
      </c>
      <c r="AI1523">
        <f t="shared" ca="1" si="300"/>
        <v>0</v>
      </c>
      <c r="AJ1523">
        <f t="shared" ca="1" si="301"/>
        <v>0</v>
      </c>
      <c r="AK1523">
        <f t="shared" ca="1" si="302"/>
        <v>0</v>
      </c>
      <c r="AL1523">
        <f t="shared" ca="1" si="303"/>
        <v>0</v>
      </c>
    </row>
    <row r="1524" spans="1:38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#N/A, OFFSET(data!$A$1, ROW()-1, AA$1-1))</f>
        <v>0</v>
      </c>
      <c r="AB1524">
        <f t="shared" ca="1" si="294"/>
        <v>0</v>
      </c>
      <c r="AC1524" t="e">
        <f t="shared" ca="1" si="295"/>
        <v>#VALUE!</v>
      </c>
      <c r="AD1524" t="str">
        <f t="shared" ca="1" si="296"/>
        <v>0</v>
      </c>
      <c r="AE1524" t="str">
        <f t="shared" ca="1" si="297"/>
        <v/>
      </c>
      <c r="AF1524" s="6">
        <f t="shared" ca="1" si="298"/>
        <v>0</v>
      </c>
      <c r="AG1524">
        <f t="shared" ref="AG1524:AG1587" ca="1" si="304">T1524+W1524</f>
        <v>0</v>
      </c>
      <c r="AH1524">
        <f t="shared" ca="1" si="299"/>
        <v>0</v>
      </c>
      <c r="AI1524">
        <f t="shared" ca="1" si="300"/>
        <v>0</v>
      </c>
      <c r="AJ1524">
        <f t="shared" ca="1" si="301"/>
        <v>0</v>
      </c>
      <c r="AK1524">
        <f t="shared" ca="1" si="302"/>
        <v>0</v>
      </c>
      <c r="AL1524">
        <f t="shared" ca="1" si="303"/>
        <v>0</v>
      </c>
    </row>
    <row r="1525" spans="1:38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#N/A, OFFSET(data!$A$1, ROW()-1, AA$1-1))</f>
        <v>0</v>
      </c>
      <c r="AB1525">
        <f t="shared" ca="1" si="294"/>
        <v>0</v>
      </c>
      <c r="AC1525" t="e">
        <f t="shared" ca="1" si="295"/>
        <v>#VALUE!</v>
      </c>
      <c r="AD1525" t="str">
        <f t="shared" ca="1" si="296"/>
        <v>0</v>
      </c>
      <c r="AE1525" t="str">
        <f t="shared" ca="1" si="297"/>
        <v/>
      </c>
      <c r="AF1525" s="6">
        <f t="shared" ca="1" si="298"/>
        <v>0</v>
      </c>
      <c r="AG1525">
        <f t="shared" ca="1" si="304"/>
        <v>0</v>
      </c>
      <c r="AH1525">
        <f t="shared" ca="1" si="299"/>
        <v>0</v>
      </c>
      <c r="AI1525">
        <f t="shared" ca="1" si="300"/>
        <v>0</v>
      </c>
      <c r="AJ1525">
        <f t="shared" ca="1" si="301"/>
        <v>0</v>
      </c>
      <c r="AK1525">
        <f t="shared" ca="1" si="302"/>
        <v>0</v>
      </c>
      <c r="AL1525">
        <f t="shared" ca="1" si="303"/>
        <v>0</v>
      </c>
    </row>
    <row r="1526" spans="1:38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#N/A, OFFSET(data!$A$1, ROW()-1, AA$1-1))</f>
        <v>0</v>
      </c>
      <c r="AB1526">
        <f t="shared" ca="1" si="294"/>
        <v>0</v>
      </c>
      <c r="AC1526" t="e">
        <f t="shared" ca="1" si="295"/>
        <v>#VALUE!</v>
      </c>
      <c r="AD1526" t="str">
        <f t="shared" ca="1" si="296"/>
        <v>0</v>
      </c>
      <c r="AE1526" t="str">
        <f t="shared" ca="1" si="297"/>
        <v/>
      </c>
      <c r="AF1526" s="6">
        <f t="shared" ca="1" si="298"/>
        <v>0</v>
      </c>
      <c r="AG1526">
        <f t="shared" ca="1" si="304"/>
        <v>0</v>
      </c>
      <c r="AH1526">
        <f t="shared" ca="1" si="299"/>
        <v>0</v>
      </c>
      <c r="AI1526">
        <f t="shared" ca="1" si="300"/>
        <v>0</v>
      </c>
      <c r="AJ1526">
        <f t="shared" ca="1" si="301"/>
        <v>0</v>
      </c>
      <c r="AK1526">
        <f t="shared" ca="1" si="302"/>
        <v>0</v>
      </c>
      <c r="AL1526">
        <f t="shared" ca="1" si="303"/>
        <v>0</v>
      </c>
    </row>
    <row r="1527" spans="1:38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#N/A, OFFSET(data!$A$1, ROW()-1, AA$1-1))</f>
        <v>0</v>
      </c>
      <c r="AB1527">
        <f t="shared" ca="1" si="294"/>
        <v>0</v>
      </c>
      <c r="AC1527" t="e">
        <f t="shared" ca="1" si="295"/>
        <v>#VALUE!</v>
      </c>
      <c r="AD1527" t="str">
        <f t="shared" ca="1" si="296"/>
        <v>0</v>
      </c>
      <c r="AE1527" t="str">
        <f t="shared" ca="1" si="297"/>
        <v/>
      </c>
      <c r="AF1527" s="6">
        <f t="shared" ca="1" si="298"/>
        <v>0</v>
      </c>
      <c r="AG1527">
        <f t="shared" ca="1" si="304"/>
        <v>0</v>
      </c>
      <c r="AH1527">
        <f t="shared" ca="1" si="299"/>
        <v>0</v>
      </c>
      <c r="AI1527">
        <f t="shared" ca="1" si="300"/>
        <v>0</v>
      </c>
      <c r="AJ1527">
        <f t="shared" ca="1" si="301"/>
        <v>0</v>
      </c>
      <c r="AK1527">
        <f t="shared" ca="1" si="302"/>
        <v>0</v>
      </c>
      <c r="AL1527">
        <f t="shared" ca="1" si="303"/>
        <v>0</v>
      </c>
    </row>
    <row r="1528" spans="1:38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#N/A, OFFSET(data!$A$1, ROW()-1, AA$1-1))</f>
        <v>0</v>
      </c>
      <c r="AB1528">
        <f t="shared" ca="1" si="294"/>
        <v>0</v>
      </c>
      <c r="AC1528" t="e">
        <f t="shared" ca="1" si="295"/>
        <v>#VALUE!</v>
      </c>
      <c r="AD1528" t="str">
        <f t="shared" ca="1" si="296"/>
        <v>0</v>
      </c>
      <c r="AE1528" t="str">
        <f t="shared" ca="1" si="297"/>
        <v/>
      </c>
      <c r="AF1528" s="6">
        <f t="shared" ca="1" si="298"/>
        <v>0</v>
      </c>
      <c r="AG1528">
        <f t="shared" ca="1" si="304"/>
        <v>0</v>
      </c>
      <c r="AH1528">
        <f t="shared" ca="1" si="299"/>
        <v>0</v>
      </c>
      <c r="AI1528">
        <f t="shared" ca="1" si="300"/>
        <v>0</v>
      </c>
      <c r="AJ1528">
        <f t="shared" ca="1" si="301"/>
        <v>0</v>
      </c>
      <c r="AK1528">
        <f t="shared" ca="1" si="302"/>
        <v>0</v>
      </c>
      <c r="AL1528">
        <f t="shared" ca="1" si="303"/>
        <v>0</v>
      </c>
    </row>
    <row r="1529" spans="1:38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#N/A, OFFSET(data!$A$1, ROW()-1, AA$1-1))</f>
        <v>0</v>
      </c>
      <c r="AB1529">
        <f t="shared" ca="1" si="294"/>
        <v>0</v>
      </c>
      <c r="AC1529" t="e">
        <f t="shared" ca="1" si="295"/>
        <v>#VALUE!</v>
      </c>
      <c r="AD1529" t="str">
        <f t="shared" ca="1" si="296"/>
        <v>0</v>
      </c>
      <c r="AE1529" t="str">
        <f t="shared" ca="1" si="297"/>
        <v/>
      </c>
      <c r="AF1529" s="6">
        <f t="shared" ca="1" si="298"/>
        <v>0</v>
      </c>
      <c r="AG1529">
        <f t="shared" ca="1" si="304"/>
        <v>0</v>
      </c>
      <c r="AH1529">
        <f t="shared" ca="1" si="299"/>
        <v>0</v>
      </c>
      <c r="AI1529">
        <f t="shared" ca="1" si="300"/>
        <v>0</v>
      </c>
      <c r="AJ1529">
        <f t="shared" ca="1" si="301"/>
        <v>0</v>
      </c>
      <c r="AK1529">
        <f t="shared" ca="1" si="302"/>
        <v>0</v>
      </c>
      <c r="AL1529">
        <f t="shared" ca="1" si="303"/>
        <v>0</v>
      </c>
    </row>
    <row r="1530" spans="1:38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#N/A, OFFSET(data!$A$1, ROW()-1, AA$1-1))</f>
        <v>0</v>
      </c>
      <c r="AB1530">
        <f t="shared" ca="1" si="294"/>
        <v>0</v>
      </c>
      <c r="AC1530" t="e">
        <f t="shared" ca="1" si="295"/>
        <v>#VALUE!</v>
      </c>
      <c r="AD1530" t="str">
        <f t="shared" ca="1" si="296"/>
        <v>0</v>
      </c>
      <c r="AE1530" t="str">
        <f t="shared" ca="1" si="297"/>
        <v/>
      </c>
      <c r="AF1530" s="6">
        <f t="shared" ca="1" si="298"/>
        <v>0</v>
      </c>
      <c r="AG1530">
        <f t="shared" ca="1" si="304"/>
        <v>0</v>
      </c>
      <c r="AH1530">
        <f t="shared" ca="1" si="299"/>
        <v>0</v>
      </c>
      <c r="AI1530">
        <f t="shared" ca="1" si="300"/>
        <v>0</v>
      </c>
      <c r="AJ1530">
        <f t="shared" ca="1" si="301"/>
        <v>0</v>
      </c>
      <c r="AK1530">
        <f t="shared" ca="1" si="302"/>
        <v>0</v>
      </c>
      <c r="AL1530">
        <f t="shared" ca="1" si="303"/>
        <v>0</v>
      </c>
    </row>
    <row r="1531" spans="1:38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#N/A, OFFSET(data!$A$1, ROW()-1, AA$1-1))</f>
        <v>0</v>
      </c>
      <c r="AB1531">
        <f t="shared" ca="1" si="294"/>
        <v>0</v>
      </c>
      <c r="AC1531" t="e">
        <f t="shared" ca="1" si="295"/>
        <v>#VALUE!</v>
      </c>
      <c r="AD1531" t="str">
        <f t="shared" ca="1" si="296"/>
        <v>0</v>
      </c>
      <c r="AE1531" t="str">
        <f t="shared" ca="1" si="297"/>
        <v/>
      </c>
      <c r="AF1531" s="6">
        <f t="shared" ca="1" si="298"/>
        <v>0</v>
      </c>
      <c r="AG1531">
        <f t="shared" ca="1" si="304"/>
        <v>0</v>
      </c>
      <c r="AH1531">
        <f t="shared" ca="1" si="299"/>
        <v>0</v>
      </c>
      <c r="AI1531">
        <f t="shared" ca="1" si="300"/>
        <v>0</v>
      </c>
      <c r="AJ1531">
        <f t="shared" ca="1" si="301"/>
        <v>0</v>
      </c>
      <c r="AK1531">
        <f t="shared" ca="1" si="302"/>
        <v>0</v>
      </c>
      <c r="AL1531">
        <f t="shared" ca="1" si="303"/>
        <v>0</v>
      </c>
    </row>
    <row r="1532" spans="1:38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#N/A, OFFSET(data!$A$1, ROW()-1, AA$1-1))</f>
        <v>0</v>
      </c>
      <c r="AB1532">
        <f t="shared" ca="1" si="294"/>
        <v>0</v>
      </c>
      <c r="AC1532" t="e">
        <f t="shared" ca="1" si="295"/>
        <v>#VALUE!</v>
      </c>
      <c r="AD1532" t="str">
        <f t="shared" ca="1" si="296"/>
        <v>0</v>
      </c>
      <c r="AE1532" t="str">
        <f t="shared" ca="1" si="297"/>
        <v/>
      </c>
      <c r="AF1532" s="6">
        <f t="shared" ca="1" si="298"/>
        <v>0</v>
      </c>
      <c r="AG1532">
        <f t="shared" ca="1" si="304"/>
        <v>0</v>
      </c>
      <c r="AH1532">
        <f t="shared" ca="1" si="299"/>
        <v>0</v>
      </c>
      <c r="AI1532">
        <f t="shared" ca="1" si="300"/>
        <v>0</v>
      </c>
      <c r="AJ1532">
        <f t="shared" ca="1" si="301"/>
        <v>0</v>
      </c>
      <c r="AK1532">
        <f t="shared" ca="1" si="302"/>
        <v>0</v>
      </c>
      <c r="AL1532">
        <f t="shared" ca="1" si="303"/>
        <v>0</v>
      </c>
    </row>
    <row r="1533" spans="1:38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#N/A, OFFSET(data!$A$1, ROW()-1, AA$1-1))</f>
        <v>0</v>
      </c>
      <c r="AB1533">
        <f t="shared" ca="1" si="294"/>
        <v>0</v>
      </c>
      <c r="AC1533" t="e">
        <f t="shared" ca="1" si="295"/>
        <v>#VALUE!</v>
      </c>
      <c r="AD1533" t="str">
        <f t="shared" ca="1" si="296"/>
        <v>0</v>
      </c>
      <c r="AE1533" t="str">
        <f t="shared" ca="1" si="297"/>
        <v/>
      </c>
      <c r="AF1533" s="6">
        <f t="shared" ca="1" si="298"/>
        <v>0</v>
      </c>
      <c r="AG1533">
        <f t="shared" ca="1" si="304"/>
        <v>0</v>
      </c>
      <c r="AH1533">
        <f t="shared" ca="1" si="299"/>
        <v>0</v>
      </c>
      <c r="AI1533">
        <f t="shared" ca="1" si="300"/>
        <v>0</v>
      </c>
      <c r="AJ1533">
        <f t="shared" ca="1" si="301"/>
        <v>0</v>
      </c>
      <c r="AK1533">
        <f t="shared" ca="1" si="302"/>
        <v>0</v>
      </c>
      <c r="AL1533">
        <f t="shared" ca="1" si="303"/>
        <v>0</v>
      </c>
    </row>
    <row r="1534" spans="1:38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#N/A, OFFSET(data!$A$1, ROW()-1, AA$1-1))</f>
        <v>0</v>
      </c>
      <c r="AB1534">
        <f t="shared" ca="1" si="294"/>
        <v>0</v>
      </c>
      <c r="AC1534" t="e">
        <f t="shared" ca="1" si="295"/>
        <v>#VALUE!</v>
      </c>
      <c r="AD1534" t="str">
        <f t="shared" ca="1" si="296"/>
        <v>0</v>
      </c>
      <c r="AE1534" t="str">
        <f t="shared" ca="1" si="297"/>
        <v/>
      </c>
      <c r="AF1534" s="6">
        <f t="shared" ca="1" si="298"/>
        <v>0</v>
      </c>
      <c r="AG1534">
        <f t="shared" ca="1" si="304"/>
        <v>0</v>
      </c>
      <c r="AH1534">
        <f t="shared" ca="1" si="299"/>
        <v>0</v>
      </c>
      <c r="AI1534">
        <f t="shared" ca="1" si="300"/>
        <v>0</v>
      </c>
      <c r="AJ1534">
        <f t="shared" ca="1" si="301"/>
        <v>0</v>
      </c>
      <c r="AK1534">
        <f t="shared" ca="1" si="302"/>
        <v>0</v>
      </c>
      <c r="AL1534">
        <f t="shared" ca="1" si="303"/>
        <v>0</v>
      </c>
    </row>
    <row r="1535" spans="1:38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#N/A, OFFSET(data!$A$1, ROW()-1, AA$1-1))</f>
        <v>0</v>
      </c>
      <c r="AB1535">
        <f t="shared" ca="1" si="294"/>
        <v>0</v>
      </c>
      <c r="AC1535" t="e">
        <f t="shared" ca="1" si="295"/>
        <v>#VALUE!</v>
      </c>
      <c r="AD1535" t="str">
        <f t="shared" ca="1" si="296"/>
        <v>0</v>
      </c>
      <c r="AE1535" t="str">
        <f t="shared" ca="1" si="297"/>
        <v/>
      </c>
      <c r="AF1535" s="6">
        <f t="shared" ca="1" si="298"/>
        <v>0</v>
      </c>
      <c r="AG1535">
        <f t="shared" ca="1" si="304"/>
        <v>0</v>
      </c>
      <c r="AH1535">
        <f t="shared" ca="1" si="299"/>
        <v>0</v>
      </c>
      <c r="AI1535">
        <f t="shared" ca="1" si="300"/>
        <v>0</v>
      </c>
      <c r="AJ1535">
        <f t="shared" ca="1" si="301"/>
        <v>0</v>
      </c>
      <c r="AK1535">
        <f t="shared" ca="1" si="302"/>
        <v>0</v>
      </c>
      <c r="AL1535">
        <f t="shared" ca="1" si="303"/>
        <v>0</v>
      </c>
    </row>
    <row r="1536" spans="1:38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#N/A, OFFSET(data!$A$1, ROW()-1, AA$1-1))</f>
        <v>0</v>
      </c>
      <c r="AB1536">
        <f t="shared" ca="1" si="294"/>
        <v>0</v>
      </c>
      <c r="AC1536" t="e">
        <f t="shared" ca="1" si="295"/>
        <v>#VALUE!</v>
      </c>
      <c r="AD1536" t="str">
        <f t="shared" ca="1" si="296"/>
        <v>0</v>
      </c>
      <c r="AE1536" t="str">
        <f t="shared" ca="1" si="297"/>
        <v/>
      </c>
      <c r="AF1536" s="6">
        <f t="shared" ca="1" si="298"/>
        <v>0</v>
      </c>
      <c r="AG1536">
        <f t="shared" ca="1" si="304"/>
        <v>0</v>
      </c>
      <c r="AH1536">
        <f t="shared" ca="1" si="299"/>
        <v>0</v>
      </c>
      <c r="AI1536">
        <f t="shared" ca="1" si="300"/>
        <v>0</v>
      </c>
      <c r="AJ1536">
        <f t="shared" ca="1" si="301"/>
        <v>0</v>
      </c>
      <c r="AK1536">
        <f t="shared" ca="1" si="302"/>
        <v>0</v>
      </c>
      <c r="AL1536">
        <f t="shared" ca="1" si="303"/>
        <v>0</v>
      </c>
    </row>
    <row r="1537" spans="1:38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#N/A, OFFSET(data!$A$1, ROW()-1, AA$1-1))</f>
        <v>0</v>
      </c>
      <c r="AB1537">
        <f t="shared" ca="1" si="294"/>
        <v>0</v>
      </c>
      <c r="AC1537" t="e">
        <f t="shared" ca="1" si="295"/>
        <v>#VALUE!</v>
      </c>
      <c r="AD1537" t="str">
        <f t="shared" ca="1" si="296"/>
        <v>0</v>
      </c>
      <c r="AE1537" t="str">
        <f t="shared" ca="1" si="297"/>
        <v/>
      </c>
      <c r="AF1537" s="6">
        <f t="shared" ca="1" si="298"/>
        <v>0</v>
      </c>
      <c r="AG1537">
        <f t="shared" ca="1" si="304"/>
        <v>0</v>
      </c>
      <c r="AH1537">
        <f t="shared" ca="1" si="299"/>
        <v>0</v>
      </c>
      <c r="AI1537">
        <f t="shared" ca="1" si="300"/>
        <v>0</v>
      </c>
      <c r="AJ1537">
        <f t="shared" ca="1" si="301"/>
        <v>0</v>
      </c>
      <c r="AK1537">
        <f t="shared" ca="1" si="302"/>
        <v>0</v>
      </c>
      <c r="AL1537">
        <f t="shared" ca="1" si="303"/>
        <v>0</v>
      </c>
    </row>
    <row r="1538" spans="1:38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#N/A, OFFSET(data!$A$1, ROW()-1, AA$1-1))</f>
        <v>0</v>
      </c>
      <c r="AB1538">
        <f t="shared" ca="1" si="294"/>
        <v>0</v>
      </c>
      <c r="AC1538" t="e">
        <f t="shared" ca="1" si="295"/>
        <v>#VALUE!</v>
      </c>
      <c r="AD1538" t="str">
        <f t="shared" ca="1" si="296"/>
        <v>0</v>
      </c>
      <c r="AE1538" t="str">
        <f t="shared" ca="1" si="297"/>
        <v/>
      </c>
      <c r="AF1538" s="6">
        <f t="shared" ca="1" si="298"/>
        <v>0</v>
      </c>
      <c r="AG1538">
        <f t="shared" ca="1" si="304"/>
        <v>0</v>
      </c>
      <c r="AH1538">
        <f t="shared" ca="1" si="299"/>
        <v>0</v>
      </c>
      <c r="AI1538">
        <f t="shared" ca="1" si="300"/>
        <v>0</v>
      </c>
      <c r="AJ1538">
        <f t="shared" ca="1" si="301"/>
        <v>0</v>
      </c>
      <c r="AK1538">
        <f t="shared" ca="1" si="302"/>
        <v>0</v>
      </c>
      <c r="AL1538">
        <f t="shared" ca="1" si="303"/>
        <v>0</v>
      </c>
    </row>
    <row r="1539" spans="1:38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#N/A, OFFSET(data!$A$1, ROW()-1, AA$1-1))</f>
        <v>0</v>
      </c>
      <c r="AB1539">
        <f t="shared" ref="AB1539:AB1602" ca="1" si="305">VALUE(LEFT(C1539, 4))</f>
        <v>0</v>
      </c>
      <c r="AC1539" t="e">
        <f t="shared" ref="AC1539:AC1602" ca="1" si="306">VALUE(MID(C1539, 6, 2))</f>
        <v>#VALUE!</v>
      </c>
      <c r="AD1539" t="str">
        <f t="shared" ref="AD1539:AD1602" ca="1" si="307">SUBSTITUTE(MID(C1539,6,6)&amp;LEFT(C1539,4), "-", "/")</f>
        <v>0</v>
      </c>
      <c r="AE1539" t="str">
        <f t="shared" ref="AE1539:AE1602" ca="1" si="308">IF(RIGHT(C1539, 5)="12:00", AD1539, "")</f>
        <v/>
      </c>
      <c r="AF1539" s="6">
        <f t="shared" ref="AF1539:AF1602" ca="1" si="309">Z1539/1000</f>
        <v>0</v>
      </c>
      <c r="AG1539">
        <f t="shared" ca="1" si="304"/>
        <v>0</v>
      </c>
      <c r="AH1539">
        <f t="shared" ca="1" si="299"/>
        <v>0</v>
      </c>
      <c r="AI1539">
        <f t="shared" ca="1" si="300"/>
        <v>0</v>
      </c>
      <c r="AJ1539">
        <f t="shared" ca="1" si="301"/>
        <v>0</v>
      </c>
      <c r="AK1539">
        <f t="shared" ca="1" si="302"/>
        <v>0</v>
      </c>
      <c r="AL1539">
        <f t="shared" ca="1" si="303"/>
        <v>0</v>
      </c>
    </row>
    <row r="1540" spans="1:38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#N/A, OFFSET(data!$A$1, ROW()-1, AA$1-1))</f>
        <v>0</v>
      </c>
      <c r="AB1540">
        <f t="shared" ca="1" si="305"/>
        <v>0</v>
      </c>
      <c r="AC1540" t="e">
        <f t="shared" ca="1" si="306"/>
        <v>#VALUE!</v>
      </c>
      <c r="AD1540" t="str">
        <f t="shared" ca="1" si="307"/>
        <v>0</v>
      </c>
      <c r="AE1540" t="str">
        <f t="shared" ca="1" si="308"/>
        <v/>
      </c>
      <c r="AF1540" s="6">
        <f t="shared" ca="1" si="309"/>
        <v>0</v>
      </c>
      <c r="AG1540">
        <f t="shared" ca="1" si="304"/>
        <v>0</v>
      </c>
      <c r="AH1540">
        <f t="shared" ref="AH1540:AH1603" ca="1" si="310">MAX(S1540,Y1540)</f>
        <v>0</v>
      </c>
      <c r="AI1540">
        <f t="shared" ref="AI1540:AI1603" ca="1" si="311">MAX(R1540,V1540)</f>
        <v>0</v>
      </c>
      <c r="AJ1540">
        <f t="shared" ref="AJ1540:AJ1603" ca="1" si="312">K1540+N1540</f>
        <v>0</v>
      </c>
      <c r="AK1540">
        <f t="shared" ref="AK1540:AK1603" ca="1" si="313">L1540+O1540</f>
        <v>0</v>
      </c>
      <c r="AL1540">
        <f t="shared" ref="AL1540:AL1603" ca="1" si="314">M1540+P1540</f>
        <v>0</v>
      </c>
    </row>
    <row r="1541" spans="1:38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#N/A, OFFSET(data!$A$1, ROW()-1, AA$1-1))</f>
        <v>0</v>
      </c>
      <c r="AB1541">
        <f t="shared" ca="1" si="305"/>
        <v>0</v>
      </c>
      <c r="AC1541" t="e">
        <f t="shared" ca="1" si="306"/>
        <v>#VALUE!</v>
      </c>
      <c r="AD1541" t="str">
        <f t="shared" ca="1" si="307"/>
        <v>0</v>
      </c>
      <c r="AE1541" t="str">
        <f t="shared" ca="1" si="308"/>
        <v/>
      </c>
      <c r="AF1541" s="6">
        <f t="shared" ca="1" si="309"/>
        <v>0</v>
      </c>
      <c r="AG1541">
        <f t="shared" ca="1" si="304"/>
        <v>0</v>
      </c>
      <c r="AH1541">
        <f t="shared" ca="1" si="310"/>
        <v>0</v>
      </c>
      <c r="AI1541">
        <f t="shared" ca="1" si="311"/>
        <v>0</v>
      </c>
      <c r="AJ1541">
        <f t="shared" ca="1" si="312"/>
        <v>0</v>
      </c>
      <c r="AK1541">
        <f t="shared" ca="1" si="313"/>
        <v>0</v>
      </c>
      <c r="AL1541">
        <f t="shared" ca="1" si="314"/>
        <v>0</v>
      </c>
    </row>
    <row r="1542" spans="1:38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#N/A, OFFSET(data!$A$1, ROW()-1, AA$1-1))</f>
        <v>0</v>
      </c>
      <c r="AB1542">
        <f t="shared" ca="1" si="305"/>
        <v>0</v>
      </c>
      <c r="AC1542" t="e">
        <f t="shared" ca="1" si="306"/>
        <v>#VALUE!</v>
      </c>
      <c r="AD1542" t="str">
        <f t="shared" ca="1" si="307"/>
        <v>0</v>
      </c>
      <c r="AE1542" t="str">
        <f t="shared" ca="1" si="308"/>
        <v/>
      </c>
      <c r="AF1542" s="6">
        <f t="shared" ca="1" si="309"/>
        <v>0</v>
      </c>
      <c r="AG1542">
        <f t="shared" ca="1" si="304"/>
        <v>0</v>
      </c>
      <c r="AH1542">
        <f t="shared" ca="1" si="310"/>
        <v>0</v>
      </c>
      <c r="AI1542">
        <f t="shared" ca="1" si="311"/>
        <v>0</v>
      </c>
      <c r="AJ1542">
        <f t="shared" ca="1" si="312"/>
        <v>0</v>
      </c>
      <c r="AK1542">
        <f t="shared" ca="1" si="313"/>
        <v>0</v>
      </c>
      <c r="AL1542">
        <f t="shared" ca="1" si="314"/>
        <v>0</v>
      </c>
    </row>
    <row r="1543" spans="1:38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#N/A, OFFSET(data!$A$1, ROW()-1, AA$1-1))</f>
        <v>0</v>
      </c>
      <c r="AB1543">
        <f t="shared" ca="1" si="305"/>
        <v>0</v>
      </c>
      <c r="AC1543" t="e">
        <f t="shared" ca="1" si="306"/>
        <v>#VALUE!</v>
      </c>
      <c r="AD1543" t="str">
        <f t="shared" ca="1" si="307"/>
        <v>0</v>
      </c>
      <c r="AE1543" t="str">
        <f t="shared" ca="1" si="308"/>
        <v/>
      </c>
      <c r="AF1543" s="6">
        <f t="shared" ca="1" si="309"/>
        <v>0</v>
      </c>
      <c r="AG1543">
        <f t="shared" ca="1" si="304"/>
        <v>0</v>
      </c>
      <c r="AH1543">
        <f t="shared" ca="1" si="310"/>
        <v>0</v>
      </c>
      <c r="AI1543">
        <f t="shared" ca="1" si="311"/>
        <v>0</v>
      </c>
      <c r="AJ1543">
        <f t="shared" ca="1" si="312"/>
        <v>0</v>
      </c>
      <c r="AK1543">
        <f t="shared" ca="1" si="313"/>
        <v>0</v>
      </c>
      <c r="AL1543">
        <f t="shared" ca="1" si="314"/>
        <v>0</v>
      </c>
    </row>
    <row r="1544" spans="1:38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#N/A, OFFSET(data!$A$1, ROW()-1, AA$1-1))</f>
        <v>0</v>
      </c>
      <c r="AB1544">
        <f t="shared" ca="1" si="305"/>
        <v>0</v>
      </c>
      <c r="AC1544" t="e">
        <f t="shared" ca="1" si="306"/>
        <v>#VALUE!</v>
      </c>
      <c r="AD1544" t="str">
        <f t="shared" ca="1" si="307"/>
        <v>0</v>
      </c>
      <c r="AE1544" t="str">
        <f t="shared" ca="1" si="308"/>
        <v/>
      </c>
      <c r="AF1544" s="6">
        <f t="shared" ca="1" si="309"/>
        <v>0</v>
      </c>
      <c r="AG1544">
        <f t="shared" ca="1" si="304"/>
        <v>0</v>
      </c>
      <c r="AH1544">
        <f t="shared" ca="1" si="310"/>
        <v>0</v>
      </c>
      <c r="AI1544">
        <f t="shared" ca="1" si="311"/>
        <v>0</v>
      </c>
      <c r="AJ1544">
        <f t="shared" ca="1" si="312"/>
        <v>0</v>
      </c>
      <c r="AK1544">
        <f t="shared" ca="1" si="313"/>
        <v>0</v>
      </c>
      <c r="AL1544">
        <f t="shared" ca="1" si="314"/>
        <v>0</v>
      </c>
    </row>
    <row r="1545" spans="1:38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#N/A, OFFSET(data!$A$1, ROW()-1, AA$1-1))</f>
        <v>0</v>
      </c>
      <c r="AB1545">
        <f t="shared" ca="1" si="305"/>
        <v>0</v>
      </c>
      <c r="AC1545" t="e">
        <f t="shared" ca="1" si="306"/>
        <v>#VALUE!</v>
      </c>
      <c r="AD1545" t="str">
        <f t="shared" ca="1" si="307"/>
        <v>0</v>
      </c>
      <c r="AE1545" t="str">
        <f t="shared" ca="1" si="308"/>
        <v/>
      </c>
      <c r="AF1545" s="6">
        <f t="shared" ca="1" si="309"/>
        <v>0</v>
      </c>
      <c r="AG1545">
        <f t="shared" ca="1" si="304"/>
        <v>0</v>
      </c>
      <c r="AH1545">
        <f t="shared" ca="1" si="310"/>
        <v>0</v>
      </c>
      <c r="AI1545">
        <f t="shared" ca="1" si="311"/>
        <v>0</v>
      </c>
      <c r="AJ1545">
        <f t="shared" ca="1" si="312"/>
        <v>0</v>
      </c>
      <c r="AK1545">
        <f t="shared" ca="1" si="313"/>
        <v>0</v>
      </c>
      <c r="AL1545">
        <f t="shared" ca="1" si="314"/>
        <v>0</v>
      </c>
    </row>
    <row r="1546" spans="1:38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#N/A, OFFSET(data!$A$1, ROW()-1, AA$1-1))</f>
        <v>0</v>
      </c>
      <c r="AB1546">
        <f t="shared" ca="1" si="305"/>
        <v>0</v>
      </c>
      <c r="AC1546" t="e">
        <f t="shared" ca="1" si="306"/>
        <v>#VALUE!</v>
      </c>
      <c r="AD1546" t="str">
        <f t="shared" ca="1" si="307"/>
        <v>0</v>
      </c>
      <c r="AE1546" t="str">
        <f t="shared" ca="1" si="308"/>
        <v/>
      </c>
      <c r="AF1546" s="6">
        <f t="shared" ca="1" si="309"/>
        <v>0</v>
      </c>
      <c r="AG1546">
        <f t="shared" ca="1" si="304"/>
        <v>0</v>
      </c>
      <c r="AH1546">
        <f t="shared" ca="1" si="310"/>
        <v>0</v>
      </c>
      <c r="AI1546">
        <f t="shared" ca="1" si="311"/>
        <v>0</v>
      </c>
      <c r="AJ1546">
        <f t="shared" ca="1" si="312"/>
        <v>0</v>
      </c>
      <c r="AK1546">
        <f t="shared" ca="1" si="313"/>
        <v>0</v>
      </c>
      <c r="AL1546">
        <f t="shared" ca="1" si="314"/>
        <v>0</v>
      </c>
    </row>
    <row r="1547" spans="1:38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#N/A, OFFSET(data!$A$1, ROW()-1, AA$1-1))</f>
        <v>0</v>
      </c>
      <c r="AB1547">
        <f t="shared" ca="1" si="305"/>
        <v>0</v>
      </c>
      <c r="AC1547" t="e">
        <f t="shared" ca="1" si="306"/>
        <v>#VALUE!</v>
      </c>
      <c r="AD1547" t="str">
        <f t="shared" ca="1" si="307"/>
        <v>0</v>
      </c>
      <c r="AE1547" t="str">
        <f t="shared" ca="1" si="308"/>
        <v/>
      </c>
      <c r="AF1547" s="6">
        <f t="shared" ca="1" si="309"/>
        <v>0</v>
      </c>
      <c r="AG1547">
        <f t="shared" ca="1" si="304"/>
        <v>0</v>
      </c>
      <c r="AH1547">
        <f t="shared" ca="1" si="310"/>
        <v>0</v>
      </c>
      <c r="AI1547">
        <f t="shared" ca="1" si="311"/>
        <v>0</v>
      </c>
      <c r="AJ1547">
        <f t="shared" ca="1" si="312"/>
        <v>0</v>
      </c>
      <c r="AK1547">
        <f t="shared" ca="1" si="313"/>
        <v>0</v>
      </c>
      <c r="AL1547">
        <f t="shared" ca="1" si="314"/>
        <v>0</v>
      </c>
    </row>
    <row r="1548" spans="1:38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#N/A, OFFSET(data!$A$1, ROW()-1, AA$1-1))</f>
        <v>0</v>
      </c>
      <c r="AB1548">
        <f t="shared" ca="1" si="305"/>
        <v>0</v>
      </c>
      <c r="AC1548" t="e">
        <f t="shared" ca="1" si="306"/>
        <v>#VALUE!</v>
      </c>
      <c r="AD1548" t="str">
        <f t="shared" ca="1" si="307"/>
        <v>0</v>
      </c>
      <c r="AE1548" t="str">
        <f t="shared" ca="1" si="308"/>
        <v/>
      </c>
      <c r="AF1548" s="6">
        <f t="shared" ca="1" si="309"/>
        <v>0</v>
      </c>
      <c r="AG1548">
        <f t="shared" ca="1" si="304"/>
        <v>0</v>
      </c>
      <c r="AH1548">
        <f t="shared" ca="1" si="310"/>
        <v>0</v>
      </c>
      <c r="AI1548">
        <f t="shared" ca="1" si="311"/>
        <v>0</v>
      </c>
      <c r="AJ1548">
        <f t="shared" ca="1" si="312"/>
        <v>0</v>
      </c>
      <c r="AK1548">
        <f t="shared" ca="1" si="313"/>
        <v>0</v>
      </c>
      <c r="AL1548">
        <f t="shared" ca="1" si="314"/>
        <v>0</v>
      </c>
    </row>
    <row r="1549" spans="1:38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#N/A, OFFSET(data!$A$1, ROW()-1, AA$1-1))</f>
        <v>0</v>
      </c>
      <c r="AB1549">
        <f t="shared" ca="1" si="305"/>
        <v>0</v>
      </c>
      <c r="AC1549" t="e">
        <f t="shared" ca="1" si="306"/>
        <v>#VALUE!</v>
      </c>
      <c r="AD1549" t="str">
        <f t="shared" ca="1" si="307"/>
        <v>0</v>
      </c>
      <c r="AE1549" t="str">
        <f t="shared" ca="1" si="308"/>
        <v/>
      </c>
      <c r="AF1549" s="6">
        <f t="shared" ca="1" si="309"/>
        <v>0</v>
      </c>
      <c r="AG1549">
        <f t="shared" ca="1" si="304"/>
        <v>0</v>
      </c>
      <c r="AH1549">
        <f t="shared" ca="1" si="310"/>
        <v>0</v>
      </c>
      <c r="AI1549">
        <f t="shared" ca="1" si="311"/>
        <v>0</v>
      </c>
      <c r="AJ1549">
        <f t="shared" ca="1" si="312"/>
        <v>0</v>
      </c>
      <c r="AK1549">
        <f t="shared" ca="1" si="313"/>
        <v>0</v>
      </c>
      <c r="AL1549">
        <f t="shared" ca="1" si="314"/>
        <v>0</v>
      </c>
    </row>
    <row r="1550" spans="1:38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#N/A, OFFSET(data!$A$1, ROW()-1, AA$1-1))</f>
        <v>0</v>
      </c>
      <c r="AB1550">
        <f t="shared" ca="1" si="305"/>
        <v>0</v>
      </c>
      <c r="AC1550" t="e">
        <f t="shared" ca="1" si="306"/>
        <v>#VALUE!</v>
      </c>
      <c r="AD1550" t="str">
        <f t="shared" ca="1" si="307"/>
        <v>0</v>
      </c>
      <c r="AE1550" t="str">
        <f t="shared" ca="1" si="308"/>
        <v/>
      </c>
      <c r="AF1550" s="6">
        <f t="shared" ca="1" si="309"/>
        <v>0</v>
      </c>
      <c r="AG1550">
        <f t="shared" ca="1" si="304"/>
        <v>0</v>
      </c>
      <c r="AH1550">
        <f t="shared" ca="1" si="310"/>
        <v>0</v>
      </c>
      <c r="AI1550">
        <f t="shared" ca="1" si="311"/>
        <v>0</v>
      </c>
      <c r="AJ1550">
        <f t="shared" ca="1" si="312"/>
        <v>0</v>
      </c>
      <c r="AK1550">
        <f t="shared" ca="1" si="313"/>
        <v>0</v>
      </c>
      <c r="AL1550">
        <f t="shared" ca="1" si="314"/>
        <v>0</v>
      </c>
    </row>
    <row r="1551" spans="1:38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#N/A, OFFSET(data!$A$1, ROW()-1, AA$1-1))</f>
        <v>0</v>
      </c>
      <c r="AB1551">
        <f t="shared" ca="1" si="305"/>
        <v>0</v>
      </c>
      <c r="AC1551" t="e">
        <f t="shared" ca="1" si="306"/>
        <v>#VALUE!</v>
      </c>
      <c r="AD1551" t="str">
        <f t="shared" ca="1" si="307"/>
        <v>0</v>
      </c>
      <c r="AE1551" t="str">
        <f t="shared" ca="1" si="308"/>
        <v/>
      </c>
      <c r="AF1551" s="6">
        <f t="shared" ca="1" si="309"/>
        <v>0</v>
      </c>
      <c r="AG1551">
        <f t="shared" ca="1" si="304"/>
        <v>0</v>
      </c>
      <c r="AH1551">
        <f t="shared" ca="1" si="310"/>
        <v>0</v>
      </c>
      <c r="AI1551">
        <f t="shared" ca="1" si="311"/>
        <v>0</v>
      </c>
      <c r="AJ1551">
        <f t="shared" ca="1" si="312"/>
        <v>0</v>
      </c>
      <c r="AK1551">
        <f t="shared" ca="1" si="313"/>
        <v>0</v>
      </c>
      <c r="AL1551">
        <f t="shared" ca="1" si="314"/>
        <v>0</v>
      </c>
    </row>
    <row r="1552" spans="1:38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#N/A, OFFSET(data!$A$1, ROW()-1, AA$1-1))</f>
        <v>0</v>
      </c>
      <c r="AB1552">
        <f t="shared" ca="1" si="305"/>
        <v>0</v>
      </c>
      <c r="AC1552" t="e">
        <f t="shared" ca="1" si="306"/>
        <v>#VALUE!</v>
      </c>
      <c r="AD1552" t="str">
        <f t="shared" ca="1" si="307"/>
        <v>0</v>
      </c>
      <c r="AE1552" t="str">
        <f t="shared" ca="1" si="308"/>
        <v/>
      </c>
      <c r="AF1552" s="6">
        <f t="shared" ca="1" si="309"/>
        <v>0</v>
      </c>
      <c r="AG1552">
        <f t="shared" ca="1" si="304"/>
        <v>0</v>
      </c>
      <c r="AH1552">
        <f t="shared" ca="1" si="310"/>
        <v>0</v>
      </c>
      <c r="AI1552">
        <f t="shared" ca="1" si="311"/>
        <v>0</v>
      </c>
      <c r="AJ1552">
        <f t="shared" ca="1" si="312"/>
        <v>0</v>
      </c>
      <c r="AK1552">
        <f t="shared" ca="1" si="313"/>
        <v>0</v>
      </c>
      <c r="AL1552">
        <f t="shared" ca="1" si="314"/>
        <v>0</v>
      </c>
    </row>
    <row r="1553" spans="1:38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#N/A, OFFSET(data!$A$1, ROW()-1, AA$1-1))</f>
        <v>0</v>
      </c>
      <c r="AB1553">
        <f t="shared" ca="1" si="305"/>
        <v>0</v>
      </c>
      <c r="AC1553" t="e">
        <f t="shared" ca="1" si="306"/>
        <v>#VALUE!</v>
      </c>
      <c r="AD1553" t="str">
        <f t="shared" ca="1" si="307"/>
        <v>0</v>
      </c>
      <c r="AE1553" t="str">
        <f t="shared" ca="1" si="308"/>
        <v/>
      </c>
      <c r="AF1553" s="6">
        <f t="shared" ca="1" si="309"/>
        <v>0</v>
      </c>
      <c r="AG1553">
        <f t="shared" ca="1" si="304"/>
        <v>0</v>
      </c>
      <c r="AH1553">
        <f t="shared" ca="1" si="310"/>
        <v>0</v>
      </c>
      <c r="AI1553">
        <f t="shared" ca="1" si="311"/>
        <v>0</v>
      </c>
      <c r="AJ1553">
        <f t="shared" ca="1" si="312"/>
        <v>0</v>
      </c>
      <c r="AK1553">
        <f t="shared" ca="1" si="313"/>
        <v>0</v>
      </c>
      <c r="AL1553">
        <f t="shared" ca="1" si="314"/>
        <v>0</v>
      </c>
    </row>
    <row r="1554" spans="1:38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#N/A, OFFSET(data!$A$1, ROW()-1, AA$1-1))</f>
        <v>0</v>
      </c>
      <c r="AB1554">
        <f t="shared" ca="1" si="305"/>
        <v>0</v>
      </c>
      <c r="AC1554" t="e">
        <f t="shared" ca="1" si="306"/>
        <v>#VALUE!</v>
      </c>
      <c r="AD1554" t="str">
        <f t="shared" ca="1" si="307"/>
        <v>0</v>
      </c>
      <c r="AE1554" t="str">
        <f t="shared" ca="1" si="308"/>
        <v/>
      </c>
      <c r="AF1554" s="6">
        <f t="shared" ca="1" si="309"/>
        <v>0</v>
      </c>
      <c r="AG1554">
        <f t="shared" ca="1" si="304"/>
        <v>0</v>
      </c>
      <c r="AH1554">
        <f t="shared" ca="1" si="310"/>
        <v>0</v>
      </c>
      <c r="AI1554">
        <f t="shared" ca="1" si="311"/>
        <v>0</v>
      </c>
      <c r="AJ1554">
        <f t="shared" ca="1" si="312"/>
        <v>0</v>
      </c>
      <c r="AK1554">
        <f t="shared" ca="1" si="313"/>
        <v>0</v>
      </c>
      <c r="AL1554">
        <f t="shared" ca="1" si="314"/>
        <v>0</v>
      </c>
    </row>
    <row r="1555" spans="1:38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#N/A, OFFSET(data!$A$1, ROW()-1, AA$1-1))</f>
        <v>0</v>
      </c>
      <c r="AB1555">
        <f t="shared" ca="1" si="305"/>
        <v>0</v>
      </c>
      <c r="AC1555" t="e">
        <f t="shared" ca="1" si="306"/>
        <v>#VALUE!</v>
      </c>
      <c r="AD1555" t="str">
        <f t="shared" ca="1" si="307"/>
        <v>0</v>
      </c>
      <c r="AE1555" t="str">
        <f t="shared" ca="1" si="308"/>
        <v/>
      </c>
      <c r="AF1555" s="6">
        <f t="shared" ca="1" si="309"/>
        <v>0</v>
      </c>
      <c r="AG1555">
        <f t="shared" ca="1" si="304"/>
        <v>0</v>
      </c>
      <c r="AH1555">
        <f t="shared" ca="1" si="310"/>
        <v>0</v>
      </c>
      <c r="AI1555">
        <f t="shared" ca="1" si="311"/>
        <v>0</v>
      </c>
      <c r="AJ1555">
        <f t="shared" ca="1" si="312"/>
        <v>0</v>
      </c>
      <c r="AK1555">
        <f t="shared" ca="1" si="313"/>
        <v>0</v>
      </c>
      <c r="AL1555">
        <f t="shared" ca="1" si="314"/>
        <v>0</v>
      </c>
    </row>
    <row r="1556" spans="1:38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#N/A, OFFSET(data!$A$1, ROW()-1, AA$1-1))</f>
        <v>0</v>
      </c>
      <c r="AB1556">
        <f t="shared" ca="1" si="305"/>
        <v>0</v>
      </c>
      <c r="AC1556" t="e">
        <f t="shared" ca="1" si="306"/>
        <v>#VALUE!</v>
      </c>
      <c r="AD1556" t="str">
        <f t="shared" ca="1" si="307"/>
        <v>0</v>
      </c>
      <c r="AE1556" t="str">
        <f t="shared" ca="1" si="308"/>
        <v/>
      </c>
      <c r="AF1556" s="6">
        <f t="shared" ca="1" si="309"/>
        <v>0</v>
      </c>
      <c r="AG1556">
        <f t="shared" ca="1" si="304"/>
        <v>0</v>
      </c>
      <c r="AH1556">
        <f t="shared" ca="1" si="310"/>
        <v>0</v>
      </c>
      <c r="AI1556">
        <f t="shared" ca="1" si="311"/>
        <v>0</v>
      </c>
      <c r="AJ1556">
        <f t="shared" ca="1" si="312"/>
        <v>0</v>
      </c>
      <c r="AK1556">
        <f t="shared" ca="1" si="313"/>
        <v>0</v>
      </c>
      <c r="AL1556">
        <f t="shared" ca="1" si="314"/>
        <v>0</v>
      </c>
    </row>
    <row r="1557" spans="1:38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#N/A, OFFSET(data!$A$1, ROW()-1, AA$1-1))</f>
        <v>0</v>
      </c>
      <c r="AB1557">
        <f t="shared" ca="1" si="305"/>
        <v>0</v>
      </c>
      <c r="AC1557" t="e">
        <f t="shared" ca="1" si="306"/>
        <v>#VALUE!</v>
      </c>
      <c r="AD1557" t="str">
        <f t="shared" ca="1" si="307"/>
        <v>0</v>
      </c>
      <c r="AE1557" t="str">
        <f t="shared" ca="1" si="308"/>
        <v/>
      </c>
      <c r="AF1557" s="6">
        <f t="shared" ca="1" si="309"/>
        <v>0</v>
      </c>
      <c r="AG1557">
        <f t="shared" ca="1" si="304"/>
        <v>0</v>
      </c>
      <c r="AH1557">
        <f t="shared" ca="1" si="310"/>
        <v>0</v>
      </c>
      <c r="AI1557">
        <f t="shared" ca="1" si="311"/>
        <v>0</v>
      </c>
      <c r="AJ1557">
        <f t="shared" ca="1" si="312"/>
        <v>0</v>
      </c>
      <c r="AK1557">
        <f t="shared" ca="1" si="313"/>
        <v>0</v>
      </c>
      <c r="AL1557">
        <f t="shared" ca="1" si="314"/>
        <v>0</v>
      </c>
    </row>
    <row r="1558" spans="1:38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#N/A, OFFSET(data!$A$1, ROW()-1, AA$1-1))</f>
        <v>0</v>
      </c>
      <c r="AB1558">
        <f t="shared" ca="1" si="305"/>
        <v>0</v>
      </c>
      <c r="AC1558" t="e">
        <f t="shared" ca="1" si="306"/>
        <v>#VALUE!</v>
      </c>
      <c r="AD1558" t="str">
        <f t="shared" ca="1" si="307"/>
        <v>0</v>
      </c>
      <c r="AE1558" t="str">
        <f t="shared" ca="1" si="308"/>
        <v/>
      </c>
      <c r="AF1558" s="6">
        <f t="shared" ca="1" si="309"/>
        <v>0</v>
      </c>
      <c r="AG1558">
        <f t="shared" ca="1" si="304"/>
        <v>0</v>
      </c>
      <c r="AH1558">
        <f t="shared" ca="1" si="310"/>
        <v>0</v>
      </c>
      <c r="AI1558">
        <f t="shared" ca="1" si="311"/>
        <v>0</v>
      </c>
      <c r="AJ1558">
        <f t="shared" ca="1" si="312"/>
        <v>0</v>
      </c>
      <c r="AK1558">
        <f t="shared" ca="1" si="313"/>
        <v>0</v>
      </c>
      <c r="AL1558">
        <f t="shared" ca="1" si="314"/>
        <v>0</v>
      </c>
    </row>
    <row r="1559" spans="1:38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#N/A, OFFSET(data!$A$1, ROW()-1, AA$1-1))</f>
        <v>0</v>
      </c>
      <c r="AB1559">
        <f t="shared" ca="1" si="305"/>
        <v>0</v>
      </c>
      <c r="AC1559" t="e">
        <f t="shared" ca="1" si="306"/>
        <v>#VALUE!</v>
      </c>
      <c r="AD1559" t="str">
        <f t="shared" ca="1" si="307"/>
        <v>0</v>
      </c>
      <c r="AE1559" t="str">
        <f t="shared" ca="1" si="308"/>
        <v/>
      </c>
      <c r="AF1559" s="6">
        <f t="shared" ca="1" si="309"/>
        <v>0</v>
      </c>
      <c r="AG1559">
        <f t="shared" ca="1" si="304"/>
        <v>0</v>
      </c>
      <c r="AH1559">
        <f t="shared" ca="1" si="310"/>
        <v>0</v>
      </c>
      <c r="AI1559">
        <f t="shared" ca="1" si="311"/>
        <v>0</v>
      </c>
      <c r="AJ1559">
        <f t="shared" ca="1" si="312"/>
        <v>0</v>
      </c>
      <c r="AK1559">
        <f t="shared" ca="1" si="313"/>
        <v>0</v>
      </c>
      <c r="AL1559">
        <f t="shared" ca="1" si="314"/>
        <v>0</v>
      </c>
    </row>
    <row r="1560" spans="1:38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#N/A, OFFSET(data!$A$1, ROW()-1, AA$1-1))</f>
        <v>0</v>
      </c>
      <c r="AB1560">
        <f t="shared" ca="1" si="305"/>
        <v>0</v>
      </c>
      <c r="AC1560" t="e">
        <f t="shared" ca="1" si="306"/>
        <v>#VALUE!</v>
      </c>
      <c r="AD1560" t="str">
        <f t="shared" ca="1" si="307"/>
        <v>0</v>
      </c>
      <c r="AE1560" t="str">
        <f t="shared" ca="1" si="308"/>
        <v/>
      </c>
      <c r="AF1560" s="6">
        <f t="shared" ca="1" si="309"/>
        <v>0</v>
      </c>
      <c r="AG1560">
        <f t="shared" ca="1" si="304"/>
        <v>0</v>
      </c>
      <c r="AH1560">
        <f t="shared" ca="1" si="310"/>
        <v>0</v>
      </c>
      <c r="AI1560">
        <f t="shared" ca="1" si="311"/>
        <v>0</v>
      </c>
      <c r="AJ1560">
        <f t="shared" ca="1" si="312"/>
        <v>0</v>
      </c>
      <c r="AK1560">
        <f t="shared" ca="1" si="313"/>
        <v>0</v>
      </c>
      <c r="AL1560">
        <f t="shared" ca="1" si="314"/>
        <v>0</v>
      </c>
    </row>
    <row r="1561" spans="1:38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#N/A, OFFSET(data!$A$1, ROW()-1, AA$1-1))</f>
        <v>0</v>
      </c>
      <c r="AB1561">
        <f t="shared" ca="1" si="305"/>
        <v>0</v>
      </c>
      <c r="AC1561" t="e">
        <f t="shared" ca="1" si="306"/>
        <v>#VALUE!</v>
      </c>
      <c r="AD1561" t="str">
        <f t="shared" ca="1" si="307"/>
        <v>0</v>
      </c>
      <c r="AE1561" t="str">
        <f t="shared" ca="1" si="308"/>
        <v/>
      </c>
      <c r="AF1561" s="6">
        <f t="shared" ca="1" si="309"/>
        <v>0</v>
      </c>
      <c r="AG1561">
        <f t="shared" ca="1" si="304"/>
        <v>0</v>
      </c>
      <c r="AH1561">
        <f t="shared" ca="1" si="310"/>
        <v>0</v>
      </c>
      <c r="AI1561">
        <f t="shared" ca="1" si="311"/>
        <v>0</v>
      </c>
      <c r="AJ1561">
        <f t="shared" ca="1" si="312"/>
        <v>0</v>
      </c>
      <c r="AK1561">
        <f t="shared" ca="1" si="313"/>
        <v>0</v>
      </c>
      <c r="AL1561">
        <f t="shared" ca="1" si="314"/>
        <v>0</v>
      </c>
    </row>
    <row r="1562" spans="1:38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#N/A, OFFSET(data!$A$1, ROW()-1, AA$1-1))</f>
        <v>0</v>
      </c>
      <c r="AB1562">
        <f t="shared" ca="1" si="305"/>
        <v>0</v>
      </c>
      <c r="AC1562" t="e">
        <f t="shared" ca="1" si="306"/>
        <v>#VALUE!</v>
      </c>
      <c r="AD1562" t="str">
        <f t="shared" ca="1" si="307"/>
        <v>0</v>
      </c>
      <c r="AE1562" t="str">
        <f t="shared" ca="1" si="308"/>
        <v/>
      </c>
      <c r="AF1562" s="6">
        <f t="shared" ca="1" si="309"/>
        <v>0</v>
      </c>
      <c r="AG1562">
        <f t="shared" ca="1" si="304"/>
        <v>0</v>
      </c>
      <c r="AH1562">
        <f t="shared" ca="1" si="310"/>
        <v>0</v>
      </c>
      <c r="AI1562">
        <f t="shared" ca="1" si="311"/>
        <v>0</v>
      </c>
      <c r="AJ1562">
        <f t="shared" ca="1" si="312"/>
        <v>0</v>
      </c>
      <c r="AK1562">
        <f t="shared" ca="1" si="313"/>
        <v>0</v>
      </c>
      <c r="AL1562">
        <f t="shared" ca="1" si="314"/>
        <v>0</v>
      </c>
    </row>
    <row r="1563" spans="1:38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#N/A, OFFSET(data!$A$1, ROW()-1, AA$1-1))</f>
        <v>0</v>
      </c>
      <c r="AB1563">
        <f t="shared" ca="1" si="305"/>
        <v>0</v>
      </c>
      <c r="AC1563" t="e">
        <f t="shared" ca="1" si="306"/>
        <v>#VALUE!</v>
      </c>
      <c r="AD1563" t="str">
        <f t="shared" ca="1" si="307"/>
        <v>0</v>
      </c>
      <c r="AE1563" t="str">
        <f t="shared" ca="1" si="308"/>
        <v/>
      </c>
      <c r="AF1563" s="6">
        <f t="shared" ca="1" si="309"/>
        <v>0</v>
      </c>
      <c r="AG1563">
        <f t="shared" ca="1" si="304"/>
        <v>0</v>
      </c>
      <c r="AH1563">
        <f t="shared" ca="1" si="310"/>
        <v>0</v>
      </c>
      <c r="AI1563">
        <f t="shared" ca="1" si="311"/>
        <v>0</v>
      </c>
      <c r="AJ1563">
        <f t="shared" ca="1" si="312"/>
        <v>0</v>
      </c>
      <c r="AK1563">
        <f t="shared" ca="1" si="313"/>
        <v>0</v>
      </c>
      <c r="AL1563">
        <f t="shared" ca="1" si="314"/>
        <v>0</v>
      </c>
    </row>
    <row r="1564" spans="1:38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#N/A, OFFSET(data!$A$1, ROW()-1, AA$1-1))</f>
        <v>0</v>
      </c>
      <c r="AB1564">
        <f t="shared" ca="1" si="305"/>
        <v>0</v>
      </c>
      <c r="AC1564" t="e">
        <f t="shared" ca="1" si="306"/>
        <v>#VALUE!</v>
      </c>
      <c r="AD1564" t="str">
        <f t="shared" ca="1" si="307"/>
        <v>0</v>
      </c>
      <c r="AE1564" t="str">
        <f t="shared" ca="1" si="308"/>
        <v/>
      </c>
      <c r="AF1564" s="6">
        <f t="shared" ca="1" si="309"/>
        <v>0</v>
      </c>
      <c r="AG1564">
        <f t="shared" ca="1" si="304"/>
        <v>0</v>
      </c>
      <c r="AH1564">
        <f t="shared" ca="1" si="310"/>
        <v>0</v>
      </c>
      <c r="AI1564">
        <f t="shared" ca="1" si="311"/>
        <v>0</v>
      </c>
      <c r="AJ1564">
        <f t="shared" ca="1" si="312"/>
        <v>0</v>
      </c>
      <c r="AK1564">
        <f t="shared" ca="1" si="313"/>
        <v>0</v>
      </c>
      <c r="AL1564">
        <f t="shared" ca="1" si="314"/>
        <v>0</v>
      </c>
    </row>
    <row r="1565" spans="1:38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#N/A, OFFSET(data!$A$1, ROW()-1, AA$1-1))</f>
        <v>0</v>
      </c>
      <c r="AB1565">
        <f t="shared" ca="1" si="305"/>
        <v>0</v>
      </c>
      <c r="AC1565" t="e">
        <f t="shared" ca="1" si="306"/>
        <v>#VALUE!</v>
      </c>
      <c r="AD1565" t="str">
        <f t="shared" ca="1" si="307"/>
        <v>0</v>
      </c>
      <c r="AE1565" t="str">
        <f t="shared" ca="1" si="308"/>
        <v/>
      </c>
      <c r="AF1565" s="6">
        <f t="shared" ca="1" si="309"/>
        <v>0</v>
      </c>
      <c r="AG1565">
        <f t="shared" ca="1" si="304"/>
        <v>0</v>
      </c>
      <c r="AH1565">
        <f t="shared" ca="1" si="310"/>
        <v>0</v>
      </c>
      <c r="AI1565">
        <f t="shared" ca="1" si="311"/>
        <v>0</v>
      </c>
      <c r="AJ1565">
        <f t="shared" ca="1" si="312"/>
        <v>0</v>
      </c>
      <c r="AK1565">
        <f t="shared" ca="1" si="313"/>
        <v>0</v>
      </c>
      <c r="AL1565">
        <f t="shared" ca="1" si="314"/>
        <v>0</v>
      </c>
    </row>
    <row r="1566" spans="1:38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#N/A, OFFSET(data!$A$1, ROW()-1, AA$1-1))</f>
        <v>0</v>
      </c>
      <c r="AB1566">
        <f t="shared" ca="1" si="305"/>
        <v>0</v>
      </c>
      <c r="AC1566" t="e">
        <f t="shared" ca="1" si="306"/>
        <v>#VALUE!</v>
      </c>
      <c r="AD1566" t="str">
        <f t="shared" ca="1" si="307"/>
        <v>0</v>
      </c>
      <c r="AE1566" t="str">
        <f t="shared" ca="1" si="308"/>
        <v/>
      </c>
      <c r="AF1566" s="6">
        <f t="shared" ca="1" si="309"/>
        <v>0</v>
      </c>
      <c r="AG1566">
        <f t="shared" ca="1" si="304"/>
        <v>0</v>
      </c>
      <c r="AH1566">
        <f t="shared" ca="1" si="310"/>
        <v>0</v>
      </c>
      <c r="AI1566">
        <f t="shared" ca="1" si="311"/>
        <v>0</v>
      </c>
      <c r="AJ1566">
        <f t="shared" ca="1" si="312"/>
        <v>0</v>
      </c>
      <c r="AK1566">
        <f t="shared" ca="1" si="313"/>
        <v>0</v>
      </c>
      <c r="AL1566">
        <f t="shared" ca="1" si="314"/>
        <v>0</v>
      </c>
    </row>
    <row r="1567" spans="1:38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#N/A, OFFSET(data!$A$1, ROW()-1, AA$1-1))</f>
        <v>0</v>
      </c>
      <c r="AB1567">
        <f t="shared" ca="1" si="305"/>
        <v>0</v>
      </c>
      <c r="AC1567" t="e">
        <f t="shared" ca="1" si="306"/>
        <v>#VALUE!</v>
      </c>
      <c r="AD1567" t="str">
        <f t="shared" ca="1" si="307"/>
        <v>0</v>
      </c>
      <c r="AE1567" t="str">
        <f t="shared" ca="1" si="308"/>
        <v/>
      </c>
      <c r="AF1567" s="6">
        <f t="shared" ca="1" si="309"/>
        <v>0</v>
      </c>
      <c r="AG1567">
        <f t="shared" ca="1" si="304"/>
        <v>0</v>
      </c>
      <c r="AH1567">
        <f t="shared" ca="1" si="310"/>
        <v>0</v>
      </c>
      <c r="AI1567">
        <f t="shared" ca="1" si="311"/>
        <v>0</v>
      </c>
      <c r="AJ1567">
        <f t="shared" ca="1" si="312"/>
        <v>0</v>
      </c>
      <c r="AK1567">
        <f t="shared" ca="1" si="313"/>
        <v>0</v>
      </c>
      <c r="AL1567">
        <f t="shared" ca="1" si="314"/>
        <v>0</v>
      </c>
    </row>
    <row r="1568" spans="1:38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#N/A, OFFSET(data!$A$1, ROW()-1, AA$1-1))</f>
        <v>0</v>
      </c>
      <c r="AB1568">
        <f t="shared" ca="1" si="305"/>
        <v>0</v>
      </c>
      <c r="AC1568" t="e">
        <f t="shared" ca="1" si="306"/>
        <v>#VALUE!</v>
      </c>
      <c r="AD1568" t="str">
        <f t="shared" ca="1" si="307"/>
        <v>0</v>
      </c>
      <c r="AE1568" t="str">
        <f t="shared" ca="1" si="308"/>
        <v/>
      </c>
      <c r="AF1568" s="6">
        <f t="shared" ca="1" si="309"/>
        <v>0</v>
      </c>
      <c r="AG1568">
        <f t="shared" ca="1" si="304"/>
        <v>0</v>
      </c>
      <c r="AH1568">
        <f t="shared" ca="1" si="310"/>
        <v>0</v>
      </c>
      <c r="AI1568">
        <f t="shared" ca="1" si="311"/>
        <v>0</v>
      </c>
      <c r="AJ1568">
        <f t="shared" ca="1" si="312"/>
        <v>0</v>
      </c>
      <c r="AK1568">
        <f t="shared" ca="1" si="313"/>
        <v>0</v>
      </c>
      <c r="AL1568">
        <f t="shared" ca="1" si="314"/>
        <v>0</v>
      </c>
    </row>
    <row r="1569" spans="1:38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#N/A, OFFSET(data!$A$1, ROW()-1, AA$1-1))</f>
        <v>0</v>
      </c>
      <c r="AB1569">
        <f t="shared" ca="1" si="305"/>
        <v>0</v>
      </c>
      <c r="AC1569" t="e">
        <f t="shared" ca="1" si="306"/>
        <v>#VALUE!</v>
      </c>
      <c r="AD1569" t="str">
        <f t="shared" ca="1" si="307"/>
        <v>0</v>
      </c>
      <c r="AE1569" t="str">
        <f t="shared" ca="1" si="308"/>
        <v/>
      </c>
      <c r="AF1569" s="6">
        <f t="shared" ca="1" si="309"/>
        <v>0</v>
      </c>
      <c r="AG1569">
        <f t="shared" ca="1" si="304"/>
        <v>0</v>
      </c>
      <c r="AH1569">
        <f t="shared" ca="1" si="310"/>
        <v>0</v>
      </c>
      <c r="AI1569">
        <f t="shared" ca="1" si="311"/>
        <v>0</v>
      </c>
      <c r="AJ1569">
        <f t="shared" ca="1" si="312"/>
        <v>0</v>
      </c>
      <c r="AK1569">
        <f t="shared" ca="1" si="313"/>
        <v>0</v>
      </c>
      <c r="AL1569">
        <f t="shared" ca="1" si="314"/>
        <v>0</v>
      </c>
    </row>
    <row r="1570" spans="1:38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#N/A, OFFSET(data!$A$1, ROW()-1, AA$1-1))</f>
        <v>0</v>
      </c>
      <c r="AB1570">
        <f t="shared" ca="1" si="305"/>
        <v>0</v>
      </c>
      <c r="AC1570" t="e">
        <f t="shared" ca="1" si="306"/>
        <v>#VALUE!</v>
      </c>
      <c r="AD1570" t="str">
        <f t="shared" ca="1" si="307"/>
        <v>0</v>
      </c>
      <c r="AE1570" t="str">
        <f t="shared" ca="1" si="308"/>
        <v/>
      </c>
      <c r="AF1570" s="6">
        <f t="shared" ca="1" si="309"/>
        <v>0</v>
      </c>
      <c r="AG1570">
        <f t="shared" ca="1" si="304"/>
        <v>0</v>
      </c>
      <c r="AH1570">
        <f t="shared" ca="1" si="310"/>
        <v>0</v>
      </c>
      <c r="AI1570">
        <f t="shared" ca="1" si="311"/>
        <v>0</v>
      </c>
      <c r="AJ1570">
        <f t="shared" ca="1" si="312"/>
        <v>0</v>
      </c>
      <c r="AK1570">
        <f t="shared" ca="1" si="313"/>
        <v>0</v>
      </c>
      <c r="AL1570">
        <f t="shared" ca="1" si="314"/>
        <v>0</v>
      </c>
    </row>
    <row r="1571" spans="1:38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#N/A, OFFSET(data!$A$1, ROW()-1, AA$1-1))</f>
        <v>0</v>
      </c>
      <c r="AB1571">
        <f t="shared" ca="1" si="305"/>
        <v>0</v>
      </c>
      <c r="AC1571" t="e">
        <f t="shared" ca="1" si="306"/>
        <v>#VALUE!</v>
      </c>
      <c r="AD1571" t="str">
        <f t="shared" ca="1" si="307"/>
        <v>0</v>
      </c>
      <c r="AE1571" t="str">
        <f t="shared" ca="1" si="308"/>
        <v/>
      </c>
      <c r="AF1571" s="6">
        <f t="shared" ca="1" si="309"/>
        <v>0</v>
      </c>
      <c r="AG1571">
        <f t="shared" ca="1" si="304"/>
        <v>0</v>
      </c>
      <c r="AH1571">
        <f t="shared" ca="1" si="310"/>
        <v>0</v>
      </c>
      <c r="AI1571">
        <f t="shared" ca="1" si="311"/>
        <v>0</v>
      </c>
      <c r="AJ1571">
        <f t="shared" ca="1" si="312"/>
        <v>0</v>
      </c>
      <c r="AK1571">
        <f t="shared" ca="1" si="313"/>
        <v>0</v>
      </c>
      <c r="AL1571">
        <f t="shared" ca="1" si="314"/>
        <v>0</v>
      </c>
    </row>
    <row r="1572" spans="1:38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#N/A, OFFSET(data!$A$1, ROW()-1, AA$1-1))</f>
        <v>0</v>
      </c>
      <c r="AB1572">
        <f t="shared" ca="1" si="305"/>
        <v>0</v>
      </c>
      <c r="AC1572" t="e">
        <f t="shared" ca="1" si="306"/>
        <v>#VALUE!</v>
      </c>
      <c r="AD1572" t="str">
        <f t="shared" ca="1" si="307"/>
        <v>0</v>
      </c>
      <c r="AE1572" t="str">
        <f t="shared" ca="1" si="308"/>
        <v/>
      </c>
      <c r="AF1572" s="6">
        <f t="shared" ca="1" si="309"/>
        <v>0</v>
      </c>
      <c r="AG1572">
        <f t="shared" ca="1" si="304"/>
        <v>0</v>
      </c>
      <c r="AH1572">
        <f t="shared" ca="1" si="310"/>
        <v>0</v>
      </c>
      <c r="AI1572">
        <f t="shared" ca="1" si="311"/>
        <v>0</v>
      </c>
      <c r="AJ1572">
        <f t="shared" ca="1" si="312"/>
        <v>0</v>
      </c>
      <c r="AK1572">
        <f t="shared" ca="1" si="313"/>
        <v>0</v>
      </c>
      <c r="AL1572">
        <f t="shared" ca="1" si="314"/>
        <v>0</v>
      </c>
    </row>
    <row r="1573" spans="1:38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#N/A, OFFSET(data!$A$1, ROW()-1, AA$1-1))</f>
        <v>0</v>
      </c>
      <c r="AB1573">
        <f t="shared" ca="1" si="305"/>
        <v>0</v>
      </c>
      <c r="AC1573" t="e">
        <f t="shared" ca="1" si="306"/>
        <v>#VALUE!</v>
      </c>
      <c r="AD1573" t="str">
        <f t="shared" ca="1" si="307"/>
        <v>0</v>
      </c>
      <c r="AE1573" t="str">
        <f t="shared" ca="1" si="308"/>
        <v/>
      </c>
      <c r="AF1573" s="6">
        <f t="shared" ca="1" si="309"/>
        <v>0</v>
      </c>
      <c r="AG1573">
        <f t="shared" ca="1" si="304"/>
        <v>0</v>
      </c>
      <c r="AH1573">
        <f t="shared" ca="1" si="310"/>
        <v>0</v>
      </c>
      <c r="AI1573">
        <f t="shared" ca="1" si="311"/>
        <v>0</v>
      </c>
      <c r="AJ1573">
        <f t="shared" ca="1" si="312"/>
        <v>0</v>
      </c>
      <c r="AK1573">
        <f t="shared" ca="1" si="313"/>
        <v>0</v>
      </c>
      <c r="AL1573">
        <f t="shared" ca="1" si="314"/>
        <v>0</v>
      </c>
    </row>
    <row r="1574" spans="1:38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#N/A, OFFSET(data!$A$1, ROW()-1, AA$1-1))</f>
        <v>0</v>
      </c>
      <c r="AB1574">
        <f t="shared" ca="1" si="305"/>
        <v>0</v>
      </c>
      <c r="AC1574" t="e">
        <f t="shared" ca="1" si="306"/>
        <v>#VALUE!</v>
      </c>
      <c r="AD1574" t="str">
        <f t="shared" ca="1" si="307"/>
        <v>0</v>
      </c>
      <c r="AE1574" t="str">
        <f t="shared" ca="1" si="308"/>
        <v/>
      </c>
      <c r="AF1574" s="6">
        <f t="shared" ca="1" si="309"/>
        <v>0</v>
      </c>
      <c r="AG1574">
        <f t="shared" ca="1" si="304"/>
        <v>0</v>
      </c>
      <c r="AH1574">
        <f t="shared" ca="1" si="310"/>
        <v>0</v>
      </c>
      <c r="AI1574">
        <f t="shared" ca="1" si="311"/>
        <v>0</v>
      </c>
      <c r="AJ1574">
        <f t="shared" ca="1" si="312"/>
        <v>0</v>
      </c>
      <c r="AK1574">
        <f t="shared" ca="1" si="313"/>
        <v>0</v>
      </c>
      <c r="AL1574">
        <f t="shared" ca="1" si="314"/>
        <v>0</v>
      </c>
    </row>
    <row r="1575" spans="1:38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#N/A, OFFSET(data!$A$1, ROW()-1, AA$1-1))</f>
        <v>0</v>
      </c>
      <c r="AB1575">
        <f t="shared" ca="1" si="305"/>
        <v>0</v>
      </c>
      <c r="AC1575" t="e">
        <f t="shared" ca="1" si="306"/>
        <v>#VALUE!</v>
      </c>
      <c r="AD1575" t="str">
        <f t="shared" ca="1" si="307"/>
        <v>0</v>
      </c>
      <c r="AE1575" t="str">
        <f t="shared" ca="1" si="308"/>
        <v/>
      </c>
      <c r="AF1575" s="6">
        <f t="shared" ca="1" si="309"/>
        <v>0</v>
      </c>
      <c r="AG1575">
        <f t="shared" ca="1" si="304"/>
        <v>0</v>
      </c>
      <c r="AH1575">
        <f t="shared" ca="1" si="310"/>
        <v>0</v>
      </c>
      <c r="AI1575">
        <f t="shared" ca="1" si="311"/>
        <v>0</v>
      </c>
      <c r="AJ1575">
        <f t="shared" ca="1" si="312"/>
        <v>0</v>
      </c>
      <c r="AK1575">
        <f t="shared" ca="1" si="313"/>
        <v>0</v>
      </c>
      <c r="AL1575">
        <f t="shared" ca="1" si="314"/>
        <v>0</v>
      </c>
    </row>
    <row r="1576" spans="1:38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#N/A, OFFSET(data!$A$1, ROW()-1, AA$1-1))</f>
        <v>0</v>
      </c>
      <c r="AB1576">
        <f t="shared" ca="1" si="305"/>
        <v>0</v>
      </c>
      <c r="AC1576" t="e">
        <f t="shared" ca="1" si="306"/>
        <v>#VALUE!</v>
      </c>
      <c r="AD1576" t="str">
        <f t="shared" ca="1" si="307"/>
        <v>0</v>
      </c>
      <c r="AE1576" t="str">
        <f t="shared" ca="1" si="308"/>
        <v/>
      </c>
      <c r="AF1576" s="6">
        <f t="shared" ca="1" si="309"/>
        <v>0</v>
      </c>
      <c r="AG1576">
        <f t="shared" ca="1" si="304"/>
        <v>0</v>
      </c>
      <c r="AH1576">
        <f t="shared" ca="1" si="310"/>
        <v>0</v>
      </c>
      <c r="AI1576">
        <f t="shared" ca="1" si="311"/>
        <v>0</v>
      </c>
      <c r="AJ1576">
        <f t="shared" ca="1" si="312"/>
        <v>0</v>
      </c>
      <c r="AK1576">
        <f t="shared" ca="1" si="313"/>
        <v>0</v>
      </c>
      <c r="AL1576">
        <f t="shared" ca="1" si="314"/>
        <v>0</v>
      </c>
    </row>
    <row r="1577" spans="1:38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#N/A, OFFSET(data!$A$1, ROW()-1, AA$1-1))</f>
        <v>0</v>
      </c>
      <c r="AB1577">
        <f t="shared" ca="1" si="305"/>
        <v>0</v>
      </c>
      <c r="AC1577" t="e">
        <f t="shared" ca="1" si="306"/>
        <v>#VALUE!</v>
      </c>
      <c r="AD1577" t="str">
        <f t="shared" ca="1" si="307"/>
        <v>0</v>
      </c>
      <c r="AE1577" t="str">
        <f t="shared" ca="1" si="308"/>
        <v/>
      </c>
      <c r="AF1577" s="6">
        <f t="shared" ca="1" si="309"/>
        <v>0</v>
      </c>
      <c r="AG1577">
        <f t="shared" ca="1" si="304"/>
        <v>0</v>
      </c>
      <c r="AH1577">
        <f t="shared" ca="1" si="310"/>
        <v>0</v>
      </c>
      <c r="AI1577">
        <f t="shared" ca="1" si="311"/>
        <v>0</v>
      </c>
      <c r="AJ1577">
        <f t="shared" ca="1" si="312"/>
        <v>0</v>
      </c>
      <c r="AK1577">
        <f t="shared" ca="1" si="313"/>
        <v>0</v>
      </c>
      <c r="AL1577">
        <f t="shared" ca="1" si="314"/>
        <v>0</v>
      </c>
    </row>
    <row r="1578" spans="1:38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#N/A, OFFSET(data!$A$1, ROW()-1, AA$1-1))</f>
        <v>0</v>
      </c>
      <c r="AB1578">
        <f t="shared" ca="1" si="305"/>
        <v>0</v>
      </c>
      <c r="AC1578" t="e">
        <f t="shared" ca="1" si="306"/>
        <v>#VALUE!</v>
      </c>
      <c r="AD1578" t="str">
        <f t="shared" ca="1" si="307"/>
        <v>0</v>
      </c>
      <c r="AE1578" t="str">
        <f t="shared" ca="1" si="308"/>
        <v/>
      </c>
      <c r="AF1578" s="6">
        <f t="shared" ca="1" si="309"/>
        <v>0</v>
      </c>
      <c r="AG1578">
        <f t="shared" ca="1" si="304"/>
        <v>0</v>
      </c>
      <c r="AH1578">
        <f t="shared" ca="1" si="310"/>
        <v>0</v>
      </c>
      <c r="AI1578">
        <f t="shared" ca="1" si="311"/>
        <v>0</v>
      </c>
      <c r="AJ1578">
        <f t="shared" ca="1" si="312"/>
        <v>0</v>
      </c>
      <c r="AK1578">
        <f t="shared" ca="1" si="313"/>
        <v>0</v>
      </c>
      <c r="AL1578">
        <f t="shared" ca="1" si="314"/>
        <v>0</v>
      </c>
    </row>
    <row r="1579" spans="1:38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#N/A, OFFSET(data!$A$1, ROW()-1, AA$1-1))</f>
        <v>0</v>
      </c>
      <c r="AB1579">
        <f t="shared" ca="1" si="305"/>
        <v>0</v>
      </c>
      <c r="AC1579" t="e">
        <f t="shared" ca="1" si="306"/>
        <v>#VALUE!</v>
      </c>
      <c r="AD1579" t="str">
        <f t="shared" ca="1" si="307"/>
        <v>0</v>
      </c>
      <c r="AE1579" t="str">
        <f t="shared" ca="1" si="308"/>
        <v/>
      </c>
      <c r="AF1579" s="6">
        <f t="shared" ca="1" si="309"/>
        <v>0</v>
      </c>
      <c r="AG1579">
        <f t="shared" ca="1" si="304"/>
        <v>0</v>
      </c>
      <c r="AH1579">
        <f t="shared" ca="1" si="310"/>
        <v>0</v>
      </c>
      <c r="AI1579">
        <f t="shared" ca="1" si="311"/>
        <v>0</v>
      </c>
      <c r="AJ1579">
        <f t="shared" ca="1" si="312"/>
        <v>0</v>
      </c>
      <c r="AK1579">
        <f t="shared" ca="1" si="313"/>
        <v>0</v>
      </c>
      <c r="AL1579">
        <f t="shared" ca="1" si="314"/>
        <v>0</v>
      </c>
    </row>
    <row r="1580" spans="1:38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#N/A, OFFSET(data!$A$1, ROW()-1, AA$1-1))</f>
        <v>0</v>
      </c>
      <c r="AB1580">
        <f t="shared" ca="1" si="305"/>
        <v>0</v>
      </c>
      <c r="AC1580" t="e">
        <f t="shared" ca="1" si="306"/>
        <v>#VALUE!</v>
      </c>
      <c r="AD1580" t="str">
        <f t="shared" ca="1" si="307"/>
        <v>0</v>
      </c>
      <c r="AE1580" t="str">
        <f t="shared" ca="1" si="308"/>
        <v/>
      </c>
      <c r="AF1580" s="6">
        <f t="shared" ca="1" si="309"/>
        <v>0</v>
      </c>
      <c r="AG1580">
        <f t="shared" ca="1" si="304"/>
        <v>0</v>
      </c>
      <c r="AH1580">
        <f t="shared" ca="1" si="310"/>
        <v>0</v>
      </c>
      <c r="AI1580">
        <f t="shared" ca="1" si="311"/>
        <v>0</v>
      </c>
      <c r="AJ1580">
        <f t="shared" ca="1" si="312"/>
        <v>0</v>
      </c>
      <c r="AK1580">
        <f t="shared" ca="1" si="313"/>
        <v>0</v>
      </c>
      <c r="AL1580">
        <f t="shared" ca="1" si="314"/>
        <v>0</v>
      </c>
    </row>
    <row r="1581" spans="1:38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#N/A, OFFSET(data!$A$1, ROW()-1, AA$1-1))</f>
        <v>0</v>
      </c>
      <c r="AB1581">
        <f t="shared" ca="1" si="305"/>
        <v>0</v>
      </c>
      <c r="AC1581" t="e">
        <f t="shared" ca="1" si="306"/>
        <v>#VALUE!</v>
      </c>
      <c r="AD1581" t="str">
        <f t="shared" ca="1" si="307"/>
        <v>0</v>
      </c>
      <c r="AE1581" t="str">
        <f t="shared" ca="1" si="308"/>
        <v/>
      </c>
      <c r="AF1581" s="6">
        <f t="shared" ca="1" si="309"/>
        <v>0</v>
      </c>
      <c r="AG1581">
        <f t="shared" ca="1" si="304"/>
        <v>0</v>
      </c>
      <c r="AH1581">
        <f t="shared" ca="1" si="310"/>
        <v>0</v>
      </c>
      <c r="AI1581">
        <f t="shared" ca="1" si="311"/>
        <v>0</v>
      </c>
      <c r="AJ1581">
        <f t="shared" ca="1" si="312"/>
        <v>0</v>
      </c>
      <c r="AK1581">
        <f t="shared" ca="1" si="313"/>
        <v>0</v>
      </c>
      <c r="AL1581">
        <f t="shared" ca="1" si="314"/>
        <v>0</v>
      </c>
    </row>
    <row r="1582" spans="1:38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#N/A, OFFSET(data!$A$1, ROW()-1, AA$1-1))</f>
        <v>0</v>
      </c>
      <c r="AB1582">
        <f t="shared" ca="1" si="305"/>
        <v>0</v>
      </c>
      <c r="AC1582" t="e">
        <f t="shared" ca="1" si="306"/>
        <v>#VALUE!</v>
      </c>
      <c r="AD1582" t="str">
        <f t="shared" ca="1" si="307"/>
        <v>0</v>
      </c>
      <c r="AE1582" t="str">
        <f t="shared" ca="1" si="308"/>
        <v/>
      </c>
      <c r="AF1582" s="6">
        <f t="shared" ca="1" si="309"/>
        <v>0</v>
      </c>
      <c r="AG1582">
        <f t="shared" ca="1" si="304"/>
        <v>0</v>
      </c>
      <c r="AH1582">
        <f t="shared" ca="1" si="310"/>
        <v>0</v>
      </c>
      <c r="AI1582">
        <f t="shared" ca="1" si="311"/>
        <v>0</v>
      </c>
      <c r="AJ1582">
        <f t="shared" ca="1" si="312"/>
        <v>0</v>
      </c>
      <c r="AK1582">
        <f t="shared" ca="1" si="313"/>
        <v>0</v>
      </c>
      <c r="AL1582">
        <f t="shared" ca="1" si="314"/>
        <v>0</v>
      </c>
    </row>
    <row r="1583" spans="1:38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#N/A, OFFSET(data!$A$1, ROW()-1, AA$1-1))</f>
        <v>0</v>
      </c>
      <c r="AB1583">
        <f t="shared" ca="1" si="305"/>
        <v>0</v>
      </c>
      <c r="AC1583" t="e">
        <f t="shared" ca="1" si="306"/>
        <v>#VALUE!</v>
      </c>
      <c r="AD1583" t="str">
        <f t="shared" ca="1" si="307"/>
        <v>0</v>
      </c>
      <c r="AE1583" t="str">
        <f t="shared" ca="1" si="308"/>
        <v/>
      </c>
      <c r="AF1583" s="6">
        <f t="shared" ca="1" si="309"/>
        <v>0</v>
      </c>
      <c r="AG1583">
        <f t="shared" ca="1" si="304"/>
        <v>0</v>
      </c>
      <c r="AH1583">
        <f t="shared" ca="1" si="310"/>
        <v>0</v>
      </c>
      <c r="AI1583">
        <f t="shared" ca="1" si="311"/>
        <v>0</v>
      </c>
      <c r="AJ1583">
        <f t="shared" ca="1" si="312"/>
        <v>0</v>
      </c>
      <c r="AK1583">
        <f t="shared" ca="1" si="313"/>
        <v>0</v>
      </c>
      <c r="AL1583">
        <f t="shared" ca="1" si="314"/>
        <v>0</v>
      </c>
    </row>
    <row r="1584" spans="1:38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#N/A, OFFSET(data!$A$1, ROW()-1, AA$1-1))</f>
        <v>0</v>
      </c>
      <c r="AB1584">
        <f t="shared" ca="1" si="305"/>
        <v>0</v>
      </c>
      <c r="AC1584" t="e">
        <f t="shared" ca="1" si="306"/>
        <v>#VALUE!</v>
      </c>
      <c r="AD1584" t="str">
        <f t="shared" ca="1" si="307"/>
        <v>0</v>
      </c>
      <c r="AE1584" t="str">
        <f t="shared" ca="1" si="308"/>
        <v/>
      </c>
      <c r="AF1584" s="6">
        <f t="shared" ca="1" si="309"/>
        <v>0</v>
      </c>
      <c r="AG1584">
        <f t="shared" ca="1" si="304"/>
        <v>0</v>
      </c>
      <c r="AH1584">
        <f t="shared" ca="1" si="310"/>
        <v>0</v>
      </c>
      <c r="AI1584">
        <f t="shared" ca="1" si="311"/>
        <v>0</v>
      </c>
      <c r="AJ1584">
        <f t="shared" ca="1" si="312"/>
        <v>0</v>
      </c>
      <c r="AK1584">
        <f t="shared" ca="1" si="313"/>
        <v>0</v>
      </c>
      <c r="AL1584">
        <f t="shared" ca="1" si="314"/>
        <v>0</v>
      </c>
    </row>
    <row r="1585" spans="1:38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#N/A, OFFSET(data!$A$1, ROW()-1, AA$1-1))</f>
        <v>0</v>
      </c>
      <c r="AB1585">
        <f t="shared" ca="1" si="305"/>
        <v>0</v>
      </c>
      <c r="AC1585" t="e">
        <f t="shared" ca="1" si="306"/>
        <v>#VALUE!</v>
      </c>
      <c r="AD1585" t="str">
        <f t="shared" ca="1" si="307"/>
        <v>0</v>
      </c>
      <c r="AE1585" t="str">
        <f t="shared" ca="1" si="308"/>
        <v/>
      </c>
      <c r="AF1585" s="6">
        <f t="shared" ca="1" si="309"/>
        <v>0</v>
      </c>
      <c r="AG1585">
        <f t="shared" ca="1" si="304"/>
        <v>0</v>
      </c>
      <c r="AH1585">
        <f t="shared" ca="1" si="310"/>
        <v>0</v>
      </c>
      <c r="AI1585">
        <f t="shared" ca="1" si="311"/>
        <v>0</v>
      </c>
      <c r="AJ1585">
        <f t="shared" ca="1" si="312"/>
        <v>0</v>
      </c>
      <c r="AK1585">
        <f t="shared" ca="1" si="313"/>
        <v>0</v>
      </c>
      <c r="AL1585">
        <f t="shared" ca="1" si="314"/>
        <v>0</v>
      </c>
    </row>
    <row r="1586" spans="1:38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#N/A, OFFSET(data!$A$1, ROW()-1, AA$1-1))</f>
        <v>0</v>
      </c>
      <c r="AB1586">
        <f t="shared" ca="1" si="305"/>
        <v>0</v>
      </c>
      <c r="AC1586" t="e">
        <f t="shared" ca="1" si="306"/>
        <v>#VALUE!</v>
      </c>
      <c r="AD1586" t="str">
        <f t="shared" ca="1" si="307"/>
        <v>0</v>
      </c>
      <c r="AE1586" t="str">
        <f t="shared" ca="1" si="308"/>
        <v/>
      </c>
      <c r="AF1586" s="6">
        <f t="shared" ca="1" si="309"/>
        <v>0</v>
      </c>
      <c r="AG1586">
        <f t="shared" ca="1" si="304"/>
        <v>0</v>
      </c>
      <c r="AH1586">
        <f t="shared" ca="1" si="310"/>
        <v>0</v>
      </c>
      <c r="AI1586">
        <f t="shared" ca="1" si="311"/>
        <v>0</v>
      </c>
      <c r="AJ1586">
        <f t="shared" ca="1" si="312"/>
        <v>0</v>
      </c>
      <c r="AK1586">
        <f t="shared" ca="1" si="313"/>
        <v>0</v>
      </c>
      <c r="AL1586">
        <f t="shared" ca="1" si="314"/>
        <v>0</v>
      </c>
    </row>
    <row r="1587" spans="1:38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#N/A, OFFSET(data!$A$1, ROW()-1, AA$1-1))</f>
        <v>0</v>
      </c>
      <c r="AB1587">
        <f t="shared" ca="1" si="305"/>
        <v>0</v>
      </c>
      <c r="AC1587" t="e">
        <f t="shared" ca="1" si="306"/>
        <v>#VALUE!</v>
      </c>
      <c r="AD1587" t="str">
        <f t="shared" ca="1" si="307"/>
        <v>0</v>
      </c>
      <c r="AE1587" t="str">
        <f t="shared" ca="1" si="308"/>
        <v/>
      </c>
      <c r="AF1587" s="6">
        <f t="shared" ca="1" si="309"/>
        <v>0</v>
      </c>
      <c r="AG1587">
        <f t="shared" ca="1" si="304"/>
        <v>0</v>
      </c>
      <c r="AH1587">
        <f t="shared" ca="1" si="310"/>
        <v>0</v>
      </c>
      <c r="AI1587">
        <f t="shared" ca="1" si="311"/>
        <v>0</v>
      </c>
      <c r="AJ1587">
        <f t="shared" ca="1" si="312"/>
        <v>0</v>
      </c>
      <c r="AK1587">
        <f t="shared" ca="1" si="313"/>
        <v>0</v>
      </c>
      <c r="AL1587">
        <f t="shared" ca="1" si="314"/>
        <v>0</v>
      </c>
    </row>
    <row r="1588" spans="1:38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#N/A, OFFSET(data!$A$1, ROW()-1, AA$1-1))</f>
        <v>0</v>
      </c>
      <c r="AB1588">
        <f t="shared" ca="1" si="305"/>
        <v>0</v>
      </c>
      <c r="AC1588" t="e">
        <f t="shared" ca="1" si="306"/>
        <v>#VALUE!</v>
      </c>
      <c r="AD1588" t="str">
        <f t="shared" ca="1" si="307"/>
        <v>0</v>
      </c>
      <c r="AE1588" t="str">
        <f t="shared" ca="1" si="308"/>
        <v/>
      </c>
      <c r="AF1588" s="6">
        <f t="shared" ca="1" si="309"/>
        <v>0</v>
      </c>
      <c r="AG1588">
        <f t="shared" ref="AG1588:AG1651" ca="1" si="315">T1588+W1588</f>
        <v>0</v>
      </c>
      <c r="AH1588">
        <f t="shared" ca="1" si="310"/>
        <v>0</v>
      </c>
      <c r="AI1588">
        <f t="shared" ca="1" si="311"/>
        <v>0</v>
      </c>
      <c r="AJ1588">
        <f t="shared" ca="1" si="312"/>
        <v>0</v>
      </c>
      <c r="AK1588">
        <f t="shared" ca="1" si="313"/>
        <v>0</v>
      </c>
      <c r="AL1588">
        <f t="shared" ca="1" si="314"/>
        <v>0</v>
      </c>
    </row>
    <row r="1589" spans="1:38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#N/A, OFFSET(data!$A$1, ROW()-1, AA$1-1))</f>
        <v>0</v>
      </c>
      <c r="AB1589">
        <f t="shared" ca="1" si="305"/>
        <v>0</v>
      </c>
      <c r="AC1589" t="e">
        <f t="shared" ca="1" si="306"/>
        <v>#VALUE!</v>
      </c>
      <c r="AD1589" t="str">
        <f t="shared" ca="1" si="307"/>
        <v>0</v>
      </c>
      <c r="AE1589" t="str">
        <f t="shared" ca="1" si="308"/>
        <v/>
      </c>
      <c r="AF1589" s="6">
        <f t="shared" ca="1" si="309"/>
        <v>0</v>
      </c>
      <c r="AG1589">
        <f t="shared" ca="1" si="315"/>
        <v>0</v>
      </c>
      <c r="AH1589">
        <f t="shared" ca="1" si="310"/>
        <v>0</v>
      </c>
      <c r="AI1589">
        <f t="shared" ca="1" si="311"/>
        <v>0</v>
      </c>
      <c r="AJ1589">
        <f t="shared" ca="1" si="312"/>
        <v>0</v>
      </c>
      <c r="AK1589">
        <f t="shared" ca="1" si="313"/>
        <v>0</v>
      </c>
      <c r="AL1589">
        <f t="shared" ca="1" si="314"/>
        <v>0</v>
      </c>
    </row>
    <row r="1590" spans="1:38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#N/A, OFFSET(data!$A$1, ROW()-1, AA$1-1))</f>
        <v>0</v>
      </c>
      <c r="AB1590">
        <f t="shared" ca="1" si="305"/>
        <v>0</v>
      </c>
      <c r="AC1590" t="e">
        <f t="shared" ca="1" si="306"/>
        <v>#VALUE!</v>
      </c>
      <c r="AD1590" t="str">
        <f t="shared" ca="1" si="307"/>
        <v>0</v>
      </c>
      <c r="AE1590" t="str">
        <f t="shared" ca="1" si="308"/>
        <v/>
      </c>
      <c r="AF1590" s="6">
        <f t="shared" ca="1" si="309"/>
        <v>0</v>
      </c>
      <c r="AG1590">
        <f t="shared" ca="1" si="315"/>
        <v>0</v>
      </c>
      <c r="AH1590">
        <f t="shared" ca="1" si="310"/>
        <v>0</v>
      </c>
      <c r="AI1590">
        <f t="shared" ca="1" si="311"/>
        <v>0</v>
      </c>
      <c r="AJ1590">
        <f t="shared" ca="1" si="312"/>
        <v>0</v>
      </c>
      <c r="AK1590">
        <f t="shared" ca="1" si="313"/>
        <v>0</v>
      </c>
      <c r="AL1590">
        <f t="shared" ca="1" si="314"/>
        <v>0</v>
      </c>
    </row>
    <row r="1591" spans="1:38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#N/A, OFFSET(data!$A$1, ROW()-1, AA$1-1))</f>
        <v>0</v>
      </c>
      <c r="AB1591">
        <f t="shared" ca="1" si="305"/>
        <v>0</v>
      </c>
      <c r="AC1591" t="e">
        <f t="shared" ca="1" si="306"/>
        <v>#VALUE!</v>
      </c>
      <c r="AD1591" t="str">
        <f t="shared" ca="1" si="307"/>
        <v>0</v>
      </c>
      <c r="AE1591" t="str">
        <f t="shared" ca="1" si="308"/>
        <v/>
      </c>
      <c r="AF1591" s="6">
        <f t="shared" ca="1" si="309"/>
        <v>0</v>
      </c>
      <c r="AG1591">
        <f t="shared" ca="1" si="315"/>
        <v>0</v>
      </c>
      <c r="AH1591">
        <f t="shared" ca="1" si="310"/>
        <v>0</v>
      </c>
      <c r="AI1591">
        <f t="shared" ca="1" si="311"/>
        <v>0</v>
      </c>
      <c r="AJ1591">
        <f t="shared" ca="1" si="312"/>
        <v>0</v>
      </c>
      <c r="AK1591">
        <f t="shared" ca="1" si="313"/>
        <v>0</v>
      </c>
      <c r="AL1591">
        <f t="shared" ca="1" si="314"/>
        <v>0</v>
      </c>
    </row>
    <row r="1592" spans="1:38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#N/A, OFFSET(data!$A$1, ROW()-1, AA$1-1))</f>
        <v>0</v>
      </c>
      <c r="AB1592">
        <f t="shared" ca="1" si="305"/>
        <v>0</v>
      </c>
      <c r="AC1592" t="e">
        <f t="shared" ca="1" si="306"/>
        <v>#VALUE!</v>
      </c>
      <c r="AD1592" t="str">
        <f t="shared" ca="1" si="307"/>
        <v>0</v>
      </c>
      <c r="AE1592" t="str">
        <f t="shared" ca="1" si="308"/>
        <v/>
      </c>
      <c r="AF1592" s="6">
        <f t="shared" ca="1" si="309"/>
        <v>0</v>
      </c>
      <c r="AG1592">
        <f t="shared" ca="1" si="315"/>
        <v>0</v>
      </c>
      <c r="AH1592">
        <f t="shared" ca="1" si="310"/>
        <v>0</v>
      </c>
      <c r="AI1592">
        <f t="shared" ca="1" si="311"/>
        <v>0</v>
      </c>
      <c r="AJ1592">
        <f t="shared" ca="1" si="312"/>
        <v>0</v>
      </c>
      <c r="AK1592">
        <f t="shared" ca="1" si="313"/>
        <v>0</v>
      </c>
      <c r="AL1592">
        <f t="shared" ca="1" si="314"/>
        <v>0</v>
      </c>
    </row>
    <row r="1593" spans="1:38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#N/A, OFFSET(data!$A$1, ROW()-1, AA$1-1))</f>
        <v>0</v>
      </c>
      <c r="AB1593">
        <f t="shared" ca="1" si="305"/>
        <v>0</v>
      </c>
      <c r="AC1593" t="e">
        <f t="shared" ca="1" si="306"/>
        <v>#VALUE!</v>
      </c>
      <c r="AD1593" t="str">
        <f t="shared" ca="1" si="307"/>
        <v>0</v>
      </c>
      <c r="AE1593" t="str">
        <f t="shared" ca="1" si="308"/>
        <v/>
      </c>
      <c r="AF1593" s="6">
        <f t="shared" ca="1" si="309"/>
        <v>0</v>
      </c>
      <c r="AG1593">
        <f t="shared" ca="1" si="315"/>
        <v>0</v>
      </c>
      <c r="AH1593">
        <f t="shared" ca="1" si="310"/>
        <v>0</v>
      </c>
      <c r="AI1593">
        <f t="shared" ca="1" si="311"/>
        <v>0</v>
      </c>
      <c r="AJ1593">
        <f t="shared" ca="1" si="312"/>
        <v>0</v>
      </c>
      <c r="AK1593">
        <f t="shared" ca="1" si="313"/>
        <v>0</v>
      </c>
      <c r="AL1593">
        <f t="shared" ca="1" si="314"/>
        <v>0</v>
      </c>
    </row>
    <row r="1594" spans="1:38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#N/A, OFFSET(data!$A$1, ROW()-1, AA$1-1))</f>
        <v>0</v>
      </c>
      <c r="AB1594">
        <f t="shared" ca="1" si="305"/>
        <v>0</v>
      </c>
      <c r="AC1594" t="e">
        <f t="shared" ca="1" si="306"/>
        <v>#VALUE!</v>
      </c>
      <c r="AD1594" t="str">
        <f t="shared" ca="1" si="307"/>
        <v>0</v>
      </c>
      <c r="AE1594" t="str">
        <f t="shared" ca="1" si="308"/>
        <v/>
      </c>
      <c r="AF1594" s="6">
        <f t="shared" ca="1" si="309"/>
        <v>0</v>
      </c>
      <c r="AG1594">
        <f t="shared" ca="1" si="315"/>
        <v>0</v>
      </c>
      <c r="AH1594">
        <f t="shared" ca="1" si="310"/>
        <v>0</v>
      </c>
      <c r="AI1594">
        <f t="shared" ca="1" si="311"/>
        <v>0</v>
      </c>
      <c r="AJ1594">
        <f t="shared" ca="1" si="312"/>
        <v>0</v>
      </c>
      <c r="AK1594">
        <f t="shared" ca="1" si="313"/>
        <v>0</v>
      </c>
      <c r="AL1594">
        <f t="shared" ca="1" si="314"/>
        <v>0</v>
      </c>
    </row>
    <row r="1595" spans="1:38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#N/A, OFFSET(data!$A$1, ROW()-1, AA$1-1))</f>
        <v>0</v>
      </c>
      <c r="AB1595">
        <f t="shared" ca="1" si="305"/>
        <v>0</v>
      </c>
      <c r="AC1595" t="e">
        <f t="shared" ca="1" si="306"/>
        <v>#VALUE!</v>
      </c>
      <c r="AD1595" t="str">
        <f t="shared" ca="1" si="307"/>
        <v>0</v>
      </c>
      <c r="AE1595" t="str">
        <f t="shared" ca="1" si="308"/>
        <v/>
      </c>
      <c r="AF1595" s="6">
        <f t="shared" ca="1" si="309"/>
        <v>0</v>
      </c>
      <c r="AG1595">
        <f t="shared" ca="1" si="315"/>
        <v>0</v>
      </c>
      <c r="AH1595">
        <f t="shared" ca="1" si="310"/>
        <v>0</v>
      </c>
      <c r="AI1595">
        <f t="shared" ca="1" si="311"/>
        <v>0</v>
      </c>
      <c r="AJ1595">
        <f t="shared" ca="1" si="312"/>
        <v>0</v>
      </c>
      <c r="AK1595">
        <f t="shared" ca="1" si="313"/>
        <v>0</v>
      </c>
      <c r="AL1595">
        <f t="shared" ca="1" si="314"/>
        <v>0</v>
      </c>
    </row>
    <row r="1596" spans="1:38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#N/A, OFFSET(data!$A$1, ROW()-1, AA$1-1))</f>
        <v>0</v>
      </c>
      <c r="AB1596">
        <f t="shared" ca="1" si="305"/>
        <v>0</v>
      </c>
      <c r="AC1596" t="e">
        <f t="shared" ca="1" si="306"/>
        <v>#VALUE!</v>
      </c>
      <c r="AD1596" t="str">
        <f t="shared" ca="1" si="307"/>
        <v>0</v>
      </c>
      <c r="AE1596" t="str">
        <f t="shared" ca="1" si="308"/>
        <v/>
      </c>
      <c r="AF1596" s="6">
        <f t="shared" ca="1" si="309"/>
        <v>0</v>
      </c>
      <c r="AG1596">
        <f t="shared" ca="1" si="315"/>
        <v>0</v>
      </c>
      <c r="AH1596">
        <f t="shared" ca="1" si="310"/>
        <v>0</v>
      </c>
      <c r="AI1596">
        <f t="shared" ca="1" si="311"/>
        <v>0</v>
      </c>
      <c r="AJ1596">
        <f t="shared" ca="1" si="312"/>
        <v>0</v>
      </c>
      <c r="AK1596">
        <f t="shared" ca="1" si="313"/>
        <v>0</v>
      </c>
      <c r="AL1596">
        <f t="shared" ca="1" si="314"/>
        <v>0</v>
      </c>
    </row>
    <row r="1597" spans="1:38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#N/A, OFFSET(data!$A$1, ROW()-1, AA$1-1))</f>
        <v>0</v>
      </c>
      <c r="AB1597">
        <f t="shared" ca="1" si="305"/>
        <v>0</v>
      </c>
      <c r="AC1597" t="e">
        <f t="shared" ca="1" si="306"/>
        <v>#VALUE!</v>
      </c>
      <c r="AD1597" t="str">
        <f t="shared" ca="1" si="307"/>
        <v>0</v>
      </c>
      <c r="AE1597" t="str">
        <f t="shared" ca="1" si="308"/>
        <v/>
      </c>
      <c r="AF1597" s="6">
        <f t="shared" ca="1" si="309"/>
        <v>0</v>
      </c>
      <c r="AG1597">
        <f t="shared" ca="1" si="315"/>
        <v>0</v>
      </c>
      <c r="AH1597">
        <f t="shared" ca="1" si="310"/>
        <v>0</v>
      </c>
      <c r="AI1597">
        <f t="shared" ca="1" si="311"/>
        <v>0</v>
      </c>
      <c r="AJ1597">
        <f t="shared" ca="1" si="312"/>
        <v>0</v>
      </c>
      <c r="AK1597">
        <f t="shared" ca="1" si="313"/>
        <v>0</v>
      </c>
      <c r="AL1597">
        <f t="shared" ca="1" si="314"/>
        <v>0</v>
      </c>
    </row>
    <row r="1598" spans="1:38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#N/A, OFFSET(data!$A$1, ROW()-1, AA$1-1))</f>
        <v>0</v>
      </c>
      <c r="AB1598">
        <f t="shared" ca="1" si="305"/>
        <v>0</v>
      </c>
      <c r="AC1598" t="e">
        <f t="shared" ca="1" si="306"/>
        <v>#VALUE!</v>
      </c>
      <c r="AD1598" t="str">
        <f t="shared" ca="1" si="307"/>
        <v>0</v>
      </c>
      <c r="AE1598" t="str">
        <f t="shared" ca="1" si="308"/>
        <v/>
      </c>
      <c r="AF1598" s="6">
        <f t="shared" ca="1" si="309"/>
        <v>0</v>
      </c>
      <c r="AG1598">
        <f t="shared" ca="1" si="315"/>
        <v>0</v>
      </c>
      <c r="AH1598">
        <f t="shared" ca="1" si="310"/>
        <v>0</v>
      </c>
      <c r="AI1598">
        <f t="shared" ca="1" si="311"/>
        <v>0</v>
      </c>
      <c r="AJ1598">
        <f t="shared" ca="1" si="312"/>
        <v>0</v>
      </c>
      <c r="AK1598">
        <f t="shared" ca="1" si="313"/>
        <v>0</v>
      </c>
      <c r="AL1598">
        <f t="shared" ca="1" si="314"/>
        <v>0</v>
      </c>
    </row>
    <row r="1599" spans="1:38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#N/A, OFFSET(data!$A$1, ROW()-1, AA$1-1))</f>
        <v>0</v>
      </c>
      <c r="AB1599">
        <f t="shared" ca="1" si="305"/>
        <v>0</v>
      </c>
      <c r="AC1599" t="e">
        <f t="shared" ca="1" si="306"/>
        <v>#VALUE!</v>
      </c>
      <c r="AD1599" t="str">
        <f t="shared" ca="1" si="307"/>
        <v>0</v>
      </c>
      <c r="AE1599" t="str">
        <f t="shared" ca="1" si="308"/>
        <v/>
      </c>
      <c r="AF1599" s="6">
        <f t="shared" ca="1" si="309"/>
        <v>0</v>
      </c>
      <c r="AG1599">
        <f t="shared" ca="1" si="315"/>
        <v>0</v>
      </c>
      <c r="AH1599">
        <f t="shared" ca="1" si="310"/>
        <v>0</v>
      </c>
      <c r="AI1599">
        <f t="shared" ca="1" si="311"/>
        <v>0</v>
      </c>
      <c r="AJ1599">
        <f t="shared" ca="1" si="312"/>
        <v>0</v>
      </c>
      <c r="AK1599">
        <f t="shared" ca="1" si="313"/>
        <v>0</v>
      </c>
      <c r="AL1599">
        <f t="shared" ca="1" si="314"/>
        <v>0</v>
      </c>
    </row>
    <row r="1600" spans="1:38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#N/A, OFFSET(data!$A$1, ROW()-1, AA$1-1))</f>
        <v>0</v>
      </c>
      <c r="AB1600">
        <f t="shared" ca="1" si="305"/>
        <v>0</v>
      </c>
      <c r="AC1600" t="e">
        <f t="shared" ca="1" si="306"/>
        <v>#VALUE!</v>
      </c>
      <c r="AD1600" t="str">
        <f t="shared" ca="1" si="307"/>
        <v>0</v>
      </c>
      <c r="AE1600" t="str">
        <f t="shared" ca="1" si="308"/>
        <v/>
      </c>
      <c r="AF1600" s="6">
        <f t="shared" ca="1" si="309"/>
        <v>0</v>
      </c>
      <c r="AG1600">
        <f t="shared" ca="1" si="315"/>
        <v>0</v>
      </c>
      <c r="AH1600">
        <f t="shared" ca="1" si="310"/>
        <v>0</v>
      </c>
      <c r="AI1600">
        <f t="shared" ca="1" si="311"/>
        <v>0</v>
      </c>
      <c r="AJ1600">
        <f t="shared" ca="1" si="312"/>
        <v>0</v>
      </c>
      <c r="AK1600">
        <f t="shared" ca="1" si="313"/>
        <v>0</v>
      </c>
      <c r="AL1600">
        <f t="shared" ca="1" si="314"/>
        <v>0</v>
      </c>
    </row>
    <row r="1601" spans="1:38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#N/A, OFFSET(data!$A$1, ROW()-1, AA$1-1))</f>
        <v>0</v>
      </c>
      <c r="AB1601">
        <f t="shared" ca="1" si="305"/>
        <v>0</v>
      </c>
      <c r="AC1601" t="e">
        <f t="shared" ca="1" si="306"/>
        <v>#VALUE!</v>
      </c>
      <c r="AD1601" t="str">
        <f t="shared" ca="1" si="307"/>
        <v>0</v>
      </c>
      <c r="AE1601" t="str">
        <f t="shared" ca="1" si="308"/>
        <v/>
      </c>
      <c r="AF1601" s="6">
        <f t="shared" ca="1" si="309"/>
        <v>0</v>
      </c>
      <c r="AG1601">
        <f t="shared" ca="1" si="315"/>
        <v>0</v>
      </c>
      <c r="AH1601">
        <f t="shared" ca="1" si="310"/>
        <v>0</v>
      </c>
      <c r="AI1601">
        <f t="shared" ca="1" si="311"/>
        <v>0</v>
      </c>
      <c r="AJ1601">
        <f t="shared" ca="1" si="312"/>
        <v>0</v>
      </c>
      <c r="AK1601">
        <f t="shared" ca="1" si="313"/>
        <v>0</v>
      </c>
      <c r="AL1601">
        <f t="shared" ca="1" si="314"/>
        <v>0</v>
      </c>
    </row>
    <row r="1602" spans="1:38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#N/A, OFFSET(data!$A$1, ROW()-1, AA$1-1))</f>
        <v>0</v>
      </c>
      <c r="AB1602">
        <f t="shared" ca="1" si="305"/>
        <v>0</v>
      </c>
      <c r="AC1602" t="e">
        <f t="shared" ca="1" si="306"/>
        <v>#VALUE!</v>
      </c>
      <c r="AD1602" t="str">
        <f t="shared" ca="1" si="307"/>
        <v>0</v>
      </c>
      <c r="AE1602" t="str">
        <f t="shared" ca="1" si="308"/>
        <v/>
      </c>
      <c r="AF1602" s="6">
        <f t="shared" ca="1" si="309"/>
        <v>0</v>
      </c>
      <c r="AG1602">
        <f t="shared" ca="1" si="315"/>
        <v>0</v>
      </c>
      <c r="AH1602">
        <f t="shared" ca="1" si="310"/>
        <v>0</v>
      </c>
      <c r="AI1602">
        <f t="shared" ca="1" si="311"/>
        <v>0</v>
      </c>
      <c r="AJ1602">
        <f t="shared" ca="1" si="312"/>
        <v>0</v>
      </c>
      <c r="AK1602">
        <f t="shared" ca="1" si="313"/>
        <v>0</v>
      </c>
      <c r="AL1602">
        <f t="shared" ca="1" si="314"/>
        <v>0</v>
      </c>
    </row>
    <row r="1603" spans="1:38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#N/A, OFFSET(data!$A$1, ROW()-1, AA$1-1))</f>
        <v>0</v>
      </c>
      <c r="AB1603">
        <f t="shared" ref="AB1603:AB1666" ca="1" si="316">VALUE(LEFT(C1603, 4))</f>
        <v>0</v>
      </c>
      <c r="AC1603" t="e">
        <f t="shared" ref="AC1603:AC1666" ca="1" si="317">VALUE(MID(C1603, 6, 2))</f>
        <v>#VALUE!</v>
      </c>
      <c r="AD1603" t="str">
        <f t="shared" ref="AD1603:AD1666" ca="1" si="318">SUBSTITUTE(MID(C1603,6,6)&amp;LEFT(C1603,4), "-", "/")</f>
        <v>0</v>
      </c>
      <c r="AE1603" t="str">
        <f t="shared" ref="AE1603:AE1666" ca="1" si="319">IF(RIGHT(C1603, 5)="12:00", AD1603, "")</f>
        <v/>
      </c>
      <c r="AF1603" s="6">
        <f t="shared" ref="AF1603:AF1666" ca="1" si="320">Z1603/1000</f>
        <v>0</v>
      </c>
      <c r="AG1603">
        <f t="shared" ca="1" si="315"/>
        <v>0</v>
      </c>
      <c r="AH1603">
        <f t="shared" ca="1" si="310"/>
        <v>0</v>
      </c>
      <c r="AI1603">
        <f t="shared" ca="1" si="311"/>
        <v>0</v>
      </c>
      <c r="AJ1603">
        <f t="shared" ca="1" si="312"/>
        <v>0</v>
      </c>
      <c r="AK1603">
        <f t="shared" ca="1" si="313"/>
        <v>0</v>
      </c>
      <c r="AL1603">
        <f t="shared" ca="1" si="314"/>
        <v>0</v>
      </c>
    </row>
    <row r="1604" spans="1:38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#N/A, OFFSET(data!$A$1, ROW()-1, AA$1-1))</f>
        <v>0</v>
      </c>
      <c r="AB1604">
        <f t="shared" ca="1" si="316"/>
        <v>0</v>
      </c>
      <c r="AC1604" t="e">
        <f t="shared" ca="1" si="317"/>
        <v>#VALUE!</v>
      </c>
      <c r="AD1604" t="str">
        <f t="shared" ca="1" si="318"/>
        <v>0</v>
      </c>
      <c r="AE1604" t="str">
        <f t="shared" ca="1" si="319"/>
        <v/>
      </c>
      <c r="AF1604" s="6">
        <f t="shared" ca="1" si="320"/>
        <v>0</v>
      </c>
      <c r="AG1604">
        <f t="shared" ca="1" si="315"/>
        <v>0</v>
      </c>
      <c r="AH1604">
        <f t="shared" ref="AH1604:AH1667" ca="1" si="321">MAX(S1604,Y1604)</f>
        <v>0</v>
      </c>
      <c r="AI1604">
        <f t="shared" ref="AI1604:AI1667" ca="1" si="322">MAX(R1604,V1604)</f>
        <v>0</v>
      </c>
      <c r="AJ1604">
        <f t="shared" ref="AJ1604:AJ1667" ca="1" si="323">K1604+N1604</f>
        <v>0</v>
      </c>
      <c r="AK1604">
        <f t="shared" ref="AK1604:AK1667" ca="1" si="324">L1604+O1604</f>
        <v>0</v>
      </c>
      <c r="AL1604">
        <f t="shared" ref="AL1604:AL1667" ca="1" si="325">M1604+P1604</f>
        <v>0</v>
      </c>
    </row>
    <row r="1605" spans="1:38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#N/A, OFFSET(data!$A$1, ROW()-1, AA$1-1))</f>
        <v>0</v>
      </c>
      <c r="AB1605">
        <f t="shared" ca="1" si="316"/>
        <v>0</v>
      </c>
      <c r="AC1605" t="e">
        <f t="shared" ca="1" si="317"/>
        <v>#VALUE!</v>
      </c>
      <c r="AD1605" t="str">
        <f t="shared" ca="1" si="318"/>
        <v>0</v>
      </c>
      <c r="AE1605" t="str">
        <f t="shared" ca="1" si="319"/>
        <v/>
      </c>
      <c r="AF1605" s="6">
        <f t="shared" ca="1" si="320"/>
        <v>0</v>
      </c>
      <c r="AG1605">
        <f t="shared" ca="1" si="315"/>
        <v>0</v>
      </c>
      <c r="AH1605">
        <f t="shared" ca="1" si="321"/>
        <v>0</v>
      </c>
      <c r="AI1605">
        <f t="shared" ca="1" si="322"/>
        <v>0</v>
      </c>
      <c r="AJ1605">
        <f t="shared" ca="1" si="323"/>
        <v>0</v>
      </c>
      <c r="AK1605">
        <f t="shared" ca="1" si="324"/>
        <v>0</v>
      </c>
      <c r="AL1605">
        <f t="shared" ca="1" si="325"/>
        <v>0</v>
      </c>
    </row>
    <row r="1606" spans="1:38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#N/A, OFFSET(data!$A$1, ROW()-1, AA$1-1))</f>
        <v>0</v>
      </c>
      <c r="AB1606">
        <f t="shared" ca="1" si="316"/>
        <v>0</v>
      </c>
      <c r="AC1606" t="e">
        <f t="shared" ca="1" si="317"/>
        <v>#VALUE!</v>
      </c>
      <c r="AD1606" t="str">
        <f t="shared" ca="1" si="318"/>
        <v>0</v>
      </c>
      <c r="AE1606" t="str">
        <f t="shared" ca="1" si="319"/>
        <v/>
      </c>
      <c r="AF1606" s="6">
        <f t="shared" ca="1" si="320"/>
        <v>0</v>
      </c>
      <c r="AG1606">
        <f t="shared" ca="1" si="315"/>
        <v>0</v>
      </c>
      <c r="AH1606">
        <f t="shared" ca="1" si="321"/>
        <v>0</v>
      </c>
      <c r="AI1606">
        <f t="shared" ca="1" si="322"/>
        <v>0</v>
      </c>
      <c r="AJ1606">
        <f t="shared" ca="1" si="323"/>
        <v>0</v>
      </c>
      <c r="AK1606">
        <f t="shared" ca="1" si="324"/>
        <v>0</v>
      </c>
      <c r="AL1606">
        <f t="shared" ca="1" si="325"/>
        <v>0</v>
      </c>
    </row>
    <row r="1607" spans="1:38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#N/A, OFFSET(data!$A$1, ROW()-1, AA$1-1))</f>
        <v>0</v>
      </c>
      <c r="AB1607">
        <f t="shared" ca="1" si="316"/>
        <v>0</v>
      </c>
      <c r="AC1607" t="e">
        <f t="shared" ca="1" si="317"/>
        <v>#VALUE!</v>
      </c>
      <c r="AD1607" t="str">
        <f t="shared" ca="1" si="318"/>
        <v>0</v>
      </c>
      <c r="AE1607" t="str">
        <f t="shared" ca="1" si="319"/>
        <v/>
      </c>
      <c r="AF1607" s="6">
        <f t="shared" ca="1" si="320"/>
        <v>0</v>
      </c>
      <c r="AG1607">
        <f t="shared" ca="1" si="315"/>
        <v>0</v>
      </c>
      <c r="AH1607">
        <f t="shared" ca="1" si="321"/>
        <v>0</v>
      </c>
      <c r="AI1607">
        <f t="shared" ca="1" si="322"/>
        <v>0</v>
      </c>
      <c r="AJ1607">
        <f t="shared" ca="1" si="323"/>
        <v>0</v>
      </c>
      <c r="AK1607">
        <f t="shared" ca="1" si="324"/>
        <v>0</v>
      </c>
      <c r="AL1607">
        <f t="shared" ca="1" si="325"/>
        <v>0</v>
      </c>
    </row>
    <row r="1608" spans="1:38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#N/A, OFFSET(data!$A$1, ROW()-1, AA$1-1))</f>
        <v>0</v>
      </c>
      <c r="AB1608">
        <f t="shared" ca="1" si="316"/>
        <v>0</v>
      </c>
      <c r="AC1608" t="e">
        <f t="shared" ca="1" si="317"/>
        <v>#VALUE!</v>
      </c>
      <c r="AD1608" t="str">
        <f t="shared" ca="1" si="318"/>
        <v>0</v>
      </c>
      <c r="AE1608" t="str">
        <f t="shared" ca="1" si="319"/>
        <v/>
      </c>
      <c r="AF1608" s="6">
        <f t="shared" ca="1" si="320"/>
        <v>0</v>
      </c>
      <c r="AG1608">
        <f t="shared" ca="1" si="315"/>
        <v>0</v>
      </c>
      <c r="AH1608">
        <f t="shared" ca="1" si="321"/>
        <v>0</v>
      </c>
      <c r="AI1608">
        <f t="shared" ca="1" si="322"/>
        <v>0</v>
      </c>
      <c r="AJ1608">
        <f t="shared" ca="1" si="323"/>
        <v>0</v>
      </c>
      <c r="AK1608">
        <f t="shared" ca="1" si="324"/>
        <v>0</v>
      </c>
      <c r="AL1608">
        <f t="shared" ca="1" si="325"/>
        <v>0</v>
      </c>
    </row>
    <row r="1609" spans="1:38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#N/A, OFFSET(data!$A$1, ROW()-1, AA$1-1))</f>
        <v>0</v>
      </c>
      <c r="AB1609">
        <f t="shared" ca="1" si="316"/>
        <v>0</v>
      </c>
      <c r="AC1609" t="e">
        <f t="shared" ca="1" si="317"/>
        <v>#VALUE!</v>
      </c>
      <c r="AD1609" t="str">
        <f t="shared" ca="1" si="318"/>
        <v>0</v>
      </c>
      <c r="AE1609" t="str">
        <f t="shared" ca="1" si="319"/>
        <v/>
      </c>
      <c r="AF1609" s="6">
        <f t="shared" ca="1" si="320"/>
        <v>0</v>
      </c>
      <c r="AG1609">
        <f t="shared" ca="1" si="315"/>
        <v>0</v>
      </c>
      <c r="AH1609">
        <f t="shared" ca="1" si="321"/>
        <v>0</v>
      </c>
      <c r="AI1609">
        <f t="shared" ca="1" si="322"/>
        <v>0</v>
      </c>
      <c r="AJ1609">
        <f t="shared" ca="1" si="323"/>
        <v>0</v>
      </c>
      <c r="AK1609">
        <f t="shared" ca="1" si="324"/>
        <v>0</v>
      </c>
      <c r="AL1609">
        <f t="shared" ca="1" si="325"/>
        <v>0</v>
      </c>
    </row>
    <row r="1610" spans="1:38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#N/A, OFFSET(data!$A$1, ROW()-1, AA$1-1))</f>
        <v>0</v>
      </c>
      <c r="AB1610">
        <f t="shared" ca="1" si="316"/>
        <v>0</v>
      </c>
      <c r="AC1610" t="e">
        <f t="shared" ca="1" si="317"/>
        <v>#VALUE!</v>
      </c>
      <c r="AD1610" t="str">
        <f t="shared" ca="1" si="318"/>
        <v>0</v>
      </c>
      <c r="AE1610" t="str">
        <f t="shared" ca="1" si="319"/>
        <v/>
      </c>
      <c r="AF1610" s="6">
        <f t="shared" ca="1" si="320"/>
        <v>0</v>
      </c>
      <c r="AG1610">
        <f t="shared" ca="1" si="315"/>
        <v>0</v>
      </c>
      <c r="AH1610">
        <f t="shared" ca="1" si="321"/>
        <v>0</v>
      </c>
      <c r="AI1610">
        <f t="shared" ca="1" si="322"/>
        <v>0</v>
      </c>
      <c r="AJ1610">
        <f t="shared" ca="1" si="323"/>
        <v>0</v>
      </c>
      <c r="AK1610">
        <f t="shared" ca="1" si="324"/>
        <v>0</v>
      </c>
      <c r="AL1610">
        <f t="shared" ca="1" si="325"/>
        <v>0</v>
      </c>
    </row>
    <row r="1611" spans="1:38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#N/A, OFFSET(data!$A$1, ROW()-1, AA$1-1))</f>
        <v>0</v>
      </c>
      <c r="AB1611">
        <f t="shared" ca="1" si="316"/>
        <v>0</v>
      </c>
      <c r="AC1611" t="e">
        <f t="shared" ca="1" si="317"/>
        <v>#VALUE!</v>
      </c>
      <c r="AD1611" t="str">
        <f t="shared" ca="1" si="318"/>
        <v>0</v>
      </c>
      <c r="AE1611" t="str">
        <f t="shared" ca="1" si="319"/>
        <v/>
      </c>
      <c r="AF1611" s="6">
        <f t="shared" ca="1" si="320"/>
        <v>0</v>
      </c>
      <c r="AG1611">
        <f t="shared" ca="1" si="315"/>
        <v>0</v>
      </c>
      <c r="AH1611">
        <f t="shared" ca="1" si="321"/>
        <v>0</v>
      </c>
      <c r="AI1611">
        <f t="shared" ca="1" si="322"/>
        <v>0</v>
      </c>
      <c r="AJ1611">
        <f t="shared" ca="1" si="323"/>
        <v>0</v>
      </c>
      <c r="AK1611">
        <f t="shared" ca="1" si="324"/>
        <v>0</v>
      </c>
      <c r="AL1611">
        <f t="shared" ca="1" si="325"/>
        <v>0</v>
      </c>
    </row>
    <row r="1612" spans="1:38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#N/A, OFFSET(data!$A$1, ROW()-1, AA$1-1))</f>
        <v>0</v>
      </c>
      <c r="AB1612">
        <f t="shared" ca="1" si="316"/>
        <v>0</v>
      </c>
      <c r="AC1612" t="e">
        <f t="shared" ca="1" si="317"/>
        <v>#VALUE!</v>
      </c>
      <c r="AD1612" t="str">
        <f t="shared" ca="1" si="318"/>
        <v>0</v>
      </c>
      <c r="AE1612" t="str">
        <f t="shared" ca="1" si="319"/>
        <v/>
      </c>
      <c r="AF1612" s="6">
        <f t="shared" ca="1" si="320"/>
        <v>0</v>
      </c>
      <c r="AG1612">
        <f t="shared" ca="1" si="315"/>
        <v>0</v>
      </c>
      <c r="AH1612">
        <f t="shared" ca="1" si="321"/>
        <v>0</v>
      </c>
      <c r="AI1612">
        <f t="shared" ca="1" si="322"/>
        <v>0</v>
      </c>
      <c r="AJ1612">
        <f t="shared" ca="1" si="323"/>
        <v>0</v>
      </c>
      <c r="AK1612">
        <f t="shared" ca="1" si="324"/>
        <v>0</v>
      </c>
      <c r="AL1612">
        <f t="shared" ca="1" si="325"/>
        <v>0</v>
      </c>
    </row>
    <row r="1613" spans="1:38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#N/A, OFFSET(data!$A$1, ROW()-1, AA$1-1))</f>
        <v>0</v>
      </c>
      <c r="AB1613">
        <f t="shared" ca="1" si="316"/>
        <v>0</v>
      </c>
      <c r="AC1613" t="e">
        <f t="shared" ca="1" si="317"/>
        <v>#VALUE!</v>
      </c>
      <c r="AD1613" t="str">
        <f t="shared" ca="1" si="318"/>
        <v>0</v>
      </c>
      <c r="AE1613" t="str">
        <f t="shared" ca="1" si="319"/>
        <v/>
      </c>
      <c r="AF1613" s="6">
        <f t="shared" ca="1" si="320"/>
        <v>0</v>
      </c>
      <c r="AG1613">
        <f t="shared" ca="1" si="315"/>
        <v>0</v>
      </c>
      <c r="AH1613">
        <f t="shared" ca="1" si="321"/>
        <v>0</v>
      </c>
      <c r="AI1613">
        <f t="shared" ca="1" si="322"/>
        <v>0</v>
      </c>
      <c r="AJ1613">
        <f t="shared" ca="1" si="323"/>
        <v>0</v>
      </c>
      <c r="AK1613">
        <f t="shared" ca="1" si="324"/>
        <v>0</v>
      </c>
      <c r="AL1613">
        <f t="shared" ca="1" si="325"/>
        <v>0</v>
      </c>
    </row>
    <row r="1614" spans="1:38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#N/A, OFFSET(data!$A$1, ROW()-1, AA$1-1))</f>
        <v>0</v>
      </c>
      <c r="AB1614">
        <f t="shared" ca="1" si="316"/>
        <v>0</v>
      </c>
      <c r="AC1614" t="e">
        <f t="shared" ca="1" si="317"/>
        <v>#VALUE!</v>
      </c>
      <c r="AD1614" t="str">
        <f t="shared" ca="1" si="318"/>
        <v>0</v>
      </c>
      <c r="AE1614" t="str">
        <f t="shared" ca="1" si="319"/>
        <v/>
      </c>
      <c r="AF1614" s="6">
        <f t="shared" ca="1" si="320"/>
        <v>0</v>
      </c>
      <c r="AG1614">
        <f t="shared" ca="1" si="315"/>
        <v>0</v>
      </c>
      <c r="AH1614">
        <f t="shared" ca="1" si="321"/>
        <v>0</v>
      </c>
      <c r="AI1614">
        <f t="shared" ca="1" si="322"/>
        <v>0</v>
      </c>
      <c r="AJ1614">
        <f t="shared" ca="1" si="323"/>
        <v>0</v>
      </c>
      <c r="AK1614">
        <f t="shared" ca="1" si="324"/>
        <v>0</v>
      </c>
      <c r="AL1614">
        <f t="shared" ca="1" si="325"/>
        <v>0</v>
      </c>
    </row>
    <row r="1615" spans="1:38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#N/A, OFFSET(data!$A$1, ROW()-1, AA$1-1))</f>
        <v>0</v>
      </c>
      <c r="AB1615">
        <f t="shared" ca="1" si="316"/>
        <v>0</v>
      </c>
      <c r="AC1615" t="e">
        <f t="shared" ca="1" si="317"/>
        <v>#VALUE!</v>
      </c>
      <c r="AD1615" t="str">
        <f t="shared" ca="1" si="318"/>
        <v>0</v>
      </c>
      <c r="AE1615" t="str">
        <f t="shared" ca="1" si="319"/>
        <v/>
      </c>
      <c r="AF1615" s="6">
        <f t="shared" ca="1" si="320"/>
        <v>0</v>
      </c>
      <c r="AG1615">
        <f t="shared" ca="1" si="315"/>
        <v>0</v>
      </c>
      <c r="AH1615">
        <f t="shared" ca="1" si="321"/>
        <v>0</v>
      </c>
      <c r="AI1615">
        <f t="shared" ca="1" si="322"/>
        <v>0</v>
      </c>
      <c r="AJ1615">
        <f t="shared" ca="1" si="323"/>
        <v>0</v>
      </c>
      <c r="AK1615">
        <f t="shared" ca="1" si="324"/>
        <v>0</v>
      </c>
      <c r="AL1615">
        <f t="shared" ca="1" si="325"/>
        <v>0</v>
      </c>
    </row>
    <row r="1616" spans="1:38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#N/A, OFFSET(data!$A$1, ROW()-1, AA$1-1))</f>
        <v>0</v>
      </c>
      <c r="AB1616">
        <f t="shared" ca="1" si="316"/>
        <v>0</v>
      </c>
      <c r="AC1616" t="e">
        <f t="shared" ca="1" si="317"/>
        <v>#VALUE!</v>
      </c>
      <c r="AD1616" t="str">
        <f t="shared" ca="1" si="318"/>
        <v>0</v>
      </c>
      <c r="AE1616" t="str">
        <f t="shared" ca="1" si="319"/>
        <v/>
      </c>
      <c r="AF1616" s="6">
        <f t="shared" ca="1" si="320"/>
        <v>0</v>
      </c>
      <c r="AG1616">
        <f t="shared" ca="1" si="315"/>
        <v>0</v>
      </c>
      <c r="AH1616">
        <f t="shared" ca="1" si="321"/>
        <v>0</v>
      </c>
      <c r="AI1616">
        <f t="shared" ca="1" si="322"/>
        <v>0</v>
      </c>
      <c r="AJ1616">
        <f t="shared" ca="1" si="323"/>
        <v>0</v>
      </c>
      <c r="AK1616">
        <f t="shared" ca="1" si="324"/>
        <v>0</v>
      </c>
      <c r="AL1616">
        <f t="shared" ca="1" si="325"/>
        <v>0</v>
      </c>
    </row>
    <row r="1617" spans="1:38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#N/A, OFFSET(data!$A$1, ROW()-1, AA$1-1))</f>
        <v>0</v>
      </c>
      <c r="AB1617">
        <f t="shared" ca="1" si="316"/>
        <v>0</v>
      </c>
      <c r="AC1617" t="e">
        <f t="shared" ca="1" si="317"/>
        <v>#VALUE!</v>
      </c>
      <c r="AD1617" t="str">
        <f t="shared" ca="1" si="318"/>
        <v>0</v>
      </c>
      <c r="AE1617" t="str">
        <f t="shared" ca="1" si="319"/>
        <v/>
      </c>
      <c r="AF1617" s="6">
        <f t="shared" ca="1" si="320"/>
        <v>0</v>
      </c>
      <c r="AG1617">
        <f t="shared" ca="1" si="315"/>
        <v>0</v>
      </c>
      <c r="AH1617">
        <f t="shared" ca="1" si="321"/>
        <v>0</v>
      </c>
      <c r="AI1617">
        <f t="shared" ca="1" si="322"/>
        <v>0</v>
      </c>
      <c r="AJ1617">
        <f t="shared" ca="1" si="323"/>
        <v>0</v>
      </c>
      <c r="AK1617">
        <f t="shared" ca="1" si="324"/>
        <v>0</v>
      </c>
      <c r="AL1617">
        <f t="shared" ca="1" si="325"/>
        <v>0</v>
      </c>
    </row>
    <row r="1618" spans="1:38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#N/A, OFFSET(data!$A$1, ROW()-1, AA$1-1))</f>
        <v>0</v>
      </c>
      <c r="AB1618">
        <f t="shared" ca="1" si="316"/>
        <v>0</v>
      </c>
      <c r="AC1618" t="e">
        <f t="shared" ca="1" si="317"/>
        <v>#VALUE!</v>
      </c>
      <c r="AD1618" t="str">
        <f t="shared" ca="1" si="318"/>
        <v>0</v>
      </c>
      <c r="AE1618" t="str">
        <f t="shared" ca="1" si="319"/>
        <v/>
      </c>
      <c r="AF1618" s="6">
        <f t="shared" ca="1" si="320"/>
        <v>0</v>
      </c>
      <c r="AG1618">
        <f t="shared" ca="1" si="315"/>
        <v>0</v>
      </c>
      <c r="AH1618">
        <f t="shared" ca="1" si="321"/>
        <v>0</v>
      </c>
      <c r="AI1618">
        <f t="shared" ca="1" si="322"/>
        <v>0</v>
      </c>
      <c r="AJ1618">
        <f t="shared" ca="1" si="323"/>
        <v>0</v>
      </c>
      <c r="AK1618">
        <f t="shared" ca="1" si="324"/>
        <v>0</v>
      </c>
      <c r="AL1618">
        <f t="shared" ca="1" si="325"/>
        <v>0</v>
      </c>
    </row>
    <row r="1619" spans="1:38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#N/A, OFFSET(data!$A$1, ROW()-1, AA$1-1))</f>
        <v>0</v>
      </c>
      <c r="AB1619">
        <f t="shared" ca="1" si="316"/>
        <v>0</v>
      </c>
      <c r="AC1619" t="e">
        <f t="shared" ca="1" si="317"/>
        <v>#VALUE!</v>
      </c>
      <c r="AD1619" t="str">
        <f t="shared" ca="1" si="318"/>
        <v>0</v>
      </c>
      <c r="AE1619" t="str">
        <f t="shared" ca="1" si="319"/>
        <v/>
      </c>
      <c r="AF1619" s="6">
        <f t="shared" ca="1" si="320"/>
        <v>0</v>
      </c>
      <c r="AG1619">
        <f t="shared" ca="1" si="315"/>
        <v>0</v>
      </c>
      <c r="AH1619">
        <f t="shared" ca="1" si="321"/>
        <v>0</v>
      </c>
      <c r="AI1619">
        <f t="shared" ca="1" si="322"/>
        <v>0</v>
      </c>
      <c r="AJ1619">
        <f t="shared" ca="1" si="323"/>
        <v>0</v>
      </c>
      <c r="AK1619">
        <f t="shared" ca="1" si="324"/>
        <v>0</v>
      </c>
      <c r="AL1619">
        <f t="shared" ca="1" si="325"/>
        <v>0</v>
      </c>
    </row>
    <row r="1620" spans="1:38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#N/A, OFFSET(data!$A$1, ROW()-1, AA$1-1))</f>
        <v>0</v>
      </c>
      <c r="AB1620">
        <f t="shared" ca="1" si="316"/>
        <v>0</v>
      </c>
      <c r="AC1620" t="e">
        <f t="shared" ca="1" si="317"/>
        <v>#VALUE!</v>
      </c>
      <c r="AD1620" t="str">
        <f t="shared" ca="1" si="318"/>
        <v>0</v>
      </c>
      <c r="AE1620" t="str">
        <f t="shared" ca="1" si="319"/>
        <v/>
      </c>
      <c r="AF1620" s="6">
        <f t="shared" ca="1" si="320"/>
        <v>0</v>
      </c>
      <c r="AG1620">
        <f t="shared" ca="1" si="315"/>
        <v>0</v>
      </c>
      <c r="AH1620">
        <f t="shared" ca="1" si="321"/>
        <v>0</v>
      </c>
      <c r="AI1620">
        <f t="shared" ca="1" si="322"/>
        <v>0</v>
      </c>
      <c r="AJ1620">
        <f t="shared" ca="1" si="323"/>
        <v>0</v>
      </c>
      <c r="AK1620">
        <f t="shared" ca="1" si="324"/>
        <v>0</v>
      </c>
      <c r="AL1620">
        <f t="shared" ca="1" si="325"/>
        <v>0</v>
      </c>
    </row>
    <row r="1621" spans="1:38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#N/A, OFFSET(data!$A$1, ROW()-1, AA$1-1))</f>
        <v>0</v>
      </c>
      <c r="AB1621">
        <f t="shared" ca="1" si="316"/>
        <v>0</v>
      </c>
      <c r="AC1621" t="e">
        <f t="shared" ca="1" si="317"/>
        <v>#VALUE!</v>
      </c>
      <c r="AD1621" t="str">
        <f t="shared" ca="1" si="318"/>
        <v>0</v>
      </c>
      <c r="AE1621" t="str">
        <f t="shared" ca="1" si="319"/>
        <v/>
      </c>
      <c r="AF1621" s="6">
        <f t="shared" ca="1" si="320"/>
        <v>0</v>
      </c>
      <c r="AG1621">
        <f t="shared" ca="1" si="315"/>
        <v>0</v>
      </c>
      <c r="AH1621">
        <f t="shared" ca="1" si="321"/>
        <v>0</v>
      </c>
      <c r="AI1621">
        <f t="shared" ca="1" si="322"/>
        <v>0</v>
      </c>
      <c r="AJ1621">
        <f t="shared" ca="1" si="323"/>
        <v>0</v>
      </c>
      <c r="AK1621">
        <f t="shared" ca="1" si="324"/>
        <v>0</v>
      </c>
      <c r="AL1621">
        <f t="shared" ca="1" si="325"/>
        <v>0</v>
      </c>
    </row>
    <row r="1622" spans="1:38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#N/A, OFFSET(data!$A$1, ROW()-1, AA$1-1))</f>
        <v>0</v>
      </c>
      <c r="AB1622">
        <f t="shared" ca="1" si="316"/>
        <v>0</v>
      </c>
      <c r="AC1622" t="e">
        <f t="shared" ca="1" si="317"/>
        <v>#VALUE!</v>
      </c>
      <c r="AD1622" t="str">
        <f t="shared" ca="1" si="318"/>
        <v>0</v>
      </c>
      <c r="AE1622" t="str">
        <f t="shared" ca="1" si="319"/>
        <v/>
      </c>
      <c r="AF1622" s="6">
        <f t="shared" ca="1" si="320"/>
        <v>0</v>
      </c>
      <c r="AG1622">
        <f t="shared" ca="1" si="315"/>
        <v>0</v>
      </c>
      <c r="AH1622">
        <f t="shared" ca="1" si="321"/>
        <v>0</v>
      </c>
      <c r="AI1622">
        <f t="shared" ca="1" si="322"/>
        <v>0</v>
      </c>
      <c r="AJ1622">
        <f t="shared" ca="1" si="323"/>
        <v>0</v>
      </c>
      <c r="AK1622">
        <f t="shared" ca="1" si="324"/>
        <v>0</v>
      </c>
      <c r="AL1622">
        <f t="shared" ca="1" si="325"/>
        <v>0</v>
      </c>
    </row>
    <row r="1623" spans="1:38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#N/A, OFFSET(data!$A$1, ROW()-1, AA$1-1))</f>
        <v>0</v>
      </c>
      <c r="AB1623">
        <f t="shared" ca="1" si="316"/>
        <v>0</v>
      </c>
      <c r="AC1623" t="e">
        <f t="shared" ca="1" si="317"/>
        <v>#VALUE!</v>
      </c>
      <c r="AD1623" t="str">
        <f t="shared" ca="1" si="318"/>
        <v>0</v>
      </c>
      <c r="AE1623" t="str">
        <f t="shared" ca="1" si="319"/>
        <v/>
      </c>
      <c r="AF1623" s="6">
        <f t="shared" ca="1" si="320"/>
        <v>0</v>
      </c>
      <c r="AG1623">
        <f t="shared" ca="1" si="315"/>
        <v>0</v>
      </c>
      <c r="AH1623">
        <f t="shared" ca="1" si="321"/>
        <v>0</v>
      </c>
      <c r="AI1623">
        <f t="shared" ca="1" si="322"/>
        <v>0</v>
      </c>
      <c r="AJ1623">
        <f t="shared" ca="1" si="323"/>
        <v>0</v>
      </c>
      <c r="AK1623">
        <f t="shared" ca="1" si="324"/>
        <v>0</v>
      </c>
      <c r="AL1623">
        <f t="shared" ca="1" si="325"/>
        <v>0</v>
      </c>
    </row>
    <row r="1624" spans="1:38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#N/A, OFFSET(data!$A$1, ROW()-1, AA$1-1))</f>
        <v>0</v>
      </c>
      <c r="AB1624">
        <f t="shared" ca="1" si="316"/>
        <v>0</v>
      </c>
      <c r="AC1624" t="e">
        <f t="shared" ca="1" si="317"/>
        <v>#VALUE!</v>
      </c>
      <c r="AD1624" t="str">
        <f t="shared" ca="1" si="318"/>
        <v>0</v>
      </c>
      <c r="AE1624" t="str">
        <f t="shared" ca="1" si="319"/>
        <v/>
      </c>
      <c r="AF1624" s="6">
        <f t="shared" ca="1" si="320"/>
        <v>0</v>
      </c>
      <c r="AG1624">
        <f t="shared" ca="1" si="315"/>
        <v>0</v>
      </c>
      <c r="AH1624">
        <f t="shared" ca="1" si="321"/>
        <v>0</v>
      </c>
      <c r="AI1624">
        <f t="shared" ca="1" si="322"/>
        <v>0</v>
      </c>
      <c r="AJ1624">
        <f t="shared" ca="1" si="323"/>
        <v>0</v>
      </c>
      <c r="AK1624">
        <f t="shared" ca="1" si="324"/>
        <v>0</v>
      </c>
      <c r="AL1624">
        <f t="shared" ca="1" si="325"/>
        <v>0</v>
      </c>
    </row>
    <row r="1625" spans="1:38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#N/A, OFFSET(data!$A$1, ROW()-1, AA$1-1))</f>
        <v>0</v>
      </c>
      <c r="AB1625">
        <f t="shared" ca="1" si="316"/>
        <v>0</v>
      </c>
      <c r="AC1625" t="e">
        <f t="shared" ca="1" si="317"/>
        <v>#VALUE!</v>
      </c>
      <c r="AD1625" t="str">
        <f t="shared" ca="1" si="318"/>
        <v>0</v>
      </c>
      <c r="AE1625" t="str">
        <f t="shared" ca="1" si="319"/>
        <v/>
      </c>
      <c r="AF1625" s="6">
        <f t="shared" ca="1" si="320"/>
        <v>0</v>
      </c>
      <c r="AG1625">
        <f t="shared" ca="1" si="315"/>
        <v>0</v>
      </c>
      <c r="AH1625">
        <f t="shared" ca="1" si="321"/>
        <v>0</v>
      </c>
      <c r="AI1625">
        <f t="shared" ca="1" si="322"/>
        <v>0</v>
      </c>
      <c r="AJ1625">
        <f t="shared" ca="1" si="323"/>
        <v>0</v>
      </c>
      <c r="AK1625">
        <f t="shared" ca="1" si="324"/>
        <v>0</v>
      </c>
      <c r="AL1625">
        <f t="shared" ca="1" si="325"/>
        <v>0</v>
      </c>
    </row>
    <row r="1626" spans="1:38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#N/A, OFFSET(data!$A$1, ROW()-1, AA$1-1))</f>
        <v>0</v>
      </c>
      <c r="AB1626">
        <f t="shared" ca="1" si="316"/>
        <v>0</v>
      </c>
      <c r="AC1626" t="e">
        <f t="shared" ca="1" si="317"/>
        <v>#VALUE!</v>
      </c>
      <c r="AD1626" t="str">
        <f t="shared" ca="1" si="318"/>
        <v>0</v>
      </c>
      <c r="AE1626" t="str">
        <f t="shared" ca="1" si="319"/>
        <v/>
      </c>
      <c r="AF1626" s="6">
        <f t="shared" ca="1" si="320"/>
        <v>0</v>
      </c>
      <c r="AG1626">
        <f t="shared" ca="1" si="315"/>
        <v>0</v>
      </c>
      <c r="AH1626">
        <f t="shared" ca="1" si="321"/>
        <v>0</v>
      </c>
      <c r="AI1626">
        <f t="shared" ca="1" si="322"/>
        <v>0</v>
      </c>
      <c r="AJ1626">
        <f t="shared" ca="1" si="323"/>
        <v>0</v>
      </c>
      <c r="AK1626">
        <f t="shared" ca="1" si="324"/>
        <v>0</v>
      </c>
      <c r="AL1626">
        <f t="shared" ca="1" si="325"/>
        <v>0</v>
      </c>
    </row>
    <row r="1627" spans="1:38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#N/A, OFFSET(data!$A$1, ROW()-1, AA$1-1))</f>
        <v>0</v>
      </c>
      <c r="AB1627">
        <f t="shared" ca="1" si="316"/>
        <v>0</v>
      </c>
      <c r="AC1627" t="e">
        <f t="shared" ca="1" si="317"/>
        <v>#VALUE!</v>
      </c>
      <c r="AD1627" t="str">
        <f t="shared" ca="1" si="318"/>
        <v>0</v>
      </c>
      <c r="AE1627" t="str">
        <f t="shared" ca="1" si="319"/>
        <v/>
      </c>
      <c r="AF1627" s="6">
        <f t="shared" ca="1" si="320"/>
        <v>0</v>
      </c>
      <c r="AG1627">
        <f t="shared" ca="1" si="315"/>
        <v>0</v>
      </c>
      <c r="AH1627">
        <f t="shared" ca="1" si="321"/>
        <v>0</v>
      </c>
      <c r="AI1627">
        <f t="shared" ca="1" si="322"/>
        <v>0</v>
      </c>
      <c r="AJ1627">
        <f t="shared" ca="1" si="323"/>
        <v>0</v>
      </c>
      <c r="AK1627">
        <f t="shared" ca="1" si="324"/>
        <v>0</v>
      </c>
      <c r="AL1627">
        <f t="shared" ca="1" si="325"/>
        <v>0</v>
      </c>
    </row>
    <row r="1628" spans="1:38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#N/A, OFFSET(data!$A$1, ROW()-1, AA$1-1))</f>
        <v>0</v>
      </c>
      <c r="AB1628">
        <f t="shared" ca="1" si="316"/>
        <v>0</v>
      </c>
      <c r="AC1628" t="e">
        <f t="shared" ca="1" si="317"/>
        <v>#VALUE!</v>
      </c>
      <c r="AD1628" t="str">
        <f t="shared" ca="1" si="318"/>
        <v>0</v>
      </c>
      <c r="AE1628" t="str">
        <f t="shared" ca="1" si="319"/>
        <v/>
      </c>
      <c r="AF1628" s="6">
        <f t="shared" ca="1" si="320"/>
        <v>0</v>
      </c>
      <c r="AG1628">
        <f t="shared" ca="1" si="315"/>
        <v>0</v>
      </c>
      <c r="AH1628">
        <f t="shared" ca="1" si="321"/>
        <v>0</v>
      </c>
      <c r="AI1628">
        <f t="shared" ca="1" si="322"/>
        <v>0</v>
      </c>
      <c r="AJ1628">
        <f t="shared" ca="1" si="323"/>
        <v>0</v>
      </c>
      <c r="AK1628">
        <f t="shared" ca="1" si="324"/>
        <v>0</v>
      </c>
      <c r="AL1628">
        <f t="shared" ca="1" si="325"/>
        <v>0</v>
      </c>
    </row>
    <row r="1629" spans="1:38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#N/A, OFFSET(data!$A$1, ROW()-1, AA$1-1))</f>
        <v>0</v>
      </c>
      <c r="AB1629">
        <f t="shared" ca="1" si="316"/>
        <v>0</v>
      </c>
      <c r="AC1629" t="e">
        <f t="shared" ca="1" si="317"/>
        <v>#VALUE!</v>
      </c>
      <c r="AD1629" t="str">
        <f t="shared" ca="1" si="318"/>
        <v>0</v>
      </c>
      <c r="AE1629" t="str">
        <f t="shared" ca="1" si="319"/>
        <v/>
      </c>
      <c r="AF1629" s="6">
        <f t="shared" ca="1" si="320"/>
        <v>0</v>
      </c>
      <c r="AG1629">
        <f t="shared" ca="1" si="315"/>
        <v>0</v>
      </c>
      <c r="AH1629">
        <f t="shared" ca="1" si="321"/>
        <v>0</v>
      </c>
      <c r="AI1629">
        <f t="shared" ca="1" si="322"/>
        <v>0</v>
      </c>
      <c r="AJ1629">
        <f t="shared" ca="1" si="323"/>
        <v>0</v>
      </c>
      <c r="AK1629">
        <f t="shared" ca="1" si="324"/>
        <v>0</v>
      </c>
      <c r="AL1629">
        <f t="shared" ca="1" si="325"/>
        <v>0</v>
      </c>
    </row>
    <row r="1630" spans="1:38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#N/A, OFFSET(data!$A$1, ROW()-1, AA$1-1))</f>
        <v>0</v>
      </c>
      <c r="AB1630">
        <f t="shared" ca="1" si="316"/>
        <v>0</v>
      </c>
      <c r="AC1630" t="e">
        <f t="shared" ca="1" si="317"/>
        <v>#VALUE!</v>
      </c>
      <c r="AD1630" t="str">
        <f t="shared" ca="1" si="318"/>
        <v>0</v>
      </c>
      <c r="AE1630" t="str">
        <f t="shared" ca="1" si="319"/>
        <v/>
      </c>
      <c r="AF1630" s="6">
        <f t="shared" ca="1" si="320"/>
        <v>0</v>
      </c>
      <c r="AG1630">
        <f t="shared" ca="1" si="315"/>
        <v>0</v>
      </c>
      <c r="AH1630">
        <f t="shared" ca="1" si="321"/>
        <v>0</v>
      </c>
      <c r="AI1630">
        <f t="shared" ca="1" si="322"/>
        <v>0</v>
      </c>
      <c r="AJ1630">
        <f t="shared" ca="1" si="323"/>
        <v>0</v>
      </c>
      <c r="AK1630">
        <f t="shared" ca="1" si="324"/>
        <v>0</v>
      </c>
      <c r="AL1630">
        <f t="shared" ca="1" si="325"/>
        <v>0</v>
      </c>
    </row>
    <row r="1631" spans="1:38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#N/A, OFFSET(data!$A$1, ROW()-1, AA$1-1))</f>
        <v>0</v>
      </c>
      <c r="AB1631">
        <f t="shared" ca="1" si="316"/>
        <v>0</v>
      </c>
      <c r="AC1631" t="e">
        <f t="shared" ca="1" si="317"/>
        <v>#VALUE!</v>
      </c>
      <c r="AD1631" t="str">
        <f t="shared" ca="1" si="318"/>
        <v>0</v>
      </c>
      <c r="AE1631" t="str">
        <f t="shared" ca="1" si="319"/>
        <v/>
      </c>
      <c r="AF1631" s="6">
        <f t="shared" ca="1" si="320"/>
        <v>0</v>
      </c>
      <c r="AG1631">
        <f t="shared" ca="1" si="315"/>
        <v>0</v>
      </c>
      <c r="AH1631">
        <f t="shared" ca="1" si="321"/>
        <v>0</v>
      </c>
      <c r="AI1631">
        <f t="shared" ca="1" si="322"/>
        <v>0</v>
      </c>
      <c r="AJ1631">
        <f t="shared" ca="1" si="323"/>
        <v>0</v>
      </c>
      <c r="AK1631">
        <f t="shared" ca="1" si="324"/>
        <v>0</v>
      </c>
      <c r="AL1631">
        <f t="shared" ca="1" si="325"/>
        <v>0</v>
      </c>
    </row>
    <row r="1632" spans="1:38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#N/A, OFFSET(data!$A$1, ROW()-1, AA$1-1))</f>
        <v>0</v>
      </c>
      <c r="AB1632">
        <f t="shared" ca="1" si="316"/>
        <v>0</v>
      </c>
      <c r="AC1632" t="e">
        <f t="shared" ca="1" si="317"/>
        <v>#VALUE!</v>
      </c>
      <c r="AD1632" t="str">
        <f t="shared" ca="1" si="318"/>
        <v>0</v>
      </c>
      <c r="AE1632" t="str">
        <f t="shared" ca="1" si="319"/>
        <v/>
      </c>
      <c r="AF1632" s="6">
        <f t="shared" ca="1" si="320"/>
        <v>0</v>
      </c>
      <c r="AG1632">
        <f t="shared" ca="1" si="315"/>
        <v>0</v>
      </c>
      <c r="AH1632">
        <f t="shared" ca="1" si="321"/>
        <v>0</v>
      </c>
      <c r="AI1632">
        <f t="shared" ca="1" si="322"/>
        <v>0</v>
      </c>
      <c r="AJ1632">
        <f t="shared" ca="1" si="323"/>
        <v>0</v>
      </c>
      <c r="AK1632">
        <f t="shared" ca="1" si="324"/>
        <v>0</v>
      </c>
      <c r="AL1632">
        <f t="shared" ca="1" si="325"/>
        <v>0</v>
      </c>
    </row>
    <row r="1633" spans="1:38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#N/A, OFFSET(data!$A$1, ROW()-1, AA$1-1))</f>
        <v>0</v>
      </c>
      <c r="AB1633">
        <f t="shared" ca="1" si="316"/>
        <v>0</v>
      </c>
      <c r="AC1633" t="e">
        <f t="shared" ca="1" si="317"/>
        <v>#VALUE!</v>
      </c>
      <c r="AD1633" t="str">
        <f t="shared" ca="1" si="318"/>
        <v>0</v>
      </c>
      <c r="AE1633" t="str">
        <f t="shared" ca="1" si="319"/>
        <v/>
      </c>
      <c r="AF1633" s="6">
        <f t="shared" ca="1" si="320"/>
        <v>0</v>
      </c>
      <c r="AG1633">
        <f t="shared" ca="1" si="315"/>
        <v>0</v>
      </c>
      <c r="AH1633">
        <f t="shared" ca="1" si="321"/>
        <v>0</v>
      </c>
      <c r="AI1633">
        <f t="shared" ca="1" si="322"/>
        <v>0</v>
      </c>
      <c r="AJ1633">
        <f t="shared" ca="1" si="323"/>
        <v>0</v>
      </c>
      <c r="AK1633">
        <f t="shared" ca="1" si="324"/>
        <v>0</v>
      </c>
      <c r="AL1633">
        <f t="shared" ca="1" si="325"/>
        <v>0</v>
      </c>
    </row>
    <row r="1634" spans="1:38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#N/A, OFFSET(data!$A$1, ROW()-1, AA$1-1))</f>
        <v>0</v>
      </c>
      <c r="AB1634">
        <f t="shared" ca="1" si="316"/>
        <v>0</v>
      </c>
      <c r="AC1634" t="e">
        <f t="shared" ca="1" si="317"/>
        <v>#VALUE!</v>
      </c>
      <c r="AD1634" t="str">
        <f t="shared" ca="1" si="318"/>
        <v>0</v>
      </c>
      <c r="AE1634" t="str">
        <f t="shared" ca="1" si="319"/>
        <v/>
      </c>
      <c r="AF1634" s="6">
        <f t="shared" ca="1" si="320"/>
        <v>0</v>
      </c>
      <c r="AG1634">
        <f t="shared" ca="1" si="315"/>
        <v>0</v>
      </c>
      <c r="AH1634">
        <f t="shared" ca="1" si="321"/>
        <v>0</v>
      </c>
      <c r="AI1634">
        <f t="shared" ca="1" si="322"/>
        <v>0</v>
      </c>
      <c r="AJ1634">
        <f t="shared" ca="1" si="323"/>
        <v>0</v>
      </c>
      <c r="AK1634">
        <f t="shared" ca="1" si="324"/>
        <v>0</v>
      </c>
      <c r="AL1634">
        <f t="shared" ca="1" si="325"/>
        <v>0</v>
      </c>
    </row>
    <row r="1635" spans="1:38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#N/A, OFFSET(data!$A$1, ROW()-1, AA$1-1))</f>
        <v>0</v>
      </c>
      <c r="AB1635">
        <f t="shared" ca="1" si="316"/>
        <v>0</v>
      </c>
      <c r="AC1635" t="e">
        <f t="shared" ca="1" si="317"/>
        <v>#VALUE!</v>
      </c>
      <c r="AD1635" t="str">
        <f t="shared" ca="1" si="318"/>
        <v>0</v>
      </c>
      <c r="AE1635" t="str">
        <f t="shared" ca="1" si="319"/>
        <v/>
      </c>
      <c r="AF1635" s="6">
        <f t="shared" ca="1" si="320"/>
        <v>0</v>
      </c>
      <c r="AG1635">
        <f t="shared" ca="1" si="315"/>
        <v>0</v>
      </c>
      <c r="AH1635">
        <f t="shared" ca="1" si="321"/>
        <v>0</v>
      </c>
      <c r="AI1635">
        <f t="shared" ca="1" si="322"/>
        <v>0</v>
      </c>
      <c r="AJ1635">
        <f t="shared" ca="1" si="323"/>
        <v>0</v>
      </c>
      <c r="AK1635">
        <f t="shared" ca="1" si="324"/>
        <v>0</v>
      </c>
      <c r="AL1635">
        <f t="shared" ca="1" si="325"/>
        <v>0</v>
      </c>
    </row>
    <row r="1636" spans="1:38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#N/A, OFFSET(data!$A$1, ROW()-1, AA$1-1))</f>
        <v>0</v>
      </c>
      <c r="AB1636">
        <f t="shared" ca="1" si="316"/>
        <v>0</v>
      </c>
      <c r="AC1636" t="e">
        <f t="shared" ca="1" si="317"/>
        <v>#VALUE!</v>
      </c>
      <c r="AD1636" t="str">
        <f t="shared" ca="1" si="318"/>
        <v>0</v>
      </c>
      <c r="AE1636" t="str">
        <f t="shared" ca="1" si="319"/>
        <v/>
      </c>
      <c r="AF1636" s="6">
        <f t="shared" ca="1" si="320"/>
        <v>0</v>
      </c>
      <c r="AG1636">
        <f t="shared" ca="1" si="315"/>
        <v>0</v>
      </c>
      <c r="AH1636">
        <f t="shared" ca="1" si="321"/>
        <v>0</v>
      </c>
      <c r="AI1636">
        <f t="shared" ca="1" si="322"/>
        <v>0</v>
      </c>
      <c r="AJ1636">
        <f t="shared" ca="1" si="323"/>
        <v>0</v>
      </c>
      <c r="AK1636">
        <f t="shared" ca="1" si="324"/>
        <v>0</v>
      </c>
      <c r="AL1636">
        <f t="shared" ca="1" si="325"/>
        <v>0</v>
      </c>
    </row>
    <row r="1637" spans="1:38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#N/A, OFFSET(data!$A$1, ROW()-1, AA$1-1))</f>
        <v>0</v>
      </c>
      <c r="AB1637">
        <f t="shared" ca="1" si="316"/>
        <v>0</v>
      </c>
      <c r="AC1637" t="e">
        <f t="shared" ca="1" si="317"/>
        <v>#VALUE!</v>
      </c>
      <c r="AD1637" t="str">
        <f t="shared" ca="1" si="318"/>
        <v>0</v>
      </c>
      <c r="AE1637" t="str">
        <f t="shared" ca="1" si="319"/>
        <v/>
      </c>
      <c r="AF1637" s="6">
        <f t="shared" ca="1" si="320"/>
        <v>0</v>
      </c>
      <c r="AG1637">
        <f t="shared" ca="1" si="315"/>
        <v>0</v>
      </c>
      <c r="AH1637">
        <f t="shared" ca="1" si="321"/>
        <v>0</v>
      </c>
      <c r="AI1637">
        <f t="shared" ca="1" si="322"/>
        <v>0</v>
      </c>
      <c r="AJ1637">
        <f t="shared" ca="1" si="323"/>
        <v>0</v>
      </c>
      <c r="AK1637">
        <f t="shared" ca="1" si="324"/>
        <v>0</v>
      </c>
      <c r="AL1637">
        <f t="shared" ca="1" si="325"/>
        <v>0</v>
      </c>
    </row>
    <row r="1638" spans="1:38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#N/A, OFFSET(data!$A$1, ROW()-1, AA$1-1))</f>
        <v>0</v>
      </c>
      <c r="AB1638">
        <f t="shared" ca="1" si="316"/>
        <v>0</v>
      </c>
      <c r="AC1638" t="e">
        <f t="shared" ca="1" si="317"/>
        <v>#VALUE!</v>
      </c>
      <c r="AD1638" t="str">
        <f t="shared" ca="1" si="318"/>
        <v>0</v>
      </c>
      <c r="AE1638" t="str">
        <f t="shared" ca="1" si="319"/>
        <v/>
      </c>
      <c r="AF1638" s="6">
        <f t="shared" ca="1" si="320"/>
        <v>0</v>
      </c>
      <c r="AG1638">
        <f t="shared" ca="1" si="315"/>
        <v>0</v>
      </c>
      <c r="AH1638">
        <f t="shared" ca="1" si="321"/>
        <v>0</v>
      </c>
      <c r="AI1638">
        <f t="shared" ca="1" si="322"/>
        <v>0</v>
      </c>
      <c r="AJ1638">
        <f t="shared" ca="1" si="323"/>
        <v>0</v>
      </c>
      <c r="AK1638">
        <f t="shared" ca="1" si="324"/>
        <v>0</v>
      </c>
      <c r="AL1638">
        <f t="shared" ca="1" si="325"/>
        <v>0</v>
      </c>
    </row>
    <row r="1639" spans="1:38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#N/A, OFFSET(data!$A$1, ROW()-1, AA$1-1))</f>
        <v>0</v>
      </c>
      <c r="AB1639">
        <f t="shared" ca="1" si="316"/>
        <v>0</v>
      </c>
      <c r="AC1639" t="e">
        <f t="shared" ca="1" si="317"/>
        <v>#VALUE!</v>
      </c>
      <c r="AD1639" t="str">
        <f t="shared" ca="1" si="318"/>
        <v>0</v>
      </c>
      <c r="AE1639" t="str">
        <f t="shared" ca="1" si="319"/>
        <v/>
      </c>
      <c r="AF1639" s="6">
        <f t="shared" ca="1" si="320"/>
        <v>0</v>
      </c>
      <c r="AG1639">
        <f t="shared" ca="1" si="315"/>
        <v>0</v>
      </c>
      <c r="AH1639">
        <f t="shared" ca="1" si="321"/>
        <v>0</v>
      </c>
      <c r="AI1639">
        <f t="shared" ca="1" si="322"/>
        <v>0</v>
      </c>
      <c r="AJ1639">
        <f t="shared" ca="1" si="323"/>
        <v>0</v>
      </c>
      <c r="AK1639">
        <f t="shared" ca="1" si="324"/>
        <v>0</v>
      </c>
      <c r="AL1639">
        <f t="shared" ca="1" si="325"/>
        <v>0</v>
      </c>
    </row>
    <row r="1640" spans="1:38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#N/A, OFFSET(data!$A$1, ROW()-1, AA$1-1))</f>
        <v>0</v>
      </c>
      <c r="AB1640">
        <f t="shared" ca="1" si="316"/>
        <v>0</v>
      </c>
      <c r="AC1640" t="e">
        <f t="shared" ca="1" si="317"/>
        <v>#VALUE!</v>
      </c>
      <c r="AD1640" t="str">
        <f t="shared" ca="1" si="318"/>
        <v>0</v>
      </c>
      <c r="AE1640" t="str">
        <f t="shared" ca="1" si="319"/>
        <v/>
      </c>
      <c r="AF1640" s="6">
        <f t="shared" ca="1" si="320"/>
        <v>0</v>
      </c>
      <c r="AG1640">
        <f t="shared" ca="1" si="315"/>
        <v>0</v>
      </c>
      <c r="AH1640">
        <f t="shared" ca="1" si="321"/>
        <v>0</v>
      </c>
      <c r="AI1640">
        <f t="shared" ca="1" si="322"/>
        <v>0</v>
      </c>
      <c r="AJ1640">
        <f t="shared" ca="1" si="323"/>
        <v>0</v>
      </c>
      <c r="AK1640">
        <f t="shared" ca="1" si="324"/>
        <v>0</v>
      </c>
      <c r="AL1640">
        <f t="shared" ca="1" si="325"/>
        <v>0</v>
      </c>
    </row>
    <row r="1641" spans="1:38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#N/A, OFFSET(data!$A$1, ROW()-1, AA$1-1))</f>
        <v>0</v>
      </c>
      <c r="AB1641">
        <f t="shared" ca="1" si="316"/>
        <v>0</v>
      </c>
      <c r="AC1641" t="e">
        <f t="shared" ca="1" si="317"/>
        <v>#VALUE!</v>
      </c>
      <c r="AD1641" t="str">
        <f t="shared" ca="1" si="318"/>
        <v>0</v>
      </c>
      <c r="AE1641" t="str">
        <f t="shared" ca="1" si="319"/>
        <v/>
      </c>
      <c r="AF1641" s="6">
        <f t="shared" ca="1" si="320"/>
        <v>0</v>
      </c>
      <c r="AG1641">
        <f t="shared" ca="1" si="315"/>
        <v>0</v>
      </c>
      <c r="AH1641">
        <f t="shared" ca="1" si="321"/>
        <v>0</v>
      </c>
      <c r="AI1641">
        <f t="shared" ca="1" si="322"/>
        <v>0</v>
      </c>
      <c r="AJ1641">
        <f t="shared" ca="1" si="323"/>
        <v>0</v>
      </c>
      <c r="AK1641">
        <f t="shared" ca="1" si="324"/>
        <v>0</v>
      </c>
      <c r="AL1641">
        <f t="shared" ca="1" si="325"/>
        <v>0</v>
      </c>
    </row>
    <row r="1642" spans="1:38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#N/A, OFFSET(data!$A$1, ROW()-1, AA$1-1))</f>
        <v>0</v>
      </c>
      <c r="AB1642">
        <f t="shared" ca="1" si="316"/>
        <v>0</v>
      </c>
      <c r="AC1642" t="e">
        <f t="shared" ca="1" si="317"/>
        <v>#VALUE!</v>
      </c>
      <c r="AD1642" t="str">
        <f t="shared" ca="1" si="318"/>
        <v>0</v>
      </c>
      <c r="AE1642" t="str">
        <f t="shared" ca="1" si="319"/>
        <v/>
      </c>
      <c r="AF1642" s="6">
        <f t="shared" ca="1" si="320"/>
        <v>0</v>
      </c>
      <c r="AG1642">
        <f t="shared" ca="1" si="315"/>
        <v>0</v>
      </c>
      <c r="AH1642">
        <f t="shared" ca="1" si="321"/>
        <v>0</v>
      </c>
      <c r="AI1642">
        <f t="shared" ca="1" si="322"/>
        <v>0</v>
      </c>
      <c r="AJ1642">
        <f t="shared" ca="1" si="323"/>
        <v>0</v>
      </c>
      <c r="AK1642">
        <f t="shared" ca="1" si="324"/>
        <v>0</v>
      </c>
      <c r="AL1642">
        <f t="shared" ca="1" si="325"/>
        <v>0</v>
      </c>
    </row>
    <row r="1643" spans="1:38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#N/A, OFFSET(data!$A$1, ROW()-1, AA$1-1))</f>
        <v>0</v>
      </c>
      <c r="AB1643">
        <f t="shared" ca="1" si="316"/>
        <v>0</v>
      </c>
      <c r="AC1643" t="e">
        <f t="shared" ca="1" si="317"/>
        <v>#VALUE!</v>
      </c>
      <c r="AD1643" t="str">
        <f t="shared" ca="1" si="318"/>
        <v>0</v>
      </c>
      <c r="AE1643" t="str">
        <f t="shared" ca="1" si="319"/>
        <v/>
      </c>
      <c r="AF1643" s="6">
        <f t="shared" ca="1" si="320"/>
        <v>0</v>
      </c>
      <c r="AG1643">
        <f t="shared" ca="1" si="315"/>
        <v>0</v>
      </c>
      <c r="AH1643">
        <f t="shared" ca="1" si="321"/>
        <v>0</v>
      </c>
      <c r="AI1643">
        <f t="shared" ca="1" si="322"/>
        <v>0</v>
      </c>
      <c r="AJ1643">
        <f t="shared" ca="1" si="323"/>
        <v>0</v>
      </c>
      <c r="AK1643">
        <f t="shared" ca="1" si="324"/>
        <v>0</v>
      </c>
      <c r="AL1643">
        <f t="shared" ca="1" si="325"/>
        <v>0</v>
      </c>
    </row>
    <row r="1644" spans="1:38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#N/A, OFFSET(data!$A$1, ROW()-1, AA$1-1))</f>
        <v>0</v>
      </c>
      <c r="AB1644">
        <f t="shared" ca="1" si="316"/>
        <v>0</v>
      </c>
      <c r="AC1644" t="e">
        <f t="shared" ca="1" si="317"/>
        <v>#VALUE!</v>
      </c>
      <c r="AD1644" t="str">
        <f t="shared" ca="1" si="318"/>
        <v>0</v>
      </c>
      <c r="AE1644" t="str">
        <f t="shared" ca="1" si="319"/>
        <v/>
      </c>
      <c r="AF1644" s="6">
        <f t="shared" ca="1" si="320"/>
        <v>0</v>
      </c>
      <c r="AG1644">
        <f t="shared" ca="1" si="315"/>
        <v>0</v>
      </c>
      <c r="AH1644">
        <f t="shared" ca="1" si="321"/>
        <v>0</v>
      </c>
      <c r="AI1644">
        <f t="shared" ca="1" si="322"/>
        <v>0</v>
      </c>
      <c r="AJ1644">
        <f t="shared" ca="1" si="323"/>
        <v>0</v>
      </c>
      <c r="AK1644">
        <f t="shared" ca="1" si="324"/>
        <v>0</v>
      </c>
      <c r="AL1644">
        <f t="shared" ca="1" si="325"/>
        <v>0</v>
      </c>
    </row>
    <row r="1645" spans="1:38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#N/A, OFFSET(data!$A$1, ROW()-1, AA$1-1))</f>
        <v>0</v>
      </c>
      <c r="AB1645">
        <f t="shared" ca="1" si="316"/>
        <v>0</v>
      </c>
      <c r="AC1645" t="e">
        <f t="shared" ca="1" si="317"/>
        <v>#VALUE!</v>
      </c>
      <c r="AD1645" t="str">
        <f t="shared" ca="1" si="318"/>
        <v>0</v>
      </c>
      <c r="AE1645" t="str">
        <f t="shared" ca="1" si="319"/>
        <v/>
      </c>
      <c r="AF1645" s="6">
        <f t="shared" ca="1" si="320"/>
        <v>0</v>
      </c>
      <c r="AG1645">
        <f t="shared" ca="1" si="315"/>
        <v>0</v>
      </c>
      <c r="AH1645">
        <f t="shared" ca="1" si="321"/>
        <v>0</v>
      </c>
      <c r="AI1645">
        <f t="shared" ca="1" si="322"/>
        <v>0</v>
      </c>
      <c r="AJ1645">
        <f t="shared" ca="1" si="323"/>
        <v>0</v>
      </c>
      <c r="AK1645">
        <f t="shared" ca="1" si="324"/>
        <v>0</v>
      </c>
      <c r="AL1645">
        <f t="shared" ca="1" si="325"/>
        <v>0</v>
      </c>
    </row>
    <row r="1646" spans="1:38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#N/A, OFFSET(data!$A$1, ROW()-1, AA$1-1))</f>
        <v>0</v>
      </c>
      <c r="AB1646">
        <f t="shared" ca="1" si="316"/>
        <v>0</v>
      </c>
      <c r="AC1646" t="e">
        <f t="shared" ca="1" si="317"/>
        <v>#VALUE!</v>
      </c>
      <c r="AD1646" t="str">
        <f t="shared" ca="1" si="318"/>
        <v>0</v>
      </c>
      <c r="AE1646" t="str">
        <f t="shared" ca="1" si="319"/>
        <v/>
      </c>
      <c r="AF1646" s="6">
        <f t="shared" ca="1" si="320"/>
        <v>0</v>
      </c>
      <c r="AG1646">
        <f t="shared" ca="1" si="315"/>
        <v>0</v>
      </c>
      <c r="AH1646">
        <f t="shared" ca="1" si="321"/>
        <v>0</v>
      </c>
      <c r="AI1646">
        <f t="shared" ca="1" si="322"/>
        <v>0</v>
      </c>
      <c r="AJ1646">
        <f t="shared" ca="1" si="323"/>
        <v>0</v>
      </c>
      <c r="AK1646">
        <f t="shared" ca="1" si="324"/>
        <v>0</v>
      </c>
      <c r="AL1646">
        <f t="shared" ca="1" si="325"/>
        <v>0</v>
      </c>
    </row>
    <row r="1647" spans="1:38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#N/A, OFFSET(data!$A$1, ROW()-1, AA$1-1))</f>
        <v>0</v>
      </c>
      <c r="AB1647">
        <f t="shared" ca="1" si="316"/>
        <v>0</v>
      </c>
      <c r="AC1647" t="e">
        <f t="shared" ca="1" si="317"/>
        <v>#VALUE!</v>
      </c>
      <c r="AD1647" t="str">
        <f t="shared" ca="1" si="318"/>
        <v>0</v>
      </c>
      <c r="AE1647" t="str">
        <f t="shared" ca="1" si="319"/>
        <v/>
      </c>
      <c r="AF1647" s="6">
        <f t="shared" ca="1" si="320"/>
        <v>0</v>
      </c>
      <c r="AG1647">
        <f t="shared" ca="1" si="315"/>
        <v>0</v>
      </c>
      <c r="AH1647">
        <f t="shared" ca="1" si="321"/>
        <v>0</v>
      </c>
      <c r="AI1647">
        <f t="shared" ca="1" si="322"/>
        <v>0</v>
      </c>
      <c r="AJ1647">
        <f t="shared" ca="1" si="323"/>
        <v>0</v>
      </c>
      <c r="AK1647">
        <f t="shared" ca="1" si="324"/>
        <v>0</v>
      </c>
      <c r="AL1647">
        <f t="shared" ca="1" si="325"/>
        <v>0</v>
      </c>
    </row>
    <row r="1648" spans="1:38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#N/A, OFFSET(data!$A$1, ROW()-1, AA$1-1))</f>
        <v>0</v>
      </c>
      <c r="AB1648">
        <f t="shared" ca="1" si="316"/>
        <v>0</v>
      </c>
      <c r="AC1648" t="e">
        <f t="shared" ca="1" si="317"/>
        <v>#VALUE!</v>
      </c>
      <c r="AD1648" t="str">
        <f t="shared" ca="1" si="318"/>
        <v>0</v>
      </c>
      <c r="AE1648" t="str">
        <f t="shared" ca="1" si="319"/>
        <v/>
      </c>
      <c r="AF1648" s="6">
        <f t="shared" ca="1" si="320"/>
        <v>0</v>
      </c>
      <c r="AG1648">
        <f t="shared" ca="1" si="315"/>
        <v>0</v>
      </c>
      <c r="AH1648">
        <f t="shared" ca="1" si="321"/>
        <v>0</v>
      </c>
      <c r="AI1648">
        <f t="shared" ca="1" si="322"/>
        <v>0</v>
      </c>
      <c r="AJ1648">
        <f t="shared" ca="1" si="323"/>
        <v>0</v>
      </c>
      <c r="AK1648">
        <f t="shared" ca="1" si="324"/>
        <v>0</v>
      </c>
      <c r="AL1648">
        <f t="shared" ca="1" si="325"/>
        <v>0</v>
      </c>
    </row>
    <row r="1649" spans="1:38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#N/A, OFFSET(data!$A$1, ROW()-1, AA$1-1))</f>
        <v>0</v>
      </c>
      <c r="AB1649">
        <f t="shared" ca="1" si="316"/>
        <v>0</v>
      </c>
      <c r="AC1649" t="e">
        <f t="shared" ca="1" si="317"/>
        <v>#VALUE!</v>
      </c>
      <c r="AD1649" t="str">
        <f t="shared" ca="1" si="318"/>
        <v>0</v>
      </c>
      <c r="AE1649" t="str">
        <f t="shared" ca="1" si="319"/>
        <v/>
      </c>
      <c r="AF1649" s="6">
        <f t="shared" ca="1" si="320"/>
        <v>0</v>
      </c>
      <c r="AG1649">
        <f t="shared" ca="1" si="315"/>
        <v>0</v>
      </c>
      <c r="AH1649">
        <f t="shared" ca="1" si="321"/>
        <v>0</v>
      </c>
      <c r="AI1649">
        <f t="shared" ca="1" si="322"/>
        <v>0</v>
      </c>
      <c r="AJ1649">
        <f t="shared" ca="1" si="323"/>
        <v>0</v>
      </c>
      <c r="AK1649">
        <f t="shared" ca="1" si="324"/>
        <v>0</v>
      </c>
      <c r="AL1649">
        <f t="shared" ca="1" si="325"/>
        <v>0</v>
      </c>
    </row>
    <row r="1650" spans="1:38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#N/A, OFFSET(data!$A$1, ROW()-1, AA$1-1))</f>
        <v>0</v>
      </c>
      <c r="AB1650">
        <f t="shared" ca="1" si="316"/>
        <v>0</v>
      </c>
      <c r="AC1650" t="e">
        <f t="shared" ca="1" si="317"/>
        <v>#VALUE!</v>
      </c>
      <c r="AD1650" t="str">
        <f t="shared" ca="1" si="318"/>
        <v>0</v>
      </c>
      <c r="AE1650" t="str">
        <f t="shared" ca="1" si="319"/>
        <v/>
      </c>
      <c r="AF1650" s="6">
        <f t="shared" ca="1" si="320"/>
        <v>0</v>
      </c>
      <c r="AG1650">
        <f t="shared" ca="1" si="315"/>
        <v>0</v>
      </c>
      <c r="AH1650">
        <f t="shared" ca="1" si="321"/>
        <v>0</v>
      </c>
      <c r="AI1650">
        <f t="shared" ca="1" si="322"/>
        <v>0</v>
      </c>
      <c r="AJ1650">
        <f t="shared" ca="1" si="323"/>
        <v>0</v>
      </c>
      <c r="AK1650">
        <f t="shared" ca="1" si="324"/>
        <v>0</v>
      </c>
      <c r="AL1650">
        <f t="shared" ca="1" si="325"/>
        <v>0</v>
      </c>
    </row>
    <row r="1651" spans="1:38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#N/A, OFFSET(data!$A$1, ROW()-1, AA$1-1))</f>
        <v>0</v>
      </c>
      <c r="AB1651">
        <f t="shared" ca="1" si="316"/>
        <v>0</v>
      </c>
      <c r="AC1651" t="e">
        <f t="shared" ca="1" si="317"/>
        <v>#VALUE!</v>
      </c>
      <c r="AD1651" t="str">
        <f t="shared" ca="1" si="318"/>
        <v>0</v>
      </c>
      <c r="AE1651" t="str">
        <f t="shared" ca="1" si="319"/>
        <v/>
      </c>
      <c r="AF1651" s="6">
        <f t="shared" ca="1" si="320"/>
        <v>0</v>
      </c>
      <c r="AG1651">
        <f t="shared" ca="1" si="315"/>
        <v>0</v>
      </c>
      <c r="AH1651">
        <f t="shared" ca="1" si="321"/>
        <v>0</v>
      </c>
      <c r="AI1651">
        <f t="shared" ca="1" si="322"/>
        <v>0</v>
      </c>
      <c r="AJ1651">
        <f t="shared" ca="1" si="323"/>
        <v>0</v>
      </c>
      <c r="AK1651">
        <f t="shared" ca="1" si="324"/>
        <v>0</v>
      </c>
      <c r="AL1651">
        <f t="shared" ca="1" si="325"/>
        <v>0</v>
      </c>
    </row>
    <row r="1652" spans="1:38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#N/A, OFFSET(data!$A$1, ROW()-1, AA$1-1))</f>
        <v>0</v>
      </c>
      <c r="AB1652">
        <f t="shared" ca="1" si="316"/>
        <v>0</v>
      </c>
      <c r="AC1652" t="e">
        <f t="shared" ca="1" si="317"/>
        <v>#VALUE!</v>
      </c>
      <c r="AD1652" t="str">
        <f t="shared" ca="1" si="318"/>
        <v>0</v>
      </c>
      <c r="AE1652" t="str">
        <f t="shared" ca="1" si="319"/>
        <v/>
      </c>
      <c r="AF1652" s="6">
        <f t="shared" ca="1" si="320"/>
        <v>0</v>
      </c>
      <c r="AG1652">
        <f t="shared" ref="AG1652:AG1715" ca="1" si="326">T1652+W1652</f>
        <v>0</v>
      </c>
      <c r="AH1652">
        <f t="shared" ca="1" si="321"/>
        <v>0</v>
      </c>
      <c r="AI1652">
        <f t="shared" ca="1" si="322"/>
        <v>0</v>
      </c>
      <c r="AJ1652">
        <f t="shared" ca="1" si="323"/>
        <v>0</v>
      </c>
      <c r="AK1652">
        <f t="shared" ca="1" si="324"/>
        <v>0</v>
      </c>
      <c r="AL1652">
        <f t="shared" ca="1" si="325"/>
        <v>0</v>
      </c>
    </row>
    <row r="1653" spans="1:38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#N/A, OFFSET(data!$A$1, ROW()-1, AA$1-1))</f>
        <v>0</v>
      </c>
      <c r="AB1653">
        <f t="shared" ca="1" si="316"/>
        <v>0</v>
      </c>
      <c r="AC1653" t="e">
        <f t="shared" ca="1" si="317"/>
        <v>#VALUE!</v>
      </c>
      <c r="AD1653" t="str">
        <f t="shared" ca="1" si="318"/>
        <v>0</v>
      </c>
      <c r="AE1653" t="str">
        <f t="shared" ca="1" si="319"/>
        <v/>
      </c>
      <c r="AF1653" s="6">
        <f t="shared" ca="1" si="320"/>
        <v>0</v>
      </c>
      <c r="AG1653">
        <f t="shared" ca="1" si="326"/>
        <v>0</v>
      </c>
      <c r="AH1653">
        <f t="shared" ca="1" si="321"/>
        <v>0</v>
      </c>
      <c r="AI1653">
        <f t="shared" ca="1" si="322"/>
        <v>0</v>
      </c>
      <c r="AJ1653">
        <f t="shared" ca="1" si="323"/>
        <v>0</v>
      </c>
      <c r="AK1653">
        <f t="shared" ca="1" si="324"/>
        <v>0</v>
      </c>
      <c r="AL1653">
        <f t="shared" ca="1" si="325"/>
        <v>0</v>
      </c>
    </row>
    <row r="1654" spans="1:38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#N/A, OFFSET(data!$A$1, ROW()-1, AA$1-1))</f>
        <v>0</v>
      </c>
      <c r="AB1654">
        <f t="shared" ca="1" si="316"/>
        <v>0</v>
      </c>
      <c r="AC1654" t="e">
        <f t="shared" ca="1" si="317"/>
        <v>#VALUE!</v>
      </c>
      <c r="AD1654" t="str">
        <f t="shared" ca="1" si="318"/>
        <v>0</v>
      </c>
      <c r="AE1654" t="str">
        <f t="shared" ca="1" si="319"/>
        <v/>
      </c>
      <c r="AF1654" s="6">
        <f t="shared" ca="1" si="320"/>
        <v>0</v>
      </c>
      <c r="AG1654">
        <f t="shared" ca="1" si="326"/>
        <v>0</v>
      </c>
      <c r="AH1654">
        <f t="shared" ca="1" si="321"/>
        <v>0</v>
      </c>
      <c r="AI1654">
        <f t="shared" ca="1" si="322"/>
        <v>0</v>
      </c>
      <c r="AJ1654">
        <f t="shared" ca="1" si="323"/>
        <v>0</v>
      </c>
      <c r="AK1654">
        <f t="shared" ca="1" si="324"/>
        <v>0</v>
      </c>
      <c r="AL1654">
        <f t="shared" ca="1" si="325"/>
        <v>0</v>
      </c>
    </row>
    <row r="1655" spans="1:38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#N/A, OFFSET(data!$A$1, ROW()-1, AA$1-1))</f>
        <v>0</v>
      </c>
      <c r="AB1655">
        <f t="shared" ca="1" si="316"/>
        <v>0</v>
      </c>
      <c r="AC1655" t="e">
        <f t="shared" ca="1" si="317"/>
        <v>#VALUE!</v>
      </c>
      <c r="AD1655" t="str">
        <f t="shared" ca="1" si="318"/>
        <v>0</v>
      </c>
      <c r="AE1655" t="str">
        <f t="shared" ca="1" si="319"/>
        <v/>
      </c>
      <c r="AF1655" s="6">
        <f t="shared" ca="1" si="320"/>
        <v>0</v>
      </c>
      <c r="AG1655">
        <f t="shared" ca="1" si="326"/>
        <v>0</v>
      </c>
      <c r="AH1655">
        <f t="shared" ca="1" si="321"/>
        <v>0</v>
      </c>
      <c r="AI1655">
        <f t="shared" ca="1" si="322"/>
        <v>0</v>
      </c>
      <c r="AJ1655">
        <f t="shared" ca="1" si="323"/>
        <v>0</v>
      </c>
      <c r="AK1655">
        <f t="shared" ca="1" si="324"/>
        <v>0</v>
      </c>
      <c r="AL1655">
        <f t="shared" ca="1" si="325"/>
        <v>0</v>
      </c>
    </row>
    <row r="1656" spans="1:38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#N/A, OFFSET(data!$A$1, ROW()-1, AA$1-1))</f>
        <v>0</v>
      </c>
      <c r="AB1656">
        <f t="shared" ca="1" si="316"/>
        <v>0</v>
      </c>
      <c r="AC1656" t="e">
        <f t="shared" ca="1" si="317"/>
        <v>#VALUE!</v>
      </c>
      <c r="AD1656" t="str">
        <f t="shared" ca="1" si="318"/>
        <v>0</v>
      </c>
      <c r="AE1656" t="str">
        <f t="shared" ca="1" si="319"/>
        <v/>
      </c>
      <c r="AF1656" s="6">
        <f t="shared" ca="1" si="320"/>
        <v>0</v>
      </c>
      <c r="AG1656">
        <f t="shared" ca="1" si="326"/>
        <v>0</v>
      </c>
      <c r="AH1656">
        <f t="shared" ca="1" si="321"/>
        <v>0</v>
      </c>
      <c r="AI1656">
        <f t="shared" ca="1" si="322"/>
        <v>0</v>
      </c>
      <c r="AJ1656">
        <f t="shared" ca="1" si="323"/>
        <v>0</v>
      </c>
      <c r="AK1656">
        <f t="shared" ca="1" si="324"/>
        <v>0</v>
      </c>
      <c r="AL1656">
        <f t="shared" ca="1" si="325"/>
        <v>0</v>
      </c>
    </row>
    <row r="1657" spans="1:38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#N/A, OFFSET(data!$A$1, ROW()-1, AA$1-1))</f>
        <v>0</v>
      </c>
      <c r="AB1657">
        <f t="shared" ca="1" si="316"/>
        <v>0</v>
      </c>
      <c r="AC1657" t="e">
        <f t="shared" ca="1" si="317"/>
        <v>#VALUE!</v>
      </c>
      <c r="AD1657" t="str">
        <f t="shared" ca="1" si="318"/>
        <v>0</v>
      </c>
      <c r="AE1657" t="str">
        <f t="shared" ca="1" si="319"/>
        <v/>
      </c>
      <c r="AF1657" s="6">
        <f t="shared" ca="1" si="320"/>
        <v>0</v>
      </c>
      <c r="AG1657">
        <f t="shared" ca="1" si="326"/>
        <v>0</v>
      </c>
      <c r="AH1657">
        <f t="shared" ca="1" si="321"/>
        <v>0</v>
      </c>
      <c r="AI1657">
        <f t="shared" ca="1" si="322"/>
        <v>0</v>
      </c>
      <c r="AJ1657">
        <f t="shared" ca="1" si="323"/>
        <v>0</v>
      </c>
      <c r="AK1657">
        <f t="shared" ca="1" si="324"/>
        <v>0</v>
      </c>
      <c r="AL1657">
        <f t="shared" ca="1" si="325"/>
        <v>0</v>
      </c>
    </row>
    <row r="1658" spans="1:38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#N/A, OFFSET(data!$A$1, ROW()-1, AA$1-1))</f>
        <v>0</v>
      </c>
      <c r="AB1658">
        <f t="shared" ca="1" si="316"/>
        <v>0</v>
      </c>
      <c r="AC1658" t="e">
        <f t="shared" ca="1" si="317"/>
        <v>#VALUE!</v>
      </c>
      <c r="AD1658" t="str">
        <f t="shared" ca="1" si="318"/>
        <v>0</v>
      </c>
      <c r="AE1658" t="str">
        <f t="shared" ca="1" si="319"/>
        <v/>
      </c>
      <c r="AF1658" s="6">
        <f t="shared" ca="1" si="320"/>
        <v>0</v>
      </c>
      <c r="AG1658">
        <f t="shared" ca="1" si="326"/>
        <v>0</v>
      </c>
      <c r="AH1658">
        <f t="shared" ca="1" si="321"/>
        <v>0</v>
      </c>
      <c r="AI1658">
        <f t="shared" ca="1" si="322"/>
        <v>0</v>
      </c>
      <c r="AJ1658">
        <f t="shared" ca="1" si="323"/>
        <v>0</v>
      </c>
      <c r="AK1658">
        <f t="shared" ca="1" si="324"/>
        <v>0</v>
      </c>
      <c r="AL1658">
        <f t="shared" ca="1" si="325"/>
        <v>0</v>
      </c>
    </row>
    <row r="1659" spans="1:38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#N/A, OFFSET(data!$A$1, ROW()-1, AA$1-1))</f>
        <v>0</v>
      </c>
      <c r="AB1659">
        <f t="shared" ca="1" si="316"/>
        <v>0</v>
      </c>
      <c r="AC1659" t="e">
        <f t="shared" ca="1" si="317"/>
        <v>#VALUE!</v>
      </c>
      <c r="AD1659" t="str">
        <f t="shared" ca="1" si="318"/>
        <v>0</v>
      </c>
      <c r="AE1659" t="str">
        <f t="shared" ca="1" si="319"/>
        <v/>
      </c>
      <c r="AF1659" s="6">
        <f t="shared" ca="1" si="320"/>
        <v>0</v>
      </c>
      <c r="AG1659">
        <f t="shared" ca="1" si="326"/>
        <v>0</v>
      </c>
      <c r="AH1659">
        <f t="shared" ca="1" si="321"/>
        <v>0</v>
      </c>
      <c r="AI1659">
        <f t="shared" ca="1" si="322"/>
        <v>0</v>
      </c>
      <c r="AJ1659">
        <f t="shared" ca="1" si="323"/>
        <v>0</v>
      </c>
      <c r="AK1659">
        <f t="shared" ca="1" si="324"/>
        <v>0</v>
      </c>
      <c r="AL1659">
        <f t="shared" ca="1" si="325"/>
        <v>0</v>
      </c>
    </row>
    <row r="1660" spans="1:38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#N/A, OFFSET(data!$A$1, ROW()-1, AA$1-1))</f>
        <v>0</v>
      </c>
      <c r="AB1660">
        <f t="shared" ca="1" si="316"/>
        <v>0</v>
      </c>
      <c r="AC1660" t="e">
        <f t="shared" ca="1" si="317"/>
        <v>#VALUE!</v>
      </c>
      <c r="AD1660" t="str">
        <f t="shared" ca="1" si="318"/>
        <v>0</v>
      </c>
      <c r="AE1660" t="str">
        <f t="shared" ca="1" si="319"/>
        <v/>
      </c>
      <c r="AF1660" s="6">
        <f t="shared" ca="1" si="320"/>
        <v>0</v>
      </c>
      <c r="AG1660">
        <f t="shared" ca="1" si="326"/>
        <v>0</v>
      </c>
      <c r="AH1660">
        <f t="shared" ca="1" si="321"/>
        <v>0</v>
      </c>
      <c r="AI1660">
        <f t="shared" ca="1" si="322"/>
        <v>0</v>
      </c>
      <c r="AJ1660">
        <f t="shared" ca="1" si="323"/>
        <v>0</v>
      </c>
      <c r="AK1660">
        <f t="shared" ca="1" si="324"/>
        <v>0</v>
      </c>
      <c r="AL1660">
        <f t="shared" ca="1" si="325"/>
        <v>0</v>
      </c>
    </row>
    <row r="1661" spans="1:38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#N/A, OFFSET(data!$A$1, ROW()-1, AA$1-1))</f>
        <v>0</v>
      </c>
      <c r="AB1661">
        <f t="shared" ca="1" si="316"/>
        <v>0</v>
      </c>
      <c r="AC1661" t="e">
        <f t="shared" ca="1" si="317"/>
        <v>#VALUE!</v>
      </c>
      <c r="AD1661" t="str">
        <f t="shared" ca="1" si="318"/>
        <v>0</v>
      </c>
      <c r="AE1661" t="str">
        <f t="shared" ca="1" si="319"/>
        <v/>
      </c>
      <c r="AF1661" s="6">
        <f t="shared" ca="1" si="320"/>
        <v>0</v>
      </c>
      <c r="AG1661">
        <f t="shared" ca="1" si="326"/>
        <v>0</v>
      </c>
      <c r="AH1661">
        <f t="shared" ca="1" si="321"/>
        <v>0</v>
      </c>
      <c r="AI1661">
        <f t="shared" ca="1" si="322"/>
        <v>0</v>
      </c>
      <c r="AJ1661">
        <f t="shared" ca="1" si="323"/>
        <v>0</v>
      </c>
      <c r="AK1661">
        <f t="shared" ca="1" si="324"/>
        <v>0</v>
      </c>
      <c r="AL1661">
        <f t="shared" ca="1" si="325"/>
        <v>0</v>
      </c>
    </row>
    <row r="1662" spans="1:38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#N/A, OFFSET(data!$A$1, ROW()-1, AA$1-1))</f>
        <v>0</v>
      </c>
      <c r="AB1662">
        <f t="shared" ca="1" si="316"/>
        <v>0</v>
      </c>
      <c r="AC1662" t="e">
        <f t="shared" ca="1" si="317"/>
        <v>#VALUE!</v>
      </c>
      <c r="AD1662" t="str">
        <f t="shared" ca="1" si="318"/>
        <v>0</v>
      </c>
      <c r="AE1662" t="str">
        <f t="shared" ca="1" si="319"/>
        <v/>
      </c>
      <c r="AF1662" s="6">
        <f t="shared" ca="1" si="320"/>
        <v>0</v>
      </c>
      <c r="AG1662">
        <f t="shared" ca="1" si="326"/>
        <v>0</v>
      </c>
      <c r="AH1662">
        <f t="shared" ca="1" si="321"/>
        <v>0</v>
      </c>
      <c r="AI1662">
        <f t="shared" ca="1" si="322"/>
        <v>0</v>
      </c>
      <c r="AJ1662">
        <f t="shared" ca="1" si="323"/>
        <v>0</v>
      </c>
      <c r="AK1662">
        <f t="shared" ca="1" si="324"/>
        <v>0</v>
      </c>
      <c r="AL1662">
        <f t="shared" ca="1" si="325"/>
        <v>0</v>
      </c>
    </row>
    <row r="1663" spans="1:38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#N/A, OFFSET(data!$A$1, ROW()-1, AA$1-1))</f>
        <v>0</v>
      </c>
      <c r="AB1663">
        <f t="shared" ca="1" si="316"/>
        <v>0</v>
      </c>
      <c r="AC1663" t="e">
        <f t="shared" ca="1" si="317"/>
        <v>#VALUE!</v>
      </c>
      <c r="AD1663" t="str">
        <f t="shared" ca="1" si="318"/>
        <v>0</v>
      </c>
      <c r="AE1663" t="str">
        <f t="shared" ca="1" si="319"/>
        <v/>
      </c>
      <c r="AF1663" s="6">
        <f t="shared" ca="1" si="320"/>
        <v>0</v>
      </c>
      <c r="AG1663">
        <f t="shared" ca="1" si="326"/>
        <v>0</v>
      </c>
      <c r="AH1663">
        <f t="shared" ca="1" si="321"/>
        <v>0</v>
      </c>
      <c r="AI1663">
        <f t="shared" ca="1" si="322"/>
        <v>0</v>
      </c>
      <c r="AJ1663">
        <f t="shared" ca="1" si="323"/>
        <v>0</v>
      </c>
      <c r="AK1663">
        <f t="shared" ca="1" si="324"/>
        <v>0</v>
      </c>
      <c r="AL1663">
        <f t="shared" ca="1" si="325"/>
        <v>0</v>
      </c>
    </row>
    <row r="1664" spans="1:38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#N/A, OFFSET(data!$A$1, ROW()-1, AA$1-1))</f>
        <v>0</v>
      </c>
      <c r="AB1664">
        <f t="shared" ca="1" si="316"/>
        <v>0</v>
      </c>
      <c r="AC1664" t="e">
        <f t="shared" ca="1" si="317"/>
        <v>#VALUE!</v>
      </c>
      <c r="AD1664" t="str">
        <f t="shared" ca="1" si="318"/>
        <v>0</v>
      </c>
      <c r="AE1664" t="str">
        <f t="shared" ca="1" si="319"/>
        <v/>
      </c>
      <c r="AF1664" s="6">
        <f t="shared" ca="1" si="320"/>
        <v>0</v>
      </c>
      <c r="AG1664">
        <f t="shared" ca="1" si="326"/>
        <v>0</v>
      </c>
      <c r="AH1664">
        <f t="shared" ca="1" si="321"/>
        <v>0</v>
      </c>
      <c r="AI1664">
        <f t="shared" ca="1" si="322"/>
        <v>0</v>
      </c>
      <c r="AJ1664">
        <f t="shared" ca="1" si="323"/>
        <v>0</v>
      </c>
      <c r="AK1664">
        <f t="shared" ca="1" si="324"/>
        <v>0</v>
      </c>
      <c r="AL1664">
        <f t="shared" ca="1" si="325"/>
        <v>0</v>
      </c>
    </row>
    <row r="1665" spans="1:38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#N/A, OFFSET(data!$A$1, ROW()-1, AA$1-1))</f>
        <v>0</v>
      </c>
      <c r="AB1665">
        <f t="shared" ca="1" si="316"/>
        <v>0</v>
      </c>
      <c r="AC1665" t="e">
        <f t="shared" ca="1" si="317"/>
        <v>#VALUE!</v>
      </c>
      <c r="AD1665" t="str">
        <f t="shared" ca="1" si="318"/>
        <v>0</v>
      </c>
      <c r="AE1665" t="str">
        <f t="shared" ca="1" si="319"/>
        <v/>
      </c>
      <c r="AF1665" s="6">
        <f t="shared" ca="1" si="320"/>
        <v>0</v>
      </c>
      <c r="AG1665">
        <f t="shared" ca="1" si="326"/>
        <v>0</v>
      </c>
      <c r="AH1665">
        <f t="shared" ca="1" si="321"/>
        <v>0</v>
      </c>
      <c r="AI1665">
        <f t="shared" ca="1" si="322"/>
        <v>0</v>
      </c>
      <c r="AJ1665">
        <f t="shared" ca="1" si="323"/>
        <v>0</v>
      </c>
      <c r="AK1665">
        <f t="shared" ca="1" si="324"/>
        <v>0</v>
      </c>
      <c r="AL1665">
        <f t="shared" ca="1" si="325"/>
        <v>0</v>
      </c>
    </row>
    <row r="1666" spans="1:38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#N/A, OFFSET(data!$A$1, ROW()-1, AA$1-1))</f>
        <v>0</v>
      </c>
      <c r="AB1666">
        <f t="shared" ca="1" si="316"/>
        <v>0</v>
      </c>
      <c r="AC1666" t="e">
        <f t="shared" ca="1" si="317"/>
        <v>#VALUE!</v>
      </c>
      <c r="AD1666" t="str">
        <f t="shared" ca="1" si="318"/>
        <v>0</v>
      </c>
      <c r="AE1666" t="str">
        <f t="shared" ca="1" si="319"/>
        <v/>
      </c>
      <c r="AF1666" s="6">
        <f t="shared" ca="1" si="320"/>
        <v>0</v>
      </c>
      <c r="AG1666">
        <f t="shared" ca="1" si="326"/>
        <v>0</v>
      </c>
      <c r="AH1666">
        <f t="shared" ca="1" si="321"/>
        <v>0</v>
      </c>
      <c r="AI1666">
        <f t="shared" ca="1" si="322"/>
        <v>0</v>
      </c>
      <c r="AJ1666">
        <f t="shared" ca="1" si="323"/>
        <v>0</v>
      </c>
      <c r="AK1666">
        <f t="shared" ca="1" si="324"/>
        <v>0</v>
      </c>
      <c r="AL1666">
        <f t="shared" ca="1" si="325"/>
        <v>0</v>
      </c>
    </row>
    <row r="1667" spans="1:38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#N/A, OFFSET(data!$A$1, ROW()-1, AA$1-1))</f>
        <v>0</v>
      </c>
      <c r="AB1667">
        <f t="shared" ref="AB1667:AB1730" ca="1" si="327">VALUE(LEFT(C1667, 4))</f>
        <v>0</v>
      </c>
      <c r="AC1667" t="e">
        <f t="shared" ref="AC1667:AC1730" ca="1" si="328">VALUE(MID(C1667, 6, 2))</f>
        <v>#VALUE!</v>
      </c>
      <c r="AD1667" t="str">
        <f t="shared" ref="AD1667:AD1730" ca="1" si="329">SUBSTITUTE(MID(C1667,6,6)&amp;LEFT(C1667,4), "-", "/")</f>
        <v>0</v>
      </c>
      <c r="AE1667" t="str">
        <f t="shared" ref="AE1667:AE1730" ca="1" si="330">IF(RIGHT(C1667, 5)="12:00", AD1667, "")</f>
        <v/>
      </c>
      <c r="AF1667" s="6">
        <f t="shared" ref="AF1667:AF1730" ca="1" si="331">Z1667/1000</f>
        <v>0</v>
      </c>
      <c r="AG1667">
        <f t="shared" ca="1" si="326"/>
        <v>0</v>
      </c>
      <c r="AH1667">
        <f t="shared" ca="1" si="321"/>
        <v>0</v>
      </c>
      <c r="AI1667">
        <f t="shared" ca="1" si="322"/>
        <v>0</v>
      </c>
      <c r="AJ1667">
        <f t="shared" ca="1" si="323"/>
        <v>0</v>
      </c>
      <c r="AK1667">
        <f t="shared" ca="1" si="324"/>
        <v>0</v>
      </c>
      <c r="AL1667">
        <f t="shared" ca="1" si="325"/>
        <v>0</v>
      </c>
    </row>
    <row r="1668" spans="1:38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#N/A, OFFSET(data!$A$1, ROW()-1, AA$1-1))</f>
        <v>0</v>
      </c>
      <c r="AB1668">
        <f t="shared" ca="1" si="327"/>
        <v>0</v>
      </c>
      <c r="AC1668" t="e">
        <f t="shared" ca="1" si="328"/>
        <v>#VALUE!</v>
      </c>
      <c r="AD1668" t="str">
        <f t="shared" ca="1" si="329"/>
        <v>0</v>
      </c>
      <c r="AE1668" t="str">
        <f t="shared" ca="1" si="330"/>
        <v/>
      </c>
      <c r="AF1668" s="6">
        <f t="shared" ca="1" si="331"/>
        <v>0</v>
      </c>
      <c r="AG1668">
        <f t="shared" ca="1" si="326"/>
        <v>0</v>
      </c>
      <c r="AH1668">
        <f t="shared" ref="AH1668:AH1731" ca="1" si="332">MAX(S1668,Y1668)</f>
        <v>0</v>
      </c>
      <c r="AI1668">
        <f t="shared" ref="AI1668:AI1731" ca="1" si="333">MAX(R1668,V1668)</f>
        <v>0</v>
      </c>
      <c r="AJ1668">
        <f t="shared" ref="AJ1668:AJ1731" ca="1" si="334">K1668+N1668</f>
        <v>0</v>
      </c>
      <c r="AK1668">
        <f t="shared" ref="AK1668:AK1731" ca="1" si="335">L1668+O1668</f>
        <v>0</v>
      </c>
      <c r="AL1668">
        <f t="shared" ref="AL1668:AL1731" ca="1" si="336">M1668+P1668</f>
        <v>0</v>
      </c>
    </row>
    <row r="1669" spans="1:38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#N/A, OFFSET(data!$A$1, ROW()-1, AA$1-1))</f>
        <v>0</v>
      </c>
      <c r="AB1669">
        <f t="shared" ca="1" si="327"/>
        <v>0</v>
      </c>
      <c r="AC1669" t="e">
        <f t="shared" ca="1" si="328"/>
        <v>#VALUE!</v>
      </c>
      <c r="AD1669" t="str">
        <f t="shared" ca="1" si="329"/>
        <v>0</v>
      </c>
      <c r="AE1669" t="str">
        <f t="shared" ca="1" si="330"/>
        <v/>
      </c>
      <c r="AF1669" s="6">
        <f t="shared" ca="1" si="331"/>
        <v>0</v>
      </c>
      <c r="AG1669">
        <f t="shared" ca="1" si="326"/>
        <v>0</v>
      </c>
      <c r="AH1669">
        <f t="shared" ca="1" si="332"/>
        <v>0</v>
      </c>
      <c r="AI1669">
        <f t="shared" ca="1" si="333"/>
        <v>0</v>
      </c>
      <c r="AJ1669">
        <f t="shared" ca="1" si="334"/>
        <v>0</v>
      </c>
      <c r="AK1669">
        <f t="shared" ca="1" si="335"/>
        <v>0</v>
      </c>
      <c r="AL1669">
        <f t="shared" ca="1" si="336"/>
        <v>0</v>
      </c>
    </row>
    <row r="1670" spans="1:38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#N/A, OFFSET(data!$A$1, ROW()-1, AA$1-1))</f>
        <v>0</v>
      </c>
      <c r="AB1670">
        <f t="shared" ca="1" si="327"/>
        <v>0</v>
      </c>
      <c r="AC1670" t="e">
        <f t="shared" ca="1" si="328"/>
        <v>#VALUE!</v>
      </c>
      <c r="AD1670" t="str">
        <f t="shared" ca="1" si="329"/>
        <v>0</v>
      </c>
      <c r="AE1670" t="str">
        <f t="shared" ca="1" si="330"/>
        <v/>
      </c>
      <c r="AF1670" s="6">
        <f t="shared" ca="1" si="331"/>
        <v>0</v>
      </c>
      <c r="AG1670">
        <f t="shared" ca="1" si="326"/>
        <v>0</v>
      </c>
      <c r="AH1670">
        <f t="shared" ca="1" si="332"/>
        <v>0</v>
      </c>
      <c r="AI1670">
        <f t="shared" ca="1" si="333"/>
        <v>0</v>
      </c>
      <c r="AJ1670">
        <f t="shared" ca="1" si="334"/>
        <v>0</v>
      </c>
      <c r="AK1670">
        <f t="shared" ca="1" si="335"/>
        <v>0</v>
      </c>
      <c r="AL1670">
        <f t="shared" ca="1" si="336"/>
        <v>0</v>
      </c>
    </row>
    <row r="1671" spans="1:38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#N/A, OFFSET(data!$A$1, ROW()-1, AA$1-1))</f>
        <v>0</v>
      </c>
      <c r="AB1671">
        <f t="shared" ca="1" si="327"/>
        <v>0</v>
      </c>
      <c r="AC1671" t="e">
        <f t="shared" ca="1" si="328"/>
        <v>#VALUE!</v>
      </c>
      <c r="AD1671" t="str">
        <f t="shared" ca="1" si="329"/>
        <v>0</v>
      </c>
      <c r="AE1671" t="str">
        <f t="shared" ca="1" si="330"/>
        <v/>
      </c>
      <c r="AF1671" s="6">
        <f t="shared" ca="1" si="331"/>
        <v>0</v>
      </c>
      <c r="AG1671">
        <f t="shared" ca="1" si="326"/>
        <v>0</v>
      </c>
      <c r="AH1671">
        <f t="shared" ca="1" si="332"/>
        <v>0</v>
      </c>
      <c r="AI1671">
        <f t="shared" ca="1" si="333"/>
        <v>0</v>
      </c>
      <c r="AJ1671">
        <f t="shared" ca="1" si="334"/>
        <v>0</v>
      </c>
      <c r="AK1671">
        <f t="shared" ca="1" si="335"/>
        <v>0</v>
      </c>
      <c r="AL1671">
        <f t="shared" ca="1" si="336"/>
        <v>0</v>
      </c>
    </row>
    <row r="1672" spans="1:38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#N/A, OFFSET(data!$A$1, ROW()-1, AA$1-1))</f>
        <v>0</v>
      </c>
      <c r="AB1672">
        <f t="shared" ca="1" si="327"/>
        <v>0</v>
      </c>
      <c r="AC1672" t="e">
        <f t="shared" ca="1" si="328"/>
        <v>#VALUE!</v>
      </c>
      <c r="AD1672" t="str">
        <f t="shared" ca="1" si="329"/>
        <v>0</v>
      </c>
      <c r="AE1672" t="str">
        <f t="shared" ca="1" si="330"/>
        <v/>
      </c>
      <c r="AF1672" s="6">
        <f t="shared" ca="1" si="331"/>
        <v>0</v>
      </c>
      <c r="AG1672">
        <f t="shared" ca="1" si="326"/>
        <v>0</v>
      </c>
      <c r="AH1672">
        <f t="shared" ca="1" si="332"/>
        <v>0</v>
      </c>
      <c r="AI1672">
        <f t="shared" ca="1" si="333"/>
        <v>0</v>
      </c>
      <c r="AJ1672">
        <f t="shared" ca="1" si="334"/>
        <v>0</v>
      </c>
      <c r="AK1672">
        <f t="shared" ca="1" si="335"/>
        <v>0</v>
      </c>
      <c r="AL1672">
        <f t="shared" ca="1" si="336"/>
        <v>0</v>
      </c>
    </row>
    <row r="1673" spans="1:38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#N/A, OFFSET(data!$A$1, ROW()-1, AA$1-1))</f>
        <v>0</v>
      </c>
      <c r="AB1673">
        <f t="shared" ca="1" si="327"/>
        <v>0</v>
      </c>
      <c r="AC1673" t="e">
        <f t="shared" ca="1" si="328"/>
        <v>#VALUE!</v>
      </c>
      <c r="AD1673" t="str">
        <f t="shared" ca="1" si="329"/>
        <v>0</v>
      </c>
      <c r="AE1673" t="str">
        <f t="shared" ca="1" si="330"/>
        <v/>
      </c>
      <c r="AF1673" s="6">
        <f t="shared" ca="1" si="331"/>
        <v>0</v>
      </c>
      <c r="AG1673">
        <f t="shared" ca="1" si="326"/>
        <v>0</v>
      </c>
      <c r="AH1673">
        <f t="shared" ca="1" si="332"/>
        <v>0</v>
      </c>
      <c r="AI1673">
        <f t="shared" ca="1" si="333"/>
        <v>0</v>
      </c>
      <c r="AJ1673">
        <f t="shared" ca="1" si="334"/>
        <v>0</v>
      </c>
      <c r="AK1673">
        <f t="shared" ca="1" si="335"/>
        <v>0</v>
      </c>
      <c r="AL1673">
        <f t="shared" ca="1" si="336"/>
        <v>0</v>
      </c>
    </row>
    <row r="1674" spans="1:38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#N/A, OFFSET(data!$A$1, ROW()-1, AA$1-1))</f>
        <v>0</v>
      </c>
      <c r="AB1674">
        <f t="shared" ca="1" si="327"/>
        <v>0</v>
      </c>
      <c r="AC1674" t="e">
        <f t="shared" ca="1" si="328"/>
        <v>#VALUE!</v>
      </c>
      <c r="AD1674" t="str">
        <f t="shared" ca="1" si="329"/>
        <v>0</v>
      </c>
      <c r="AE1674" t="str">
        <f t="shared" ca="1" si="330"/>
        <v/>
      </c>
      <c r="AF1674" s="6">
        <f t="shared" ca="1" si="331"/>
        <v>0</v>
      </c>
      <c r="AG1674">
        <f t="shared" ca="1" si="326"/>
        <v>0</v>
      </c>
      <c r="AH1674">
        <f t="shared" ca="1" si="332"/>
        <v>0</v>
      </c>
      <c r="AI1674">
        <f t="shared" ca="1" si="333"/>
        <v>0</v>
      </c>
      <c r="AJ1674">
        <f t="shared" ca="1" si="334"/>
        <v>0</v>
      </c>
      <c r="AK1674">
        <f t="shared" ca="1" si="335"/>
        <v>0</v>
      </c>
      <c r="AL1674">
        <f t="shared" ca="1" si="336"/>
        <v>0</v>
      </c>
    </row>
    <row r="1675" spans="1:38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#N/A, OFFSET(data!$A$1, ROW()-1, AA$1-1))</f>
        <v>0</v>
      </c>
      <c r="AB1675">
        <f t="shared" ca="1" si="327"/>
        <v>0</v>
      </c>
      <c r="AC1675" t="e">
        <f t="shared" ca="1" si="328"/>
        <v>#VALUE!</v>
      </c>
      <c r="AD1675" t="str">
        <f t="shared" ca="1" si="329"/>
        <v>0</v>
      </c>
      <c r="AE1675" t="str">
        <f t="shared" ca="1" si="330"/>
        <v/>
      </c>
      <c r="AF1675" s="6">
        <f t="shared" ca="1" si="331"/>
        <v>0</v>
      </c>
      <c r="AG1675">
        <f t="shared" ca="1" si="326"/>
        <v>0</v>
      </c>
      <c r="AH1675">
        <f t="shared" ca="1" si="332"/>
        <v>0</v>
      </c>
      <c r="AI1675">
        <f t="shared" ca="1" si="333"/>
        <v>0</v>
      </c>
      <c r="AJ1675">
        <f t="shared" ca="1" si="334"/>
        <v>0</v>
      </c>
      <c r="AK1675">
        <f t="shared" ca="1" si="335"/>
        <v>0</v>
      </c>
      <c r="AL1675">
        <f t="shared" ca="1" si="336"/>
        <v>0</v>
      </c>
    </row>
    <row r="1676" spans="1:38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#N/A, OFFSET(data!$A$1, ROW()-1, AA$1-1))</f>
        <v>0</v>
      </c>
      <c r="AB1676">
        <f t="shared" ca="1" si="327"/>
        <v>0</v>
      </c>
      <c r="AC1676" t="e">
        <f t="shared" ca="1" si="328"/>
        <v>#VALUE!</v>
      </c>
      <c r="AD1676" t="str">
        <f t="shared" ca="1" si="329"/>
        <v>0</v>
      </c>
      <c r="AE1676" t="str">
        <f t="shared" ca="1" si="330"/>
        <v/>
      </c>
      <c r="AF1676" s="6">
        <f t="shared" ca="1" si="331"/>
        <v>0</v>
      </c>
      <c r="AG1676">
        <f t="shared" ca="1" si="326"/>
        <v>0</v>
      </c>
      <c r="AH1676">
        <f t="shared" ca="1" si="332"/>
        <v>0</v>
      </c>
      <c r="AI1676">
        <f t="shared" ca="1" si="333"/>
        <v>0</v>
      </c>
      <c r="AJ1676">
        <f t="shared" ca="1" si="334"/>
        <v>0</v>
      </c>
      <c r="AK1676">
        <f t="shared" ca="1" si="335"/>
        <v>0</v>
      </c>
      <c r="AL1676">
        <f t="shared" ca="1" si="336"/>
        <v>0</v>
      </c>
    </row>
    <row r="1677" spans="1:38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#N/A, OFFSET(data!$A$1, ROW()-1, AA$1-1))</f>
        <v>0</v>
      </c>
      <c r="AB1677">
        <f t="shared" ca="1" si="327"/>
        <v>0</v>
      </c>
      <c r="AC1677" t="e">
        <f t="shared" ca="1" si="328"/>
        <v>#VALUE!</v>
      </c>
      <c r="AD1677" t="str">
        <f t="shared" ca="1" si="329"/>
        <v>0</v>
      </c>
      <c r="AE1677" t="str">
        <f t="shared" ca="1" si="330"/>
        <v/>
      </c>
      <c r="AF1677" s="6">
        <f t="shared" ca="1" si="331"/>
        <v>0</v>
      </c>
      <c r="AG1677">
        <f t="shared" ca="1" si="326"/>
        <v>0</v>
      </c>
      <c r="AH1677">
        <f t="shared" ca="1" si="332"/>
        <v>0</v>
      </c>
      <c r="AI1677">
        <f t="shared" ca="1" si="333"/>
        <v>0</v>
      </c>
      <c r="AJ1677">
        <f t="shared" ca="1" si="334"/>
        <v>0</v>
      </c>
      <c r="AK1677">
        <f t="shared" ca="1" si="335"/>
        <v>0</v>
      </c>
      <c r="AL1677">
        <f t="shared" ca="1" si="336"/>
        <v>0</v>
      </c>
    </row>
    <row r="1678" spans="1:38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#N/A, OFFSET(data!$A$1, ROW()-1, AA$1-1))</f>
        <v>0</v>
      </c>
      <c r="AB1678">
        <f t="shared" ca="1" si="327"/>
        <v>0</v>
      </c>
      <c r="AC1678" t="e">
        <f t="shared" ca="1" si="328"/>
        <v>#VALUE!</v>
      </c>
      <c r="AD1678" t="str">
        <f t="shared" ca="1" si="329"/>
        <v>0</v>
      </c>
      <c r="AE1678" t="str">
        <f t="shared" ca="1" si="330"/>
        <v/>
      </c>
      <c r="AF1678" s="6">
        <f t="shared" ca="1" si="331"/>
        <v>0</v>
      </c>
      <c r="AG1678">
        <f t="shared" ca="1" si="326"/>
        <v>0</v>
      </c>
      <c r="AH1678">
        <f t="shared" ca="1" si="332"/>
        <v>0</v>
      </c>
      <c r="AI1678">
        <f t="shared" ca="1" si="333"/>
        <v>0</v>
      </c>
      <c r="AJ1678">
        <f t="shared" ca="1" si="334"/>
        <v>0</v>
      </c>
      <c r="AK1678">
        <f t="shared" ca="1" si="335"/>
        <v>0</v>
      </c>
      <c r="AL1678">
        <f t="shared" ca="1" si="336"/>
        <v>0</v>
      </c>
    </row>
    <row r="1679" spans="1:38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#N/A, OFFSET(data!$A$1, ROW()-1, AA$1-1))</f>
        <v>0</v>
      </c>
      <c r="AB1679">
        <f t="shared" ca="1" si="327"/>
        <v>0</v>
      </c>
      <c r="AC1679" t="e">
        <f t="shared" ca="1" si="328"/>
        <v>#VALUE!</v>
      </c>
      <c r="AD1679" t="str">
        <f t="shared" ca="1" si="329"/>
        <v>0</v>
      </c>
      <c r="AE1679" t="str">
        <f t="shared" ca="1" si="330"/>
        <v/>
      </c>
      <c r="AF1679" s="6">
        <f t="shared" ca="1" si="331"/>
        <v>0</v>
      </c>
      <c r="AG1679">
        <f t="shared" ca="1" si="326"/>
        <v>0</v>
      </c>
      <c r="AH1679">
        <f t="shared" ca="1" si="332"/>
        <v>0</v>
      </c>
      <c r="AI1679">
        <f t="shared" ca="1" si="333"/>
        <v>0</v>
      </c>
      <c r="AJ1679">
        <f t="shared" ca="1" si="334"/>
        <v>0</v>
      </c>
      <c r="AK1679">
        <f t="shared" ca="1" si="335"/>
        <v>0</v>
      </c>
      <c r="AL1679">
        <f t="shared" ca="1" si="336"/>
        <v>0</v>
      </c>
    </row>
    <row r="1680" spans="1:38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#N/A, OFFSET(data!$A$1, ROW()-1, AA$1-1))</f>
        <v>0</v>
      </c>
      <c r="AB1680">
        <f t="shared" ca="1" si="327"/>
        <v>0</v>
      </c>
      <c r="AC1680" t="e">
        <f t="shared" ca="1" si="328"/>
        <v>#VALUE!</v>
      </c>
      <c r="AD1680" t="str">
        <f t="shared" ca="1" si="329"/>
        <v>0</v>
      </c>
      <c r="AE1680" t="str">
        <f t="shared" ca="1" si="330"/>
        <v/>
      </c>
      <c r="AF1680" s="6">
        <f t="shared" ca="1" si="331"/>
        <v>0</v>
      </c>
      <c r="AG1680">
        <f t="shared" ca="1" si="326"/>
        <v>0</v>
      </c>
      <c r="AH1680">
        <f t="shared" ca="1" si="332"/>
        <v>0</v>
      </c>
      <c r="AI1680">
        <f t="shared" ca="1" si="333"/>
        <v>0</v>
      </c>
      <c r="AJ1680">
        <f t="shared" ca="1" si="334"/>
        <v>0</v>
      </c>
      <c r="AK1680">
        <f t="shared" ca="1" si="335"/>
        <v>0</v>
      </c>
      <c r="AL1680">
        <f t="shared" ca="1" si="336"/>
        <v>0</v>
      </c>
    </row>
    <row r="1681" spans="1:38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#N/A, OFFSET(data!$A$1, ROW()-1, AA$1-1))</f>
        <v>0</v>
      </c>
      <c r="AB1681">
        <f t="shared" ca="1" si="327"/>
        <v>0</v>
      </c>
      <c r="AC1681" t="e">
        <f t="shared" ca="1" si="328"/>
        <v>#VALUE!</v>
      </c>
      <c r="AD1681" t="str">
        <f t="shared" ca="1" si="329"/>
        <v>0</v>
      </c>
      <c r="AE1681" t="str">
        <f t="shared" ca="1" si="330"/>
        <v/>
      </c>
      <c r="AF1681" s="6">
        <f t="shared" ca="1" si="331"/>
        <v>0</v>
      </c>
      <c r="AG1681">
        <f t="shared" ca="1" si="326"/>
        <v>0</v>
      </c>
      <c r="AH1681">
        <f t="shared" ca="1" si="332"/>
        <v>0</v>
      </c>
      <c r="AI1681">
        <f t="shared" ca="1" si="333"/>
        <v>0</v>
      </c>
      <c r="AJ1681">
        <f t="shared" ca="1" si="334"/>
        <v>0</v>
      </c>
      <c r="AK1681">
        <f t="shared" ca="1" si="335"/>
        <v>0</v>
      </c>
      <c r="AL1681">
        <f t="shared" ca="1" si="336"/>
        <v>0</v>
      </c>
    </row>
    <row r="1682" spans="1:38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#N/A, OFFSET(data!$A$1, ROW()-1, AA$1-1))</f>
        <v>0</v>
      </c>
      <c r="AB1682">
        <f t="shared" ca="1" si="327"/>
        <v>0</v>
      </c>
      <c r="AC1682" t="e">
        <f t="shared" ca="1" si="328"/>
        <v>#VALUE!</v>
      </c>
      <c r="AD1682" t="str">
        <f t="shared" ca="1" si="329"/>
        <v>0</v>
      </c>
      <c r="AE1682" t="str">
        <f t="shared" ca="1" si="330"/>
        <v/>
      </c>
      <c r="AF1682" s="6">
        <f t="shared" ca="1" si="331"/>
        <v>0</v>
      </c>
      <c r="AG1682">
        <f t="shared" ca="1" si="326"/>
        <v>0</v>
      </c>
      <c r="AH1682">
        <f t="shared" ca="1" si="332"/>
        <v>0</v>
      </c>
      <c r="AI1682">
        <f t="shared" ca="1" si="333"/>
        <v>0</v>
      </c>
      <c r="AJ1682">
        <f t="shared" ca="1" si="334"/>
        <v>0</v>
      </c>
      <c r="AK1682">
        <f t="shared" ca="1" si="335"/>
        <v>0</v>
      </c>
      <c r="AL1682">
        <f t="shared" ca="1" si="336"/>
        <v>0</v>
      </c>
    </row>
    <row r="1683" spans="1:38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#N/A, OFFSET(data!$A$1, ROW()-1, AA$1-1))</f>
        <v>0</v>
      </c>
      <c r="AB1683">
        <f t="shared" ca="1" si="327"/>
        <v>0</v>
      </c>
      <c r="AC1683" t="e">
        <f t="shared" ca="1" si="328"/>
        <v>#VALUE!</v>
      </c>
      <c r="AD1683" t="str">
        <f t="shared" ca="1" si="329"/>
        <v>0</v>
      </c>
      <c r="AE1683" t="str">
        <f t="shared" ca="1" si="330"/>
        <v/>
      </c>
      <c r="AF1683" s="6">
        <f t="shared" ca="1" si="331"/>
        <v>0</v>
      </c>
      <c r="AG1683">
        <f t="shared" ca="1" si="326"/>
        <v>0</v>
      </c>
      <c r="AH1683">
        <f t="shared" ca="1" si="332"/>
        <v>0</v>
      </c>
      <c r="AI1683">
        <f t="shared" ca="1" si="333"/>
        <v>0</v>
      </c>
      <c r="AJ1683">
        <f t="shared" ca="1" si="334"/>
        <v>0</v>
      </c>
      <c r="AK1683">
        <f t="shared" ca="1" si="335"/>
        <v>0</v>
      </c>
      <c r="AL1683">
        <f t="shared" ca="1" si="336"/>
        <v>0</v>
      </c>
    </row>
    <row r="1684" spans="1:38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#N/A, OFFSET(data!$A$1, ROW()-1, AA$1-1))</f>
        <v>0</v>
      </c>
      <c r="AB1684">
        <f t="shared" ca="1" si="327"/>
        <v>0</v>
      </c>
      <c r="AC1684" t="e">
        <f t="shared" ca="1" si="328"/>
        <v>#VALUE!</v>
      </c>
      <c r="AD1684" t="str">
        <f t="shared" ca="1" si="329"/>
        <v>0</v>
      </c>
      <c r="AE1684" t="str">
        <f t="shared" ca="1" si="330"/>
        <v/>
      </c>
      <c r="AF1684" s="6">
        <f t="shared" ca="1" si="331"/>
        <v>0</v>
      </c>
      <c r="AG1684">
        <f t="shared" ca="1" si="326"/>
        <v>0</v>
      </c>
      <c r="AH1684">
        <f t="shared" ca="1" si="332"/>
        <v>0</v>
      </c>
      <c r="AI1684">
        <f t="shared" ca="1" si="333"/>
        <v>0</v>
      </c>
      <c r="AJ1684">
        <f t="shared" ca="1" si="334"/>
        <v>0</v>
      </c>
      <c r="AK1684">
        <f t="shared" ca="1" si="335"/>
        <v>0</v>
      </c>
      <c r="AL1684">
        <f t="shared" ca="1" si="336"/>
        <v>0</v>
      </c>
    </row>
    <row r="1685" spans="1:38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#N/A, OFFSET(data!$A$1, ROW()-1, AA$1-1))</f>
        <v>0</v>
      </c>
      <c r="AB1685">
        <f t="shared" ca="1" si="327"/>
        <v>0</v>
      </c>
      <c r="AC1685" t="e">
        <f t="shared" ca="1" si="328"/>
        <v>#VALUE!</v>
      </c>
      <c r="AD1685" t="str">
        <f t="shared" ca="1" si="329"/>
        <v>0</v>
      </c>
      <c r="AE1685" t="str">
        <f t="shared" ca="1" si="330"/>
        <v/>
      </c>
      <c r="AF1685" s="6">
        <f t="shared" ca="1" si="331"/>
        <v>0</v>
      </c>
      <c r="AG1685">
        <f t="shared" ca="1" si="326"/>
        <v>0</v>
      </c>
      <c r="AH1685">
        <f t="shared" ca="1" si="332"/>
        <v>0</v>
      </c>
      <c r="AI1685">
        <f t="shared" ca="1" si="333"/>
        <v>0</v>
      </c>
      <c r="AJ1685">
        <f t="shared" ca="1" si="334"/>
        <v>0</v>
      </c>
      <c r="AK1685">
        <f t="shared" ca="1" si="335"/>
        <v>0</v>
      </c>
      <c r="AL1685">
        <f t="shared" ca="1" si="336"/>
        <v>0</v>
      </c>
    </row>
    <row r="1686" spans="1:38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#N/A, OFFSET(data!$A$1, ROW()-1, AA$1-1))</f>
        <v>0</v>
      </c>
      <c r="AB1686">
        <f t="shared" ca="1" si="327"/>
        <v>0</v>
      </c>
      <c r="AC1686" t="e">
        <f t="shared" ca="1" si="328"/>
        <v>#VALUE!</v>
      </c>
      <c r="AD1686" t="str">
        <f t="shared" ca="1" si="329"/>
        <v>0</v>
      </c>
      <c r="AE1686" t="str">
        <f t="shared" ca="1" si="330"/>
        <v/>
      </c>
      <c r="AF1686" s="6">
        <f t="shared" ca="1" si="331"/>
        <v>0</v>
      </c>
      <c r="AG1686">
        <f t="shared" ca="1" si="326"/>
        <v>0</v>
      </c>
      <c r="AH1686">
        <f t="shared" ca="1" si="332"/>
        <v>0</v>
      </c>
      <c r="AI1686">
        <f t="shared" ca="1" si="333"/>
        <v>0</v>
      </c>
      <c r="AJ1686">
        <f t="shared" ca="1" si="334"/>
        <v>0</v>
      </c>
      <c r="AK1686">
        <f t="shared" ca="1" si="335"/>
        <v>0</v>
      </c>
      <c r="AL1686">
        <f t="shared" ca="1" si="336"/>
        <v>0</v>
      </c>
    </row>
    <row r="1687" spans="1:38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#N/A, OFFSET(data!$A$1, ROW()-1, AA$1-1))</f>
        <v>0</v>
      </c>
      <c r="AB1687">
        <f t="shared" ca="1" si="327"/>
        <v>0</v>
      </c>
      <c r="AC1687" t="e">
        <f t="shared" ca="1" si="328"/>
        <v>#VALUE!</v>
      </c>
      <c r="AD1687" t="str">
        <f t="shared" ca="1" si="329"/>
        <v>0</v>
      </c>
      <c r="AE1687" t="str">
        <f t="shared" ca="1" si="330"/>
        <v/>
      </c>
      <c r="AF1687" s="6">
        <f t="shared" ca="1" si="331"/>
        <v>0</v>
      </c>
      <c r="AG1687">
        <f t="shared" ca="1" si="326"/>
        <v>0</v>
      </c>
      <c r="AH1687">
        <f t="shared" ca="1" si="332"/>
        <v>0</v>
      </c>
      <c r="AI1687">
        <f t="shared" ca="1" si="333"/>
        <v>0</v>
      </c>
      <c r="AJ1687">
        <f t="shared" ca="1" si="334"/>
        <v>0</v>
      </c>
      <c r="AK1687">
        <f t="shared" ca="1" si="335"/>
        <v>0</v>
      </c>
      <c r="AL1687">
        <f t="shared" ca="1" si="336"/>
        <v>0</v>
      </c>
    </row>
    <row r="1688" spans="1:38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#N/A, OFFSET(data!$A$1, ROW()-1, AA$1-1))</f>
        <v>0</v>
      </c>
      <c r="AB1688">
        <f t="shared" ca="1" si="327"/>
        <v>0</v>
      </c>
      <c r="AC1688" t="e">
        <f t="shared" ca="1" si="328"/>
        <v>#VALUE!</v>
      </c>
      <c r="AD1688" t="str">
        <f t="shared" ca="1" si="329"/>
        <v>0</v>
      </c>
      <c r="AE1688" t="str">
        <f t="shared" ca="1" si="330"/>
        <v/>
      </c>
      <c r="AF1688" s="6">
        <f t="shared" ca="1" si="331"/>
        <v>0</v>
      </c>
      <c r="AG1688">
        <f t="shared" ca="1" si="326"/>
        <v>0</v>
      </c>
      <c r="AH1688">
        <f t="shared" ca="1" si="332"/>
        <v>0</v>
      </c>
      <c r="AI1688">
        <f t="shared" ca="1" si="333"/>
        <v>0</v>
      </c>
      <c r="AJ1688">
        <f t="shared" ca="1" si="334"/>
        <v>0</v>
      </c>
      <c r="AK1688">
        <f t="shared" ca="1" si="335"/>
        <v>0</v>
      </c>
      <c r="AL1688">
        <f t="shared" ca="1" si="336"/>
        <v>0</v>
      </c>
    </row>
    <row r="1689" spans="1:38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#N/A, OFFSET(data!$A$1, ROW()-1, AA$1-1))</f>
        <v>0</v>
      </c>
      <c r="AB1689">
        <f t="shared" ca="1" si="327"/>
        <v>0</v>
      </c>
      <c r="AC1689" t="e">
        <f t="shared" ca="1" si="328"/>
        <v>#VALUE!</v>
      </c>
      <c r="AD1689" t="str">
        <f t="shared" ca="1" si="329"/>
        <v>0</v>
      </c>
      <c r="AE1689" t="str">
        <f t="shared" ca="1" si="330"/>
        <v/>
      </c>
      <c r="AF1689" s="6">
        <f t="shared" ca="1" si="331"/>
        <v>0</v>
      </c>
      <c r="AG1689">
        <f t="shared" ca="1" si="326"/>
        <v>0</v>
      </c>
      <c r="AH1689">
        <f t="shared" ca="1" si="332"/>
        <v>0</v>
      </c>
      <c r="AI1689">
        <f t="shared" ca="1" si="333"/>
        <v>0</v>
      </c>
      <c r="AJ1689">
        <f t="shared" ca="1" si="334"/>
        <v>0</v>
      </c>
      <c r="AK1689">
        <f t="shared" ca="1" si="335"/>
        <v>0</v>
      </c>
      <c r="AL1689">
        <f t="shared" ca="1" si="336"/>
        <v>0</v>
      </c>
    </row>
    <row r="1690" spans="1:38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#N/A, OFFSET(data!$A$1, ROW()-1, AA$1-1))</f>
        <v>0</v>
      </c>
      <c r="AB1690">
        <f t="shared" ca="1" si="327"/>
        <v>0</v>
      </c>
      <c r="AC1690" t="e">
        <f t="shared" ca="1" si="328"/>
        <v>#VALUE!</v>
      </c>
      <c r="AD1690" t="str">
        <f t="shared" ca="1" si="329"/>
        <v>0</v>
      </c>
      <c r="AE1690" t="str">
        <f t="shared" ca="1" si="330"/>
        <v/>
      </c>
      <c r="AF1690" s="6">
        <f t="shared" ca="1" si="331"/>
        <v>0</v>
      </c>
      <c r="AG1690">
        <f t="shared" ca="1" si="326"/>
        <v>0</v>
      </c>
      <c r="AH1690">
        <f t="shared" ca="1" si="332"/>
        <v>0</v>
      </c>
      <c r="AI1690">
        <f t="shared" ca="1" si="333"/>
        <v>0</v>
      </c>
      <c r="AJ1690">
        <f t="shared" ca="1" si="334"/>
        <v>0</v>
      </c>
      <c r="AK1690">
        <f t="shared" ca="1" si="335"/>
        <v>0</v>
      </c>
      <c r="AL1690">
        <f t="shared" ca="1" si="336"/>
        <v>0</v>
      </c>
    </row>
    <row r="1691" spans="1:38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#N/A, OFFSET(data!$A$1, ROW()-1, AA$1-1))</f>
        <v>0</v>
      </c>
      <c r="AB1691">
        <f t="shared" ca="1" si="327"/>
        <v>0</v>
      </c>
      <c r="AC1691" t="e">
        <f t="shared" ca="1" si="328"/>
        <v>#VALUE!</v>
      </c>
      <c r="AD1691" t="str">
        <f t="shared" ca="1" si="329"/>
        <v>0</v>
      </c>
      <c r="AE1691" t="str">
        <f t="shared" ca="1" si="330"/>
        <v/>
      </c>
      <c r="AF1691" s="6">
        <f t="shared" ca="1" si="331"/>
        <v>0</v>
      </c>
      <c r="AG1691">
        <f t="shared" ca="1" si="326"/>
        <v>0</v>
      </c>
      <c r="AH1691">
        <f t="shared" ca="1" si="332"/>
        <v>0</v>
      </c>
      <c r="AI1691">
        <f t="shared" ca="1" si="333"/>
        <v>0</v>
      </c>
      <c r="AJ1691">
        <f t="shared" ca="1" si="334"/>
        <v>0</v>
      </c>
      <c r="AK1691">
        <f t="shared" ca="1" si="335"/>
        <v>0</v>
      </c>
      <c r="AL1691">
        <f t="shared" ca="1" si="336"/>
        <v>0</v>
      </c>
    </row>
    <row r="1692" spans="1:38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#N/A, OFFSET(data!$A$1, ROW()-1, AA$1-1))</f>
        <v>0</v>
      </c>
      <c r="AB1692">
        <f t="shared" ca="1" si="327"/>
        <v>0</v>
      </c>
      <c r="AC1692" t="e">
        <f t="shared" ca="1" si="328"/>
        <v>#VALUE!</v>
      </c>
      <c r="AD1692" t="str">
        <f t="shared" ca="1" si="329"/>
        <v>0</v>
      </c>
      <c r="AE1692" t="str">
        <f t="shared" ca="1" si="330"/>
        <v/>
      </c>
      <c r="AF1692" s="6">
        <f t="shared" ca="1" si="331"/>
        <v>0</v>
      </c>
      <c r="AG1692">
        <f t="shared" ca="1" si="326"/>
        <v>0</v>
      </c>
      <c r="AH1692">
        <f t="shared" ca="1" si="332"/>
        <v>0</v>
      </c>
      <c r="AI1692">
        <f t="shared" ca="1" si="333"/>
        <v>0</v>
      </c>
      <c r="AJ1692">
        <f t="shared" ca="1" si="334"/>
        <v>0</v>
      </c>
      <c r="AK1692">
        <f t="shared" ca="1" si="335"/>
        <v>0</v>
      </c>
      <c r="AL1692">
        <f t="shared" ca="1" si="336"/>
        <v>0</v>
      </c>
    </row>
    <row r="1693" spans="1:38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#N/A, OFFSET(data!$A$1, ROW()-1, AA$1-1))</f>
        <v>0</v>
      </c>
      <c r="AB1693">
        <f t="shared" ca="1" si="327"/>
        <v>0</v>
      </c>
      <c r="AC1693" t="e">
        <f t="shared" ca="1" si="328"/>
        <v>#VALUE!</v>
      </c>
      <c r="AD1693" t="str">
        <f t="shared" ca="1" si="329"/>
        <v>0</v>
      </c>
      <c r="AE1693" t="str">
        <f t="shared" ca="1" si="330"/>
        <v/>
      </c>
      <c r="AF1693" s="6">
        <f t="shared" ca="1" si="331"/>
        <v>0</v>
      </c>
      <c r="AG1693">
        <f t="shared" ca="1" si="326"/>
        <v>0</v>
      </c>
      <c r="AH1693">
        <f t="shared" ca="1" si="332"/>
        <v>0</v>
      </c>
      <c r="AI1693">
        <f t="shared" ca="1" si="333"/>
        <v>0</v>
      </c>
      <c r="AJ1693">
        <f t="shared" ca="1" si="334"/>
        <v>0</v>
      </c>
      <c r="AK1693">
        <f t="shared" ca="1" si="335"/>
        <v>0</v>
      </c>
      <c r="AL1693">
        <f t="shared" ca="1" si="336"/>
        <v>0</v>
      </c>
    </row>
    <row r="1694" spans="1:38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#N/A, OFFSET(data!$A$1, ROW()-1, AA$1-1))</f>
        <v>0</v>
      </c>
      <c r="AB1694">
        <f t="shared" ca="1" si="327"/>
        <v>0</v>
      </c>
      <c r="AC1694" t="e">
        <f t="shared" ca="1" si="328"/>
        <v>#VALUE!</v>
      </c>
      <c r="AD1694" t="str">
        <f t="shared" ca="1" si="329"/>
        <v>0</v>
      </c>
      <c r="AE1694" t="str">
        <f t="shared" ca="1" si="330"/>
        <v/>
      </c>
      <c r="AF1694" s="6">
        <f t="shared" ca="1" si="331"/>
        <v>0</v>
      </c>
      <c r="AG1694">
        <f t="shared" ca="1" si="326"/>
        <v>0</v>
      </c>
      <c r="AH1694">
        <f t="shared" ca="1" si="332"/>
        <v>0</v>
      </c>
      <c r="AI1694">
        <f t="shared" ca="1" si="333"/>
        <v>0</v>
      </c>
      <c r="AJ1694">
        <f t="shared" ca="1" si="334"/>
        <v>0</v>
      </c>
      <c r="AK1694">
        <f t="shared" ca="1" si="335"/>
        <v>0</v>
      </c>
      <c r="AL1694">
        <f t="shared" ca="1" si="336"/>
        <v>0</v>
      </c>
    </row>
    <row r="1695" spans="1:38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#N/A, OFFSET(data!$A$1, ROW()-1, AA$1-1))</f>
        <v>0</v>
      </c>
      <c r="AB1695">
        <f t="shared" ca="1" si="327"/>
        <v>0</v>
      </c>
      <c r="AC1695" t="e">
        <f t="shared" ca="1" si="328"/>
        <v>#VALUE!</v>
      </c>
      <c r="AD1695" t="str">
        <f t="shared" ca="1" si="329"/>
        <v>0</v>
      </c>
      <c r="AE1695" t="str">
        <f t="shared" ca="1" si="330"/>
        <v/>
      </c>
      <c r="AF1695" s="6">
        <f t="shared" ca="1" si="331"/>
        <v>0</v>
      </c>
      <c r="AG1695">
        <f t="shared" ca="1" si="326"/>
        <v>0</v>
      </c>
      <c r="AH1695">
        <f t="shared" ca="1" si="332"/>
        <v>0</v>
      </c>
      <c r="AI1695">
        <f t="shared" ca="1" si="333"/>
        <v>0</v>
      </c>
      <c r="AJ1695">
        <f t="shared" ca="1" si="334"/>
        <v>0</v>
      </c>
      <c r="AK1695">
        <f t="shared" ca="1" si="335"/>
        <v>0</v>
      </c>
      <c r="AL1695">
        <f t="shared" ca="1" si="336"/>
        <v>0</v>
      </c>
    </row>
    <row r="1696" spans="1:38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#N/A, OFFSET(data!$A$1, ROW()-1, AA$1-1))</f>
        <v>0</v>
      </c>
      <c r="AB1696">
        <f t="shared" ca="1" si="327"/>
        <v>0</v>
      </c>
      <c r="AC1696" t="e">
        <f t="shared" ca="1" si="328"/>
        <v>#VALUE!</v>
      </c>
      <c r="AD1696" t="str">
        <f t="shared" ca="1" si="329"/>
        <v>0</v>
      </c>
      <c r="AE1696" t="str">
        <f t="shared" ca="1" si="330"/>
        <v/>
      </c>
      <c r="AF1696" s="6">
        <f t="shared" ca="1" si="331"/>
        <v>0</v>
      </c>
      <c r="AG1696">
        <f t="shared" ca="1" si="326"/>
        <v>0</v>
      </c>
      <c r="AH1696">
        <f t="shared" ca="1" si="332"/>
        <v>0</v>
      </c>
      <c r="AI1696">
        <f t="shared" ca="1" si="333"/>
        <v>0</v>
      </c>
      <c r="AJ1696">
        <f t="shared" ca="1" si="334"/>
        <v>0</v>
      </c>
      <c r="AK1696">
        <f t="shared" ca="1" si="335"/>
        <v>0</v>
      </c>
      <c r="AL1696">
        <f t="shared" ca="1" si="336"/>
        <v>0</v>
      </c>
    </row>
    <row r="1697" spans="1:38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#N/A, OFFSET(data!$A$1, ROW()-1, AA$1-1))</f>
        <v>0</v>
      </c>
      <c r="AB1697">
        <f t="shared" ca="1" si="327"/>
        <v>0</v>
      </c>
      <c r="AC1697" t="e">
        <f t="shared" ca="1" si="328"/>
        <v>#VALUE!</v>
      </c>
      <c r="AD1697" t="str">
        <f t="shared" ca="1" si="329"/>
        <v>0</v>
      </c>
      <c r="AE1697" t="str">
        <f t="shared" ca="1" si="330"/>
        <v/>
      </c>
      <c r="AF1697" s="6">
        <f t="shared" ca="1" si="331"/>
        <v>0</v>
      </c>
      <c r="AG1697">
        <f t="shared" ca="1" si="326"/>
        <v>0</v>
      </c>
      <c r="AH1697">
        <f t="shared" ca="1" si="332"/>
        <v>0</v>
      </c>
      <c r="AI1697">
        <f t="shared" ca="1" si="333"/>
        <v>0</v>
      </c>
      <c r="AJ1697">
        <f t="shared" ca="1" si="334"/>
        <v>0</v>
      </c>
      <c r="AK1697">
        <f t="shared" ca="1" si="335"/>
        <v>0</v>
      </c>
      <c r="AL1697">
        <f t="shared" ca="1" si="336"/>
        <v>0</v>
      </c>
    </row>
    <row r="1698" spans="1:38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#N/A, OFFSET(data!$A$1, ROW()-1, AA$1-1))</f>
        <v>0</v>
      </c>
      <c r="AB1698">
        <f t="shared" ca="1" si="327"/>
        <v>0</v>
      </c>
      <c r="AC1698" t="e">
        <f t="shared" ca="1" si="328"/>
        <v>#VALUE!</v>
      </c>
      <c r="AD1698" t="str">
        <f t="shared" ca="1" si="329"/>
        <v>0</v>
      </c>
      <c r="AE1698" t="str">
        <f t="shared" ca="1" si="330"/>
        <v/>
      </c>
      <c r="AF1698" s="6">
        <f t="shared" ca="1" si="331"/>
        <v>0</v>
      </c>
      <c r="AG1698">
        <f t="shared" ca="1" si="326"/>
        <v>0</v>
      </c>
      <c r="AH1698">
        <f t="shared" ca="1" si="332"/>
        <v>0</v>
      </c>
      <c r="AI1698">
        <f t="shared" ca="1" si="333"/>
        <v>0</v>
      </c>
      <c r="AJ1698">
        <f t="shared" ca="1" si="334"/>
        <v>0</v>
      </c>
      <c r="AK1698">
        <f t="shared" ca="1" si="335"/>
        <v>0</v>
      </c>
      <c r="AL1698">
        <f t="shared" ca="1" si="336"/>
        <v>0</v>
      </c>
    </row>
    <row r="1699" spans="1:38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#N/A, OFFSET(data!$A$1, ROW()-1, AA$1-1))</f>
        <v>0</v>
      </c>
      <c r="AB1699">
        <f t="shared" ca="1" si="327"/>
        <v>0</v>
      </c>
      <c r="AC1699" t="e">
        <f t="shared" ca="1" si="328"/>
        <v>#VALUE!</v>
      </c>
      <c r="AD1699" t="str">
        <f t="shared" ca="1" si="329"/>
        <v>0</v>
      </c>
      <c r="AE1699" t="str">
        <f t="shared" ca="1" si="330"/>
        <v/>
      </c>
      <c r="AF1699" s="6">
        <f t="shared" ca="1" si="331"/>
        <v>0</v>
      </c>
      <c r="AG1699">
        <f t="shared" ca="1" si="326"/>
        <v>0</v>
      </c>
      <c r="AH1699">
        <f t="shared" ca="1" si="332"/>
        <v>0</v>
      </c>
      <c r="AI1699">
        <f t="shared" ca="1" si="333"/>
        <v>0</v>
      </c>
      <c r="AJ1699">
        <f t="shared" ca="1" si="334"/>
        <v>0</v>
      </c>
      <c r="AK1699">
        <f t="shared" ca="1" si="335"/>
        <v>0</v>
      </c>
      <c r="AL1699">
        <f t="shared" ca="1" si="336"/>
        <v>0</v>
      </c>
    </row>
    <row r="1700" spans="1:38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#N/A, OFFSET(data!$A$1, ROW()-1, AA$1-1))</f>
        <v>0</v>
      </c>
      <c r="AB1700">
        <f t="shared" ca="1" si="327"/>
        <v>0</v>
      </c>
      <c r="AC1700" t="e">
        <f t="shared" ca="1" si="328"/>
        <v>#VALUE!</v>
      </c>
      <c r="AD1700" t="str">
        <f t="shared" ca="1" si="329"/>
        <v>0</v>
      </c>
      <c r="AE1700" t="str">
        <f t="shared" ca="1" si="330"/>
        <v/>
      </c>
      <c r="AF1700" s="6">
        <f t="shared" ca="1" si="331"/>
        <v>0</v>
      </c>
      <c r="AG1700">
        <f t="shared" ca="1" si="326"/>
        <v>0</v>
      </c>
      <c r="AH1700">
        <f t="shared" ca="1" si="332"/>
        <v>0</v>
      </c>
      <c r="AI1700">
        <f t="shared" ca="1" si="333"/>
        <v>0</v>
      </c>
      <c r="AJ1700">
        <f t="shared" ca="1" si="334"/>
        <v>0</v>
      </c>
      <c r="AK1700">
        <f t="shared" ca="1" si="335"/>
        <v>0</v>
      </c>
      <c r="AL1700">
        <f t="shared" ca="1" si="336"/>
        <v>0</v>
      </c>
    </row>
    <row r="1701" spans="1:38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#N/A, OFFSET(data!$A$1, ROW()-1, AA$1-1))</f>
        <v>0</v>
      </c>
      <c r="AB1701">
        <f t="shared" ca="1" si="327"/>
        <v>0</v>
      </c>
      <c r="AC1701" t="e">
        <f t="shared" ca="1" si="328"/>
        <v>#VALUE!</v>
      </c>
      <c r="AD1701" t="str">
        <f t="shared" ca="1" si="329"/>
        <v>0</v>
      </c>
      <c r="AE1701" t="str">
        <f t="shared" ca="1" si="330"/>
        <v/>
      </c>
      <c r="AF1701" s="6">
        <f t="shared" ca="1" si="331"/>
        <v>0</v>
      </c>
      <c r="AG1701">
        <f t="shared" ca="1" si="326"/>
        <v>0</v>
      </c>
      <c r="AH1701">
        <f t="shared" ca="1" si="332"/>
        <v>0</v>
      </c>
      <c r="AI1701">
        <f t="shared" ca="1" si="333"/>
        <v>0</v>
      </c>
      <c r="AJ1701">
        <f t="shared" ca="1" si="334"/>
        <v>0</v>
      </c>
      <c r="AK1701">
        <f t="shared" ca="1" si="335"/>
        <v>0</v>
      </c>
      <c r="AL1701">
        <f t="shared" ca="1" si="336"/>
        <v>0</v>
      </c>
    </row>
    <row r="1702" spans="1:38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#N/A, OFFSET(data!$A$1, ROW()-1, AA$1-1))</f>
        <v>0</v>
      </c>
      <c r="AB1702">
        <f t="shared" ca="1" si="327"/>
        <v>0</v>
      </c>
      <c r="AC1702" t="e">
        <f t="shared" ca="1" si="328"/>
        <v>#VALUE!</v>
      </c>
      <c r="AD1702" t="str">
        <f t="shared" ca="1" si="329"/>
        <v>0</v>
      </c>
      <c r="AE1702" t="str">
        <f t="shared" ca="1" si="330"/>
        <v/>
      </c>
      <c r="AF1702" s="6">
        <f t="shared" ca="1" si="331"/>
        <v>0</v>
      </c>
      <c r="AG1702">
        <f t="shared" ca="1" si="326"/>
        <v>0</v>
      </c>
      <c r="AH1702">
        <f t="shared" ca="1" si="332"/>
        <v>0</v>
      </c>
      <c r="AI1702">
        <f t="shared" ca="1" si="333"/>
        <v>0</v>
      </c>
      <c r="AJ1702">
        <f t="shared" ca="1" si="334"/>
        <v>0</v>
      </c>
      <c r="AK1702">
        <f t="shared" ca="1" si="335"/>
        <v>0</v>
      </c>
      <c r="AL1702">
        <f t="shared" ca="1" si="336"/>
        <v>0</v>
      </c>
    </row>
    <row r="1703" spans="1:38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#N/A, OFFSET(data!$A$1, ROW()-1, AA$1-1))</f>
        <v>0</v>
      </c>
      <c r="AB1703">
        <f t="shared" ca="1" si="327"/>
        <v>0</v>
      </c>
      <c r="AC1703" t="e">
        <f t="shared" ca="1" si="328"/>
        <v>#VALUE!</v>
      </c>
      <c r="AD1703" t="str">
        <f t="shared" ca="1" si="329"/>
        <v>0</v>
      </c>
      <c r="AE1703" t="str">
        <f t="shared" ca="1" si="330"/>
        <v/>
      </c>
      <c r="AF1703" s="6">
        <f t="shared" ca="1" si="331"/>
        <v>0</v>
      </c>
      <c r="AG1703">
        <f t="shared" ca="1" si="326"/>
        <v>0</v>
      </c>
      <c r="AH1703">
        <f t="shared" ca="1" si="332"/>
        <v>0</v>
      </c>
      <c r="AI1703">
        <f t="shared" ca="1" si="333"/>
        <v>0</v>
      </c>
      <c r="AJ1703">
        <f t="shared" ca="1" si="334"/>
        <v>0</v>
      </c>
      <c r="AK1703">
        <f t="shared" ca="1" si="335"/>
        <v>0</v>
      </c>
      <c r="AL1703">
        <f t="shared" ca="1" si="336"/>
        <v>0</v>
      </c>
    </row>
    <row r="1704" spans="1:38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#N/A, OFFSET(data!$A$1, ROW()-1, AA$1-1))</f>
        <v>0</v>
      </c>
      <c r="AB1704">
        <f t="shared" ca="1" si="327"/>
        <v>0</v>
      </c>
      <c r="AC1704" t="e">
        <f t="shared" ca="1" si="328"/>
        <v>#VALUE!</v>
      </c>
      <c r="AD1704" t="str">
        <f t="shared" ca="1" si="329"/>
        <v>0</v>
      </c>
      <c r="AE1704" t="str">
        <f t="shared" ca="1" si="330"/>
        <v/>
      </c>
      <c r="AF1704" s="6">
        <f t="shared" ca="1" si="331"/>
        <v>0</v>
      </c>
      <c r="AG1704">
        <f t="shared" ca="1" si="326"/>
        <v>0</v>
      </c>
      <c r="AH1704">
        <f t="shared" ca="1" si="332"/>
        <v>0</v>
      </c>
      <c r="AI1704">
        <f t="shared" ca="1" si="333"/>
        <v>0</v>
      </c>
      <c r="AJ1704">
        <f t="shared" ca="1" si="334"/>
        <v>0</v>
      </c>
      <c r="AK1704">
        <f t="shared" ca="1" si="335"/>
        <v>0</v>
      </c>
      <c r="AL1704">
        <f t="shared" ca="1" si="336"/>
        <v>0</v>
      </c>
    </row>
    <row r="1705" spans="1:38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#N/A, OFFSET(data!$A$1, ROW()-1, AA$1-1))</f>
        <v>0</v>
      </c>
      <c r="AB1705">
        <f t="shared" ca="1" si="327"/>
        <v>0</v>
      </c>
      <c r="AC1705" t="e">
        <f t="shared" ca="1" si="328"/>
        <v>#VALUE!</v>
      </c>
      <c r="AD1705" t="str">
        <f t="shared" ca="1" si="329"/>
        <v>0</v>
      </c>
      <c r="AE1705" t="str">
        <f t="shared" ca="1" si="330"/>
        <v/>
      </c>
      <c r="AF1705" s="6">
        <f t="shared" ca="1" si="331"/>
        <v>0</v>
      </c>
      <c r="AG1705">
        <f t="shared" ca="1" si="326"/>
        <v>0</v>
      </c>
      <c r="AH1705">
        <f t="shared" ca="1" si="332"/>
        <v>0</v>
      </c>
      <c r="AI1705">
        <f t="shared" ca="1" si="333"/>
        <v>0</v>
      </c>
      <c r="AJ1705">
        <f t="shared" ca="1" si="334"/>
        <v>0</v>
      </c>
      <c r="AK1705">
        <f t="shared" ca="1" si="335"/>
        <v>0</v>
      </c>
      <c r="AL1705">
        <f t="shared" ca="1" si="336"/>
        <v>0</v>
      </c>
    </row>
    <row r="1706" spans="1:38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#N/A, OFFSET(data!$A$1, ROW()-1, AA$1-1))</f>
        <v>0</v>
      </c>
      <c r="AB1706">
        <f t="shared" ca="1" si="327"/>
        <v>0</v>
      </c>
      <c r="AC1706" t="e">
        <f t="shared" ca="1" si="328"/>
        <v>#VALUE!</v>
      </c>
      <c r="AD1706" t="str">
        <f t="shared" ca="1" si="329"/>
        <v>0</v>
      </c>
      <c r="AE1706" t="str">
        <f t="shared" ca="1" si="330"/>
        <v/>
      </c>
      <c r="AF1706" s="6">
        <f t="shared" ca="1" si="331"/>
        <v>0</v>
      </c>
      <c r="AG1706">
        <f t="shared" ca="1" si="326"/>
        <v>0</v>
      </c>
      <c r="AH1706">
        <f t="shared" ca="1" si="332"/>
        <v>0</v>
      </c>
      <c r="AI1706">
        <f t="shared" ca="1" si="333"/>
        <v>0</v>
      </c>
      <c r="AJ1706">
        <f t="shared" ca="1" si="334"/>
        <v>0</v>
      </c>
      <c r="AK1706">
        <f t="shared" ca="1" si="335"/>
        <v>0</v>
      </c>
      <c r="AL1706">
        <f t="shared" ca="1" si="336"/>
        <v>0</v>
      </c>
    </row>
    <row r="1707" spans="1:38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#N/A, OFFSET(data!$A$1, ROW()-1, AA$1-1))</f>
        <v>0</v>
      </c>
      <c r="AB1707">
        <f t="shared" ca="1" si="327"/>
        <v>0</v>
      </c>
      <c r="AC1707" t="e">
        <f t="shared" ca="1" si="328"/>
        <v>#VALUE!</v>
      </c>
      <c r="AD1707" t="str">
        <f t="shared" ca="1" si="329"/>
        <v>0</v>
      </c>
      <c r="AE1707" t="str">
        <f t="shared" ca="1" si="330"/>
        <v/>
      </c>
      <c r="AF1707" s="6">
        <f t="shared" ca="1" si="331"/>
        <v>0</v>
      </c>
      <c r="AG1707">
        <f t="shared" ca="1" si="326"/>
        <v>0</v>
      </c>
      <c r="AH1707">
        <f t="shared" ca="1" si="332"/>
        <v>0</v>
      </c>
      <c r="AI1707">
        <f t="shared" ca="1" si="333"/>
        <v>0</v>
      </c>
      <c r="AJ1707">
        <f t="shared" ca="1" si="334"/>
        <v>0</v>
      </c>
      <c r="AK1707">
        <f t="shared" ca="1" si="335"/>
        <v>0</v>
      </c>
      <c r="AL1707">
        <f t="shared" ca="1" si="336"/>
        <v>0</v>
      </c>
    </row>
    <row r="1708" spans="1:38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#N/A, OFFSET(data!$A$1, ROW()-1, AA$1-1))</f>
        <v>0</v>
      </c>
      <c r="AB1708">
        <f t="shared" ca="1" si="327"/>
        <v>0</v>
      </c>
      <c r="AC1708" t="e">
        <f t="shared" ca="1" si="328"/>
        <v>#VALUE!</v>
      </c>
      <c r="AD1708" t="str">
        <f t="shared" ca="1" si="329"/>
        <v>0</v>
      </c>
      <c r="AE1708" t="str">
        <f t="shared" ca="1" si="330"/>
        <v/>
      </c>
      <c r="AF1708" s="6">
        <f t="shared" ca="1" si="331"/>
        <v>0</v>
      </c>
      <c r="AG1708">
        <f t="shared" ca="1" si="326"/>
        <v>0</v>
      </c>
      <c r="AH1708">
        <f t="shared" ca="1" si="332"/>
        <v>0</v>
      </c>
      <c r="AI1708">
        <f t="shared" ca="1" si="333"/>
        <v>0</v>
      </c>
      <c r="AJ1708">
        <f t="shared" ca="1" si="334"/>
        <v>0</v>
      </c>
      <c r="AK1708">
        <f t="shared" ca="1" si="335"/>
        <v>0</v>
      </c>
      <c r="AL1708">
        <f t="shared" ca="1" si="336"/>
        <v>0</v>
      </c>
    </row>
    <row r="1709" spans="1:38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#N/A, OFFSET(data!$A$1, ROW()-1, AA$1-1))</f>
        <v>0</v>
      </c>
      <c r="AB1709">
        <f t="shared" ca="1" si="327"/>
        <v>0</v>
      </c>
      <c r="AC1709" t="e">
        <f t="shared" ca="1" si="328"/>
        <v>#VALUE!</v>
      </c>
      <c r="AD1709" t="str">
        <f t="shared" ca="1" si="329"/>
        <v>0</v>
      </c>
      <c r="AE1709" t="str">
        <f t="shared" ca="1" si="330"/>
        <v/>
      </c>
      <c r="AF1709" s="6">
        <f t="shared" ca="1" si="331"/>
        <v>0</v>
      </c>
      <c r="AG1709">
        <f t="shared" ca="1" si="326"/>
        <v>0</v>
      </c>
      <c r="AH1709">
        <f t="shared" ca="1" si="332"/>
        <v>0</v>
      </c>
      <c r="AI1709">
        <f t="shared" ca="1" si="333"/>
        <v>0</v>
      </c>
      <c r="AJ1709">
        <f t="shared" ca="1" si="334"/>
        <v>0</v>
      </c>
      <c r="AK1709">
        <f t="shared" ca="1" si="335"/>
        <v>0</v>
      </c>
      <c r="AL1709">
        <f t="shared" ca="1" si="336"/>
        <v>0</v>
      </c>
    </row>
    <row r="1710" spans="1:38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#N/A, OFFSET(data!$A$1, ROW()-1, AA$1-1))</f>
        <v>0</v>
      </c>
      <c r="AB1710">
        <f t="shared" ca="1" si="327"/>
        <v>0</v>
      </c>
      <c r="AC1710" t="e">
        <f t="shared" ca="1" si="328"/>
        <v>#VALUE!</v>
      </c>
      <c r="AD1710" t="str">
        <f t="shared" ca="1" si="329"/>
        <v>0</v>
      </c>
      <c r="AE1710" t="str">
        <f t="shared" ca="1" si="330"/>
        <v/>
      </c>
      <c r="AF1710" s="6">
        <f t="shared" ca="1" si="331"/>
        <v>0</v>
      </c>
      <c r="AG1710">
        <f t="shared" ca="1" si="326"/>
        <v>0</v>
      </c>
      <c r="AH1710">
        <f t="shared" ca="1" si="332"/>
        <v>0</v>
      </c>
      <c r="AI1710">
        <f t="shared" ca="1" si="333"/>
        <v>0</v>
      </c>
      <c r="AJ1710">
        <f t="shared" ca="1" si="334"/>
        <v>0</v>
      </c>
      <c r="AK1710">
        <f t="shared" ca="1" si="335"/>
        <v>0</v>
      </c>
      <c r="AL1710">
        <f t="shared" ca="1" si="336"/>
        <v>0</v>
      </c>
    </row>
    <row r="1711" spans="1:38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#N/A, OFFSET(data!$A$1, ROW()-1, AA$1-1))</f>
        <v>0</v>
      </c>
      <c r="AB1711">
        <f t="shared" ca="1" si="327"/>
        <v>0</v>
      </c>
      <c r="AC1711" t="e">
        <f t="shared" ca="1" si="328"/>
        <v>#VALUE!</v>
      </c>
      <c r="AD1711" t="str">
        <f t="shared" ca="1" si="329"/>
        <v>0</v>
      </c>
      <c r="AE1711" t="str">
        <f t="shared" ca="1" si="330"/>
        <v/>
      </c>
      <c r="AF1711" s="6">
        <f t="shared" ca="1" si="331"/>
        <v>0</v>
      </c>
      <c r="AG1711">
        <f t="shared" ca="1" si="326"/>
        <v>0</v>
      </c>
      <c r="AH1711">
        <f t="shared" ca="1" si="332"/>
        <v>0</v>
      </c>
      <c r="AI1711">
        <f t="shared" ca="1" si="333"/>
        <v>0</v>
      </c>
      <c r="AJ1711">
        <f t="shared" ca="1" si="334"/>
        <v>0</v>
      </c>
      <c r="AK1711">
        <f t="shared" ca="1" si="335"/>
        <v>0</v>
      </c>
      <c r="AL1711">
        <f t="shared" ca="1" si="336"/>
        <v>0</v>
      </c>
    </row>
    <row r="1712" spans="1:38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#N/A, OFFSET(data!$A$1, ROW()-1, AA$1-1))</f>
        <v>0</v>
      </c>
      <c r="AB1712">
        <f t="shared" ca="1" si="327"/>
        <v>0</v>
      </c>
      <c r="AC1712" t="e">
        <f t="shared" ca="1" si="328"/>
        <v>#VALUE!</v>
      </c>
      <c r="AD1712" t="str">
        <f t="shared" ca="1" si="329"/>
        <v>0</v>
      </c>
      <c r="AE1712" t="str">
        <f t="shared" ca="1" si="330"/>
        <v/>
      </c>
      <c r="AF1712" s="6">
        <f t="shared" ca="1" si="331"/>
        <v>0</v>
      </c>
      <c r="AG1712">
        <f t="shared" ca="1" si="326"/>
        <v>0</v>
      </c>
      <c r="AH1712">
        <f t="shared" ca="1" si="332"/>
        <v>0</v>
      </c>
      <c r="AI1712">
        <f t="shared" ca="1" si="333"/>
        <v>0</v>
      </c>
      <c r="AJ1712">
        <f t="shared" ca="1" si="334"/>
        <v>0</v>
      </c>
      <c r="AK1712">
        <f t="shared" ca="1" si="335"/>
        <v>0</v>
      </c>
      <c r="AL1712">
        <f t="shared" ca="1" si="336"/>
        <v>0</v>
      </c>
    </row>
    <row r="1713" spans="1:38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#N/A, OFFSET(data!$A$1, ROW()-1, AA$1-1))</f>
        <v>0</v>
      </c>
      <c r="AB1713">
        <f t="shared" ca="1" si="327"/>
        <v>0</v>
      </c>
      <c r="AC1713" t="e">
        <f t="shared" ca="1" si="328"/>
        <v>#VALUE!</v>
      </c>
      <c r="AD1713" t="str">
        <f t="shared" ca="1" si="329"/>
        <v>0</v>
      </c>
      <c r="AE1713" t="str">
        <f t="shared" ca="1" si="330"/>
        <v/>
      </c>
      <c r="AF1713" s="6">
        <f t="shared" ca="1" si="331"/>
        <v>0</v>
      </c>
      <c r="AG1713">
        <f t="shared" ca="1" si="326"/>
        <v>0</v>
      </c>
      <c r="AH1713">
        <f t="shared" ca="1" si="332"/>
        <v>0</v>
      </c>
      <c r="AI1713">
        <f t="shared" ca="1" si="333"/>
        <v>0</v>
      </c>
      <c r="AJ1713">
        <f t="shared" ca="1" si="334"/>
        <v>0</v>
      </c>
      <c r="AK1713">
        <f t="shared" ca="1" si="335"/>
        <v>0</v>
      </c>
      <c r="AL1713">
        <f t="shared" ca="1" si="336"/>
        <v>0</v>
      </c>
    </row>
    <row r="1714" spans="1:38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#N/A, OFFSET(data!$A$1, ROW()-1, AA$1-1))</f>
        <v>0</v>
      </c>
      <c r="AB1714">
        <f t="shared" ca="1" si="327"/>
        <v>0</v>
      </c>
      <c r="AC1714" t="e">
        <f t="shared" ca="1" si="328"/>
        <v>#VALUE!</v>
      </c>
      <c r="AD1714" t="str">
        <f t="shared" ca="1" si="329"/>
        <v>0</v>
      </c>
      <c r="AE1714" t="str">
        <f t="shared" ca="1" si="330"/>
        <v/>
      </c>
      <c r="AF1714" s="6">
        <f t="shared" ca="1" si="331"/>
        <v>0</v>
      </c>
      <c r="AG1714">
        <f t="shared" ca="1" si="326"/>
        <v>0</v>
      </c>
      <c r="AH1714">
        <f t="shared" ca="1" si="332"/>
        <v>0</v>
      </c>
      <c r="AI1714">
        <f t="shared" ca="1" si="333"/>
        <v>0</v>
      </c>
      <c r="AJ1714">
        <f t="shared" ca="1" si="334"/>
        <v>0</v>
      </c>
      <c r="AK1714">
        <f t="shared" ca="1" si="335"/>
        <v>0</v>
      </c>
      <c r="AL1714">
        <f t="shared" ca="1" si="336"/>
        <v>0</v>
      </c>
    </row>
    <row r="1715" spans="1:38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#N/A, OFFSET(data!$A$1, ROW()-1, AA$1-1))</f>
        <v>0</v>
      </c>
      <c r="AB1715">
        <f t="shared" ca="1" si="327"/>
        <v>0</v>
      </c>
      <c r="AC1715" t="e">
        <f t="shared" ca="1" si="328"/>
        <v>#VALUE!</v>
      </c>
      <c r="AD1715" t="str">
        <f t="shared" ca="1" si="329"/>
        <v>0</v>
      </c>
      <c r="AE1715" t="str">
        <f t="shared" ca="1" si="330"/>
        <v/>
      </c>
      <c r="AF1715" s="6">
        <f t="shared" ca="1" si="331"/>
        <v>0</v>
      </c>
      <c r="AG1715">
        <f t="shared" ca="1" si="326"/>
        <v>0</v>
      </c>
      <c r="AH1715">
        <f t="shared" ca="1" si="332"/>
        <v>0</v>
      </c>
      <c r="AI1715">
        <f t="shared" ca="1" si="333"/>
        <v>0</v>
      </c>
      <c r="AJ1715">
        <f t="shared" ca="1" si="334"/>
        <v>0</v>
      </c>
      <c r="AK1715">
        <f t="shared" ca="1" si="335"/>
        <v>0</v>
      </c>
      <c r="AL1715">
        <f t="shared" ca="1" si="336"/>
        <v>0</v>
      </c>
    </row>
    <row r="1716" spans="1:38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#N/A, OFFSET(data!$A$1, ROW()-1, AA$1-1))</f>
        <v>0</v>
      </c>
      <c r="AB1716">
        <f t="shared" ca="1" si="327"/>
        <v>0</v>
      </c>
      <c r="AC1716" t="e">
        <f t="shared" ca="1" si="328"/>
        <v>#VALUE!</v>
      </c>
      <c r="AD1716" t="str">
        <f t="shared" ca="1" si="329"/>
        <v>0</v>
      </c>
      <c r="AE1716" t="str">
        <f t="shared" ca="1" si="330"/>
        <v/>
      </c>
      <c r="AF1716" s="6">
        <f t="shared" ca="1" si="331"/>
        <v>0</v>
      </c>
      <c r="AG1716">
        <f t="shared" ref="AG1716:AG1779" ca="1" si="337">T1716+W1716</f>
        <v>0</v>
      </c>
      <c r="AH1716">
        <f t="shared" ca="1" si="332"/>
        <v>0</v>
      </c>
      <c r="AI1716">
        <f t="shared" ca="1" si="333"/>
        <v>0</v>
      </c>
      <c r="AJ1716">
        <f t="shared" ca="1" si="334"/>
        <v>0</v>
      </c>
      <c r="AK1716">
        <f t="shared" ca="1" si="335"/>
        <v>0</v>
      </c>
      <c r="AL1716">
        <f t="shared" ca="1" si="336"/>
        <v>0</v>
      </c>
    </row>
    <row r="1717" spans="1:38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#N/A, OFFSET(data!$A$1, ROW()-1, AA$1-1))</f>
        <v>0</v>
      </c>
      <c r="AB1717">
        <f t="shared" ca="1" si="327"/>
        <v>0</v>
      </c>
      <c r="AC1717" t="e">
        <f t="shared" ca="1" si="328"/>
        <v>#VALUE!</v>
      </c>
      <c r="AD1717" t="str">
        <f t="shared" ca="1" si="329"/>
        <v>0</v>
      </c>
      <c r="AE1717" t="str">
        <f t="shared" ca="1" si="330"/>
        <v/>
      </c>
      <c r="AF1717" s="6">
        <f t="shared" ca="1" si="331"/>
        <v>0</v>
      </c>
      <c r="AG1717">
        <f t="shared" ca="1" si="337"/>
        <v>0</v>
      </c>
      <c r="AH1717">
        <f t="shared" ca="1" si="332"/>
        <v>0</v>
      </c>
      <c r="AI1717">
        <f t="shared" ca="1" si="333"/>
        <v>0</v>
      </c>
      <c r="AJ1717">
        <f t="shared" ca="1" si="334"/>
        <v>0</v>
      </c>
      <c r="AK1717">
        <f t="shared" ca="1" si="335"/>
        <v>0</v>
      </c>
      <c r="AL1717">
        <f t="shared" ca="1" si="336"/>
        <v>0</v>
      </c>
    </row>
    <row r="1718" spans="1:38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#N/A, OFFSET(data!$A$1, ROW()-1, AA$1-1))</f>
        <v>0</v>
      </c>
      <c r="AB1718">
        <f t="shared" ca="1" si="327"/>
        <v>0</v>
      </c>
      <c r="AC1718" t="e">
        <f t="shared" ca="1" si="328"/>
        <v>#VALUE!</v>
      </c>
      <c r="AD1718" t="str">
        <f t="shared" ca="1" si="329"/>
        <v>0</v>
      </c>
      <c r="AE1718" t="str">
        <f t="shared" ca="1" si="330"/>
        <v/>
      </c>
      <c r="AF1718" s="6">
        <f t="shared" ca="1" si="331"/>
        <v>0</v>
      </c>
      <c r="AG1718">
        <f t="shared" ca="1" si="337"/>
        <v>0</v>
      </c>
      <c r="AH1718">
        <f t="shared" ca="1" si="332"/>
        <v>0</v>
      </c>
      <c r="AI1718">
        <f t="shared" ca="1" si="333"/>
        <v>0</v>
      </c>
      <c r="AJ1718">
        <f t="shared" ca="1" si="334"/>
        <v>0</v>
      </c>
      <c r="AK1718">
        <f t="shared" ca="1" si="335"/>
        <v>0</v>
      </c>
      <c r="AL1718">
        <f t="shared" ca="1" si="336"/>
        <v>0</v>
      </c>
    </row>
    <row r="1719" spans="1:38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#N/A, OFFSET(data!$A$1, ROW()-1, AA$1-1))</f>
        <v>0</v>
      </c>
      <c r="AB1719">
        <f t="shared" ca="1" si="327"/>
        <v>0</v>
      </c>
      <c r="AC1719" t="e">
        <f t="shared" ca="1" si="328"/>
        <v>#VALUE!</v>
      </c>
      <c r="AD1719" t="str">
        <f t="shared" ca="1" si="329"/>
        <v>0</v>
      </c>
      <c r="AE1719" t="str">
        <f t="shared" ca="1" si="330"/>
        <v/>
      </c>
      <c r="AF1719" s="6">
        <f t="shared" ca="1" si="331"/>
        <v>0</v>
      </c>
      <c r="AG1719">
        <f t="shared" ca="1" si="337"/>
        <v>0</v>
      </c>
      <c r="AH1719">
        <f t="shared" ca="1" si="332"/>
        <v>0</v>
      </c>
      <c r="AI1719">
        <f t="shared" ca="1" si="333"/>
        <v>0</v>
      </c>
      <c r="AJ1719">
        <f t="shared" ca="1" si="334"/>
        <v>0</v>
      </c>
      <c r="AK1719">
        <f t="shared" ca="1" si="335"/>
        <v>0</v>
      </c>
      <c r="AL1719">
        <f t="shared" ca="1" si="336"/>
        <v>0</v>
      </c>
    </row>
    <row r="1720" spans="1:38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#N/A, OFFSET(data!$A$1, ROW()-1, AA$1-1))</f>
        <v>0</v>
      </c>
      <c r="AB1720">
        <f t="shared" ca="1" si="327"/>
        <v>0</v>
      </c>
      <c r="AC1720" t="e">
        <f t="shared" ca="1" si="328"/>
        <v>#VALUE!</v>
      </c>
      <c r="AD1720" t="str">
        <f t="shared" ca="1" si="329"/>
        <v>0</v>
      </c>
      <c r="AE1720" t="str">
        <f t="shared" ca="1" si="330"/>
        <v/>
      </c>
      <c r="AF1720" s="6">
        <f t="shared" ca="1" si="331"/>
        <v>0</v>
      </c>
      <c r="AG1720">
        <f t="shared" ca="1" si="337"/>
        <v>0</v>
      </c>
      <c r="AH1720">
        <f t="shared" ca="1" si="332"/>
        <v>0</v>
      </c>
      <c r="AI1720">
        <f t="shared" ca="1" si="333"/>
        <v>0</v>
      </c>
      <c r="AJ1720">
        <f t="shared" ca="1" si="334"/>
        <v>0</v>
      </c>
      <c r="AK1720">
        <f t="shared" ca="1" si="335"/>
        <v>0</v>
      </c>
      <c r="AL1720">
        <f t="shared" ca="1" si="336"/>
        <v>0</v>
      </c>
    </row>
    <row r="1721" spans="1:38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#N/A, OFFSET(data!$A$1, ROW()-1, AA$1-1))</f>
        <v>0</v>
      </c>
      <c r="AB1721">
        <f t="shared" ca="1" si="327"/>
        <v>0</v>
      </c>
      <c r="AC1721" t="e">
        <f t="shared" ca="1" si="328"/>
        <v>#VALUE!</v>
      </c>
      <c r="AD1721" t="str">
        <f t="shared" ca="1" si="329"/>
        <v>0</v>
      </c>
      <c r="AE1721" t="str">
        <f t="shared" ca="1" si="330"/>
        <v/>
      </c>
      <c r="AF1721" s="6">
        <f t="shared" ca="1" si="331"/>
        <v>0</v>
      </c>
      <c r="AG1721">
        <f t="shared" ca="1" si="337"/>
        <v>0</v>
      </c>
      <c r="AH1721">
        <f t="shared" ca="1" si="332"/>
        <v>0</v>
      </c>
      <c r="AI1721">
        <f t="shared" ca="1" si="333"/>
        <v>0</v>
      </c>
      <c r="AJ1721">
        <f t="shared" ca="1" si="334"/>
        <v>0</v>
      </c>
      <c r="AK1721">
        <f t="shared" ca="1" si="335"/>
        <v>0</v>
      </c>
      <c r="AL1721">
        <f t="shared" ca="1" si="336"/>
        <v>0</v>
      </c>
    </row>
    <row r="1722" spans="1:38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#N/A, OFFSET(data!$A$1, ROW()-1, AA$1-1))</f>
        <v>0</v>
      </c>
      <c r="AB1722">
        <f t="shared" ca="1" si="327"/>
        <v>0</v>
      </c>
      <c r="AC1722" t="e">
        <f t="shared" ca="1" si="328"/>
        <v>#VALUE!</v>
      </c>
      <c r="AD1722" t="str">
        <f t="shared" ca="1" si="329"/>
        <v>0</v>
      </c>
      <c r="AE1722" t="str">
        <f t="shared" ca="1" si="330"/>
        <v/>
      </c>
      <c r="AF1722" s="6">
        <f t="shared" ca="1" si="331"/>
        <v>0</v>
      </c>
      <c r="AG1722">
        <f t="shared" ca="1" si="337"/>
        <v>0</v>
      </c>
      <c r="AH1722">
        <f t="shared" ca="1" si="332"/>
        <v>0</v>
      </c>
      <c r="AI1722">
        <f t="shared" ca="1" si="333"/>
        <v>0</v>
      </c>
      <c r="AJ1722">
        <f t="shared" ca="1" si="334"/>
        <v>0</v>
      </c>
      <c r="AK1722">
        <f t="shared" ca="1" si="335"/>
        <v>0</v>
      </c>
      <c r="AL1722">
        <f t="shared" ca="1" si="336"/>
        <v>0</v>
      </c>
    </row>
    <row r="1723" spans="1:38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#N/A, OFFSET(data!$A$1, ROW()-1, AA$1-1))</f>
        <v>0</v>
      </c>
      <c r="AB1723">
        <f t="shared" ca="1" si="327"/>
        <v>0</v>
      </c>
      <c r="AC1723" t="e">
        <f t="shared" ca="1" si="328"/>
        <v>#VALUE!</v>
      </c>
      <c r="AD1723" t="str">
        <f t="shared" ca="1" si="329"/>
        <v>0</v>
      </c>
      <c r="AE1723" t="str">
        <f t="shared" ca="1" si="330"/>
        <v/>
      </c>
      <c r="AF1723" s="6">
        <f t="shared" ca="1" si="331"/>
        <v>0</v>
      </c>
      <c r="AG1723">
        <f t="shared" ca="1" si="337"/>
        <v>0</v>
      </c>
      <c r="AH1723">
        <f t="shared" ca="1" si="332"/>
        <v>0</v>
      </c>
      <c r="AI1723">
        <f t="shared" ca="1" si="333"/>
        <v>0</v>
      </c>
      <c r="AJ1723">
        <f t="shared" ca="1" si="334"/>
        <v>0</v>
      </c>
      <c r="AK1723">
        <f t="shared" ca="1" si="335"/>
        <v>0</v>
      </c>
      <c r="AL1723">
        <f t="shared" ca="1" si="336"/>
        <v>0</v>
      </c>
    </row>
    <row r="1724" spans="1:38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#N/A, OFFSET(data!$A$1, ROW()-1, AA$1-1))</f>
        <v>0</v>
      </c>
      <c r="AB1724">
        <f t="shared" ca="1" si="327"/>
        <v>0</v>
      </c>
      <c r="AC1724" t="e">
        <f t="shared" ca="1" si="328"/>
        <v>#VALUE!</v>
      </c>
      <c r="AD1724" t="str">
        <f t="shared" ca="1" si="329"/>
        <v>0</v>
      </c>
      <c r="AE1724" t="str">
        <f t="shared" ca="1" si="330"/>
        <v/>
      </c>
      <c r="AF1724" s="6">
        <f t="shared" ca="1" si="331"/>
        <v>0</v>
      </c>
      <c r="AG1724">
        <f t="shared" ca="1" si="337"/>
        <v>0</v>
      </c>
      <c r="AH1724">
        <f t="shared" ca="1" si="332"/>
        <v>0</v>
      </c>
      <c r="AI1724">
        <f t="shared" ca="1" si="333"/>
        <v>0</v>
      </c>
      <c r="AJ1724">
        <f t="shared" ca="1" si="334"/>
        <v>0</v>
      </c>
      <c r="AK1724">
        <f t="shared" ca="1" si="335"/>
        <v>0</v>
      </c>
      <c r="AL1724">
        <f t="shared" ca="1" si="336"/>
        <v>0</v>
      </c>
    </row>
    <row r="1725" spans="1:38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#N/A, OFFSET(data!$A$1, ROW()-1, AA$1-1))</f>
        <v>0</v>
      </c>
      <c r="AB1725">
        <f t="shared" ca="1" si="327"/>
        <v>0</v>
      </c>
      <c r="AC1725" t="e">
        <f t="shared" ca="1" si="328"/>
        <v>#VALUE!</v>
      </c>
      <c r="AD1725" t="str">
        <f t="shared" ca="1" si="329"/>
        <v>0</v>
      </c>
      <c r="AE1725" t="str">
        <f t="shared" ca="1" si="330"/>
        <v/>
      </c>
      <c r="AF1725" s="6">
        <f t="shared" ca="1" si="331"/>
        <v>0</v>
      </c>
      <c r="AG1725">
        <f t="shared" ca="1" si="337"/>
        <v>0</v>
      </c>
      <c r="AH1725">
        <f t="shared" ca="1" si="332"/>
        <v>0</v>
      </c>
      <c r="AI1725">
        <f t="shared" ca="1" si="333"/>
        <v>0</v>
      </c>
      <c r="AJ1725">
        <f t="shared" ca="1" si="334"/>
        <v>0</v>
      </c>
      <c r="AK1725">
        <f t="shared" ca="1" si="335"/>
        <v>0</v>
      </c>
      <c r="AL1725">
        <f t="shared" ca="1" si="336"/>
        <v>0</v>
      </c>
    </row>
    <row r="1726" spans="1:38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#N/A, OFFSET(data!$A$1, ROW()-1, AA$1-1))</f>
        <v>0</v>
      </c>
      <c r="AB1726">
        <f t="shared" ca="1" si="327"/>
        <v>0</v>
      </c>
      <c r="AC1726" t="e">
        <f t="shared" ca="1" si="328"/>
        <v>#VALUE!</v>
      </c>
      <c r="AD1726" t="str">
        <f t="shared" ca="1" si="329"/>
        <v>0</v>
      </c>
      <c r="AE1726" t="str">
        <f t="shared" ca="1" si="330"/>
        <v/>
      </c>
      <c r="AF1726" s="6">
        <f t="shared" ca="1" si="331"/>
        <v>0</v>
      </c>
      <c r="AG1726">
        <f t="shared" ca="1" si="337"/>
        <v>0</v>
      </c>
      <c r="AH1726">
        <f t="shared" ca="1" si="332"/>
        <v>0</v>
      </c>
      <c r="AI1726">
        <f t="shared" ca="1" si="333"/>
        <v>0</v>
      </c>
      <c r="AJ1726">
        <f t="shared" ca="1" si="334"/>
        <v>0</v>
      </c>
      <c r="AK1726">
        <f t="shared" ca="1" si="335"/>
        <v>0</v>
      </c>
      <c r="AL1726">
        <f t="shared" ca="1" si="336"/>
        <v>0</v>
      </c>
    </row>
    <row r="1727" spans="1:38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#N/A, OFFSET(data!$A$1, ROW()-1, AA$1-1))</f>
        <v>0</v>
      </c>
      <c r="AB1727">
        <f t="shared" ca="1" si="327"/>
        <v>0</v>
      </c>
      <c r="AC1727" t="e">
        <f t="shared" ca="1" si="328"/>
        <v>#VALUE!</v>
      </c>
      <c r="AD1727" t="str">
        <f t="shared" ca="1" si="329"/>
        <v>0</v>
      </c>
      <c r="AE1727" t="str">
        <f t="shared" ca="1" si="330"/>
        <v/>
      </c>
      <c r="AF1727" s="6">
        <f t="shared" ca="1" si="331"/>
        <v>0</v>
      </c>
      <c r="AG1727">
        <f t="shared" ca="1" si="337"/>
        <v>0</v>
      </c>
      <c r="AH1727">
        <f t="shared" ca="1" si="332"/>
        <v>0</v>
      </c>
      <c r="AI1727">
        <f t="shared" ca="1" si="333"/>
        <v>0</v>
      </c>
      <c r="AJ1727">
        <f t="shared" ca="1" si="334"/>
        <v>0</v>
      </c>
      <c r="AK1727">
        <f t="shared" ca="1" si="335"/>
        <v>0</v>
      </c>
      <c r="AL1727">
        <f t="shared" ca="1" si="336"/>
        <v>0</v>
      </c>
    </row>
    <row r="1728" spans="1:38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#N/A, OFFSET(data!$A$1, ROW()-1, AA$1-1))</f>
        <v>0</v>
      </c>
      <c r="AB1728">
        <f t="shared" ca="1" si="327"/>
        <v>0</v>
      </c>
      <c r="AC1728" t="e">
        <f t="shared" ca="1" si="328"/>
        <v>#VALUE!</v>
      </c>
      <c r="AD1728" t="str">
        <f t="shared" ca="1" si="329"/>
        <v>0</v>
      </c>
      <c r="AE1728" t="str">
        <f t="shared" ca="1" si="330"/>
        <v/>
      </c>
      <c r="AF1728" s="6">
        <f t="shared" ca="1" si="331"/>
        <v>0</v>
      </c>
      <c r="AG1728">
        <f t="shared" ca="1" si="337"/>
        <v>0</v>
      </c>
      <c r="AH1728">
        <f t="shared" ca="1" si="332"/>
        <v>0</v>
      </c>
      <c r="AI1728">
        <f t="shared" ca="1" si="333"/>
        <v>0</v>
      </c>
      <c r="AJ1728">
        <f t="shared" ca="1" si="334"/>
        <v>0</v>
      </c>
      <c r="AK1728">
        <f t="shared" ca="1" si="335"/>
        <v>0</v>
      </c>
      <c r="AL1728">
        <f t="shared" ca="1" si="336"/>
        <v>0</v>
      </c>
    </row>
    <row r="1729" spans="1:38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#N/A, OFFSET(data!$A$1, ROW()-1, AA$1-1))</f>
        <v>0</v>
      </c>
      <c r="AB1729">
        <f t="shared" ca="1" si="327"/>
        <v>0</v>
      </c>
      <c r="AC1729" t="e">
        <f t="shared" ca="1" si="328"/>
        <v>#VALUE!</v>
      </c>
      <c r="AD1729" t="str">
        <f t="shared" ca="1" si="329"/>
        <v>0</v>
      </c>
      <c r="AE1729" t="str">
        <f t="shared" ca="1" si="330"/>
        <v/>
      </c>
      <c r="AF1729" s="6">
        <f t="shared" ca="1" si="331"/>
        <v>0</v>
      </c>
      <c r="AG1729">
        <f t="shared" ca="1" si="337"/>
        <v>0</v>
      </c>
      <c r="AH1729">
        <f t="shared" ca="1" si="332"/>
        <v>0</v>
      </c>
      <c r="AI1729">
        <f t="shared" ca="1" si="333"/>
        <v>0</v>
      </c>
      <c r="AJ1729">
        <f t="shared" ca="1" si="334"/>
        <v>0</v>
      </c>
      <c r="AK1729">
        <f t="shared" ca="1" si="335"/>
        <v>0</v>
      </c>
      <c r="AL1729">
        <f t="shared" ca="1" si="336"/>
        <v>0</v>
      </c>
    </row>
    <row r="1730" spans="1:38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#N/A, OFFSET(data!$A$1, ROW()-1, AA$1-1))</f>
        <v>0</v>
      </c>
      <c r="AB1730">
        <f t="shared" ca="1" si="327"/>
        <v>0</v>
      </c>
      <c r="AC1730" t="e">
        <f t="shared" ca="1" si="328"/>
        <v>#VALUE!</v>
      </c>
      <c r="AD1730" t="str">
        <f t="shared" ca="1" si="329"/>
        <v>0</v>
      </c>
      <c r="AE1730" t="str">
        <f t="shared" ca="1" si="330"/>
        <v/>
      </c>
      <c r="AF1730" s="6">
        <f t="shared" ca="1" si="331"/>
        <v>0</v>
      </c>
      <c r="AG1730">
        <f t="shared" ca="1" si="337"/>
        <v>0</v>
      </c>
      <c r="AH1730">
        <f t="shared" ca="1" si="332"/>
        <v>0</v>
      </c>
      <c r="AI1730">
        <f t="shared" ca="1" si="333"/>
        <v>0</v>
      </c>
      <c r="AJ1730">
        <f t="shared" ca="1" si="334"/>
        <v>0</v>
      </c>
      <c r="AK1730">
        <f t="shared" ca="1" si="335"/>
        <v>0</v>
      </c>
      <c r="AL1730">
        <f t="shared" ca="1" si="336"/>
        <v>0</v>
      </c>
    </row>
    <row r="1731" spans="1:38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#N/A, OFFSET(data!$A$1, ROW()-1, AA$1-1))</f>
        <v>0</v>
      </c>
      <c r="AB1731">
        <f t="shared" ref="AB1731:AB1794" ca="1" si="338">VALUE(LEFT(C1731, 4))</f>
        <v>0</v>
      </c>
      <c r="AC1731" t="e">
        <f t="shared" ref="AC1731:AC1794" ca="1" si="339">VALUE(MID(C1731, 6, 2))</f>
        <v>#VALUE!</v>
      </c>
      <c r="AD1731" t="str">
        <f t="shared" ref="AD1731:AD1794" ca="1" si="340">SUBSTITUTE(MID(C1731,6,6)&amp;LEFT(C1731,4), "-", "/")</f>
        <v>0</v>
      </c>
      <c r="AE1731" t="str">
        <f t="shared" ref="AE1731:AE1794" ca="1" si="341">IF(RIGHT(C1731, 5)="12:00", AD1731, "")</f>
        <v/>
      </c>
      <c r="AF1731" s="6">
        <f t="shared" ref="AF1731:AF1794" ca="1" si="342">Z1731/1000</f>
        <v>0</v>
      </c>
      <c r="AG1731">
        <f t="shared" ca="1" si="337"/>
        <v>0</v>
      </c>
      <c r="AH1731">
        <f t="shared" ca="1" si="332"/>
        <v>0</v>
      </c>
      <c r="AI1731">
        <f t="shared" ca="1" si="333"/>
        <v>0</v>
      </c>
      <c r="AJ1731">
        <f t="shared" ca="1" si="334"/>
        <v>0</v>
      </c>
      <c r="AK1731">
        <f t="shared" ca="1" si="335"/>
        <v>0</v>
      </c>
      <c r="AL1731">
        <f t="shared" ca="1" si="336"/>
        <v>0</v>
      </c>
    </row>
    <row r="1732" spans="1:38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#N/A, OFFSET(data!$A$1, ROW()-1, AA$1-1))</f>
        <v>0</v>
      </c>
      <c r="AB1732">
        <f t="shared" ca="1" si="338"/>
        <v>0</v>
      </c>
      <c r="AC1732" t="e">
        <f t="shared" ca="1" si="339"/>
        <v>#VALUE!</v>
      </c>
      <c r="AD1732" t="str">
        <f t="shared" ca="1" si="340"/>
        <v>0</v>
      </c>
      <c r="AE1732" t="str">
        <f t="shared" ca="1" si="341"/>
        <v/>
      </c>
      <c r="AF1732" s="6">
        <f t="shared" ca="1" si="342"/>
        <v>0</v>
      </c>
      <c r="AG1732">
        <f t="shared" ca="1" si="337"/>
        <v>0</v>
      </c>
      <c r="AH1732">
        <f t="shared" ref="AH1732:AH1795" ca="1" si="343">MAX(S1732,Y1732)</f>
        <v>0</v>
      </c>
      <c r="AI1732">
        <f t="shared" ref="AI1732:AI1795" ca="1" si="344">MAX(R1732,V1732)</f>
        <v>0</v>
      </c>
      <c r="AJ1732">
        <f t="shared" ref="AJ1732:AJ1795" ca="1" si="345">K1732+N1732</f>
        <v>0</v>
      </c>
      <c r="AK1732">
        <f t="shared" ref="AK1732:AK1795" ca="1" si="346">L1732+O1732</f>
        <v>0</v>
      </c>
      <c r="AL1732">
        <f t="shared" ref="AL1732:AL1795" ca="1" si="347">M1732+P1732</f>
        <v>0</v>
      </c>
    </row>
    <row r="1733" spans="1:38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#N/A, OFFSET(data!$A$1, ROW()-1, AA$1-1))</f>
        <v>0</v>
      </c>
      <c r="AB1733">
        <f t="shared" ca="1" si="338"/>
        <v>0</v>
      </c>
      <c r="AC1733" t="e">
        <f t="shared" ca="1" si="339"/>
        <v>#VALUE!</v>
      </c>
      <c r="AD1733" t="str">
        <f t="shared" ca="1" si="340"/>
        <v>0</v>
      </c>
      <c r="AE1733" t="str">
        <f t="shared" ca="1" si="341"/>
        <v/>
      </c>
      <c r="AF1733" s="6">
        <f t="shared" ca="1" si="342"/>
        <v>0</v>
      </c>
      <c r="AG1733">
        <f t="shared" ca="1" si="337"/>
        <v>0</v>
      </c>
      <c r="AH1733">
        <f t="shared" ca="1" si="343"/>
        <v>0</v>
      </c>
      <c r="AI1733">
        <f t="shared" ca="1" si="344"/>
        <v>0</v>
      </c>
      <c r="AJ1733">
        <f t="shared" ca="1" si="345"/>
        <v>0</v>
      </c>
      <c r="AK1733">
        <f t="shared" ca="1" si="346"/>
        <v>0</v>
      </c>
      <c r="AL1733">
        <f t="shared" ca="1" si="347"/>
        <v>0</v>
      </c>
    </row>
    <row r="1734" spans="1:38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#N/A, OFFSET(data!$A$1, ROW()-1, AA$1-1))</f>
        <v>0</v>
      </c>
      <c r="AB1734">
        <f t="shared" ca="1" si="338"/>
        <v>0</v>
      </c>
      <c r="AC1734" t="e">
        <f t="shared" ca="1" si="339"/>
        <v>#VALUE!</v>
      </c>
      <c r="AD1734" t="str">
        <f t="shared" ca="1" si="340"/>
        <v>0</v>
      </c>
      <c r="AE1734" t="str">
        <f t="shared" ca="1" si="341"/>
        <v/>
      </c>
      <c r="AF1734" s="6">
        <f t="shared" ca="1" si="342"/>
        <v>0</v>
      </c>
      <c r="AG1734">
        <f t="shared" ca="1" si="337"/>
        <v>0</v>
      </c>
      <c r="AH1734">
        <f t="shared" ca="1" si="343"/>
        <v>0</v>
      </c>
      <c r="AI1734">
        <f t="shared" ca="1" si="344"/>
        <v>0</v>
      </c>
      <c r="AJ1734">
        <f t="shared" ca="1" si="345"/>
        <v>0</v>
      </c>
      <c r="AK1734">
        <f t="shared" ca="1" si="346"/>
        <v>0</v>
      </c>
      <c r="AL1734">
        <f t="shared" ca="1" si="347"/>
        <v>0</v>
      </c>
    </row>
    <row r="1735" spans="1:38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#N/A, OFFSET(data!$A$1, ROW()-1, AA$1-1))</f>
        <v>0</v>
      </c>
      <c r="AB1735">
        <f t="shared" ca="1" si="338"/>
        <v>0</v>
      </c>
      <c r="AC1735" t="e">
        <f t="shared" ca="1" si="339"/>
        <v>#VALUE!</v>
      </c>
      <c r="AD1735" t="str">
        <f t="shared" ca="1" si="340"/>
        <v>0</v>
      </c>
      <c r="AE1735" t="str">
        <f t="shared" ca="1" si="341"/>
        <v/>
      </c>
      <c r="AF1735" s="6">
        <f t="shared" ca="1" si="342"/>
        <v>0</v>
      </c>
      <c r="AG1735">
        <f t="shared" ca="1" si="337"/>
        <v>0</v>
      </c>
      <c r="AH1735">
        <f t="shared" ca="1" si="343"/>
        <v>0</v>
      </c>
      <c r="AI1735">
        <f t="shared" ca="1" si="344"/>
        <v>0</v>
      </c>
      <c r="AJ1735">
        <f t="shared" ca="1" si="345"/>
        <v>0</v>
      </c>
      <c r="AK1735">
        <f t="shared" ca="1" si="346"/>
        <v>0</v>
      </c>
      <c r="AL1735">
        <f t="shared" ca="1" si="347"/>
        <v>0</v>
      </c>
    </row>
    <row r="1736" spans="1:38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#N/A, OFFSET(data!$A$1, ROW()-1, AA$1-1))</f>
        <v>0</v>
      </c>
      <c r="AB1736">
        <f t="shared" ca="1" si="338"/>
        <v>0</v>
      </c>
      <c r="AC1736" t="e">
        <f t="shared" ca="1" si="339"/>
        <v>#VALUE!</v>
      </c>
      <c r="AD1736" t="str">
        <f t="shared" ca="1" si="340"/>
        <v>0</v>
      </c>
      <c r="AE1736" t="str">
        <f t="shared" ca="1" si="341"/>
        <v/>
      </c>
      <c r="AF1736" s="6">
        <f t="shared" ca="1" si="342"/>
        <v>0</v>
      </c>
      <c r="AG1736">
        <f t="shared" ca="1" si="337"/>
        <v>0</v>
      </c>
      <c r="AH1736">
        <f t="shared" ca="1" si="343"/>
        <v>0</v>
      </c>
      <c r="AI1736">
        <f t="shared" ca="1" si="344"/>
        <v>0</v>
      </c>
      <c r="AJ1736">
        <f t="shared" ca="1" si="345"/>
        <v>0</v>
      </c>
      <c r="AK1736">
        <f t="shared" ca="1" si="346"/>
        <v>0</v>
      </c>
      <c r="AL1736">
        <f t="shared" ca="1" si="347"/>
        <v>0</v>
      </c>
    </row>
    <row r="1737" spans="1:38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#N/A, OFFSET(data!$A$1, ROW()-1, AA$1-1))</f>
        <v>0</v>
      </c>
      <c r="AB1737">
        <f t="shared" ca="1" si="338"/>
        <v>0</v>
      </c>
      <c r="AC1737" t="e">
        <f t="shared" ca="1" si="339"/>
        <v>#VALUE!</v>
      </c>
      <c r="AD1737" t="str">
        <f t="shared" ca="1" si="340"/>
        <v>0</v>
      </c>
      <c r="AE1737" t="str">
        <f t="shared" ca="1" si="341"/>
        <v/>
      </c>
      <c r="AF1737" s="6">
        <f t="shared" ca="1" si="342"/>
        <v>0</v>
      </c>
      <c r="AG1737">
        <f t="shared" ca="1" si="337"/>
        <v>0</v>
      </c>
      <c r="AH1737">
        <f t="shared" ca="1" si="343"/>
        <v>0</v>
      </c>
      <c r="AI1737">
        <f t="shared" ca="1" si="344"/>
        <v>0</v>
      </c>
      <c r="AJ1737">
        <f t="shared" ca="1" si="345"/>
        <v>0</v>
      </c>
      <c r="AK1737">
        <f t="shared" ca="1" si="346"/>
        <v>0</v>
      </c>
      <c r="AL1737">
        <f t="shared" ca="1" si="347"/>
        <v>0</v>
      </c>
    </row>
    <row r="1738" spans="1:38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#N/A, OFFSET(data!$A$1, ROW()-1, AA$1-1))</f>
        <v>0</v>
      </c>
      <c r="AB1738">
        <f t="shared" ca="1" si="338"/>
        <v>0</v>
      </c>
      <c r="AC1738" t="e">
        <f t="shared" ca="1" si="339"/>
        <v>#VALUE!</v>
      </c>
      <c r="AD1738" t="str">
        <f t="shared" ca="1" si="340"/>
        <v>0</v>
      </c>
      <c r="AE1738" t="str">
        <f t="shared" ca="1" si="341"/>
        <v/>
      </c>
      <c r="AF1738" s="6">
        <f t="shared" ca="1" si="342"/>
        <v>0</v>
      </c>
      <c r="AG1738">
        <f t="shared" ca="1" si="337"/>
        <v>0</v>
      </c>
      <c r="AH1738">
        <f t="shared" ca="1" si="343"/>
        <v>0</v>
      </c>
      <c r="AI1738">
        <f t="shared" ca="1" si="344"/>
        <v>0</v>
      </c>
      <c r="AJ1738">
        <f t="shared" ca="1" si="345"/>
        <v>0</v>
      </c>
      <c r="AK1738">
        <f t="shared" ca="1" si="346"/>
        <v>0</v>
      </c>
      <c r="AL1738">
        <f t="shared" ca="1" si="347"/>
        <v>0</v>
      </c>
    </row>
    <row r="1739" spans="1:38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#N/A, OFFSET(data!$A$1, ROW()-1, AA$1-1))</f>
        <v>0</v>
      </c>
      <c r="AB1739">
        <f t="shared" ca="1" si="338"/>
        <v>0</v>
      </c>
      <c r="AC1739" t="e">
        <f t="shared" ca="1" si="339"/>
        <v>#VALUE!</v>
      </c>
      <c r="AD1739" t="str">
        <f t="shared" ca="1" si="340"/>
        <v>0</v>
      </c>
      <c r="AE1739" t="str">
        <f t="shared" ca="1" si="341"/>
        <v/>
      </c>
      <c r="AF1739" s="6">
        <f t="shared" ca="1" si="342"/>
        <v>0</v>
      </c>
      <c r="AG1739">
        <f t="shared" ca="1" si="337"/>
        <v>0</v>
      </c>
      <c r="AH1739">
        <f t="shared" ca="1" si="343"/>
        <v>0</v>
      </c>
      <c r="AI1739">
        <f t="shared" ca="1" si="344"/>
        <v>0</v>
      </c>
      <c r="AJ1739">
        <f t="shared" ca="1" si="345"/>
        <v>0</v>
      </c>
      <c r="AK1739">
        <f t="shared" ca="1" si="346"/>
        <v>0</v>
      </c>
      <c r="AL1739">
        <f t="shared" ca="1" si="347"/>
        <v>0</v>
      </c>
    </row>
    <row r="1740" spans="1:38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#N/A, OFFSET(data!$A$1, ROW()-1, AA$1-1))</f>
        <v>0</v>
      </c>
      <c r="AB1740">
        <f t="shared" ca="1" si="338"/>
        <v>0</v>
      </c>
      <c r="AC1740" t="e">
        <f t="shared" ca="1" si="339"/>
        <v>#VALUE!</v>
      </c>
      <c r="AD1740" t="str">
        <f t="shared" ca="1" si="340"/>
        <v>0</v>
      </c>
      <c r="AE1740" t="str">
        <f t="shared" ca="1" si="341"/>
        <v/>
      </c>
      <c r="AF1740" s="6">
        <f t="shared" ca="1" si="342"/>
        <v>0</v>
      </c>
      <c r="AG1740">
        <f t="shared" ca="1" si="337"/>
        <v>0</v>
      </c>
      <c r="AH1740">
        <f t="shared" ca="1" si="343"/>
        <v>0</v>
      </c>
      <c r="AI1740">
        <f t="shared" ca="1" si="344"/>
        <v>0</v>
      </c>
      <c r="AJ1740">
        <f t="shared" ca="1" si="345"/>
        <v>0</v>
      </c>
      <c r="AK1740">
        <f t="shared" ca="1" si="346"/>
        <v>0</v>
      </c>
      <c r="AL1740">
        <f t="shared" ca="1" si="347"/>
        <v>0</v>
      </c>
    </row>
    <row r="1741" spans="1:38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#N/A, OFFSET(data!$A$1, ROW()-1, AA$1-1))</f>
        <v>0</v>
      </c>
      <c r="AB1741">
        <f t="shared" ca="1" si="338"/>
        <v>0</v>
      </c>
      <c r="AC1741" t="e">
        <f t="shared" ca="1" si="339"/>
        <v>#VALUE!</v>
      </c>
      <c r="AD1741" t="str">
        <f t="shared" ca="1" si="340"/>
        <v>0</v>
      </c>
      <c r="AE1741" t="str">
        <f t="shared" ca="1" si="341"/>
        <v/>
      </c>
      <c r="AF1741" s="6">
        <f t="shared" ca="1" si="342"/>
        <v>0</v>
      </c>
      <c r="AG1741">
        <f t="shared" ca="1" si="337"/>
        <v>0</v>
      </c>
      <c r="AH1741">
        <f t="shared" ca="1" si="343"/>
        <v>0</v>
      </c>
      <c r="AI1741">
        <f t="shared" ca="1" si="344"/>
        <v>0</v>
      </c>
      <c r="AJ1741">
        <f t="shared" ca="1" si="345"/>
        <v>0</v>
      </c>
      <c r="AK1741">
        <f t="shared" ca="1" si="346"/>
        <v>0</v>
      </c>
      <c r="AL1741">
        <f t="shared" ca="1" si="347"/>
        <v>0</v>
      </c>
    </row>
    <row r="1742" spans="1:38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#N/A, OFFSET(data!$A$1, ROW()-1, AA$1-1))</f>
        <v>0</v>
      </c>
      <c r="AB1742">
        <f t="shared" ca="1" si="338"/>
        <v>0</v>
      </c>
      <c r="AC1742" t="e">
        <f t="shared" ca="1" si="339"/>
        <v>#VALUE!</v>
      </c>
      <c r="AD1742" t="str">
        <f t="shared" ca="1" si="340"/>
        <v>0</v>
      </c>
      <c r="AE1742" t="str">
        <f t="shared" ca="1" si="341"/>
        <v/>
      </c>
      <c r="AF1742" s="6">
        <f t="shared" ca="1" si="342"/>
        <v>0</v>
      </c>
      <c r="AG1742">
        <f t="shared" ca="1" si="337"/>
        <v>0</v>
      </c>
      <c r="AH1742">
        <f t="shared" ca="1" si="343"/>
        <v>0</v>
      </c>
      <c r="AI1742">
        <f t="shared" ca="1" si="344"/>
        <v>0</v>
      </c>
      <c r="AJ1742">
        <f t="shared" ca="1" si="345"/>
        <v>0</v>
      </c>
      <c r="AK1742">
        <f t="shared" ca="1" si="346"/>
        <v>0</v>
      </c>
      <c r="AL1742">
        <f t="shared" ca="1" si="347"/>
        <v>0</v>
      </c>
    </row>
    <row r="1743" spans="1:38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#N/A, OFFSET(data!$A$1, ROW()-1, AA$1-1))</f>
        <v>0</v>
      </c>
      <c r="AB1743">
        <f t="shared" ca="1" si="338"/>
        <v>0</v>
      </c>
      <c r="AC1743" t="e">
        <f t="shared" ca="1" si="339"/>
        <v>#VALUE!</v>
      </c>
      <c r="AD1743" t="str">
        <f t="shared" ca="1" si="340"/>
        <v>0</v>
      </c>
      <c r="AE1743" t="str">
        <f t="shared" ca="1" si="341"/>
        <v/>
      </c>
      <c r="AF1743" s="6">
        <f t="shared" ca="1" si="342"/>
        <v>0</v>
      </c>
      <c r="AG1743">
        <f t="shared" ca="1" si="337"/>
        <v>0</v>
      </c>
      <c r="AH1743">
        <f t="shared" ca="1" si="343"/>
        <v>0</v>
      </c>
      <c r="AI1743">
        <f t="shared" ca="1" si="344"/>
        <v>0</v>
      </c>
      <c r="AJ1743">
        <f t="shared" ca="1" si="345"/>
        <v>0</v>
      </c>
      <c r="AK1743">
        <f t="shared" ca="1" si="346"/>
        <v>0</v>
      </c>
      <c r="AL1743">
        <f t="shared" ca="1" si="347"/>
        <v>0</v>
      </c>
    </row>
    <row r="1744" spans="1:38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#N/A, OFFSET(data!$A$1, ROW()-1, AA$1-1))</f>
        <v>0</v>
      </c>
      <c r="AB1744">
        <f t="shared" ca="1" si="338"/>
        <v>0</v>
      </c>
      <c r="AC1744" t="e">
        <f t="shared" ca="1" si="339"/>
        <v>#VALUE!</v>
      </c>
      <c r="AD1744" t="str">
        <f t="shared" ca="1" si="340"/>
        <v>0</v>
      </c>
      <c r="AE1744" t="str">
        <f t="shared" ca="1" si="341"/>
        <v/>
      </c>
      <c r="AF1744" s="6">
        <f t="shared" ca="1" si="342"/>
        <v>0</v>
      </c>
      <c r="AG1744">
        <f t="shared" ca="1" si="337"/>
        <v>0</v>
      </c>
      <c r="AH1744">
        <f t="shared" ca="1" si="343"/>
        <v>0</v>
      </c>
      <c r="AI1744">
        <f t="shared" ca="1" si="344"/>
        <v>0</v>
      </c>
      <c r="AJ1744">
        <f t="shared" ca="1" si="345"/>
        <v>0</v>
      </c>
      <c r="AK1744">
        <f t="shared" ca="1" si="346"/>
        <v>0</v>
      </c>
      <c r="AL1744">
        <f t="shared" ca="1" si="347"/>
        <v>0</v>
      </c>
    </row>
    <row r="1745" spans="1:38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#N/A, OFFSET(data!$A$1, ROW()-1, AA$1-1))</f>
        <v>0</v>
      </c>
      <c r="AB1745">
        <f t="shared" ca="1" si="338"/>
        <v>0</v>
      </c>
      <c r="AC1745" t="e">
        <f t="shared" ca="1" si="339"/>
        <v>#VALUE!</v>
      </c>
      <c r="AD1745" t="str">
        <f t="shared" ca="1" si="340"/>
        <v>0</v>
      </c>
      <c r="AE1745" t="str">
        <f t="shared" ca="1" si="341"/>
        <v/>
      </c>
      <c r="AF1745" s="6">
        <f t="shared" ca="1" si="342"/>
        <v>0</v>
      </c>
      <c r="AG1745">
        <f t="shared" ca="1" si="337"/>
        <v>0</v>
      </c>
      <c r="AH1745">
        <f t="shared" ca="1" si="343"/>
        <v>0</v>
      </c>
      <c r="AI1745">
        <f t="shared" ca="1" si="344"/>
        <v>0</v>
      </c>
      <c r="AJ1745">
        <f t="shared" ca="1" si="345"/>
        <v>0</v>
      </c>
      <c r="AK1745">
        <f t="shared" ca="1" si="346"/>
        <v>0</v>
      </c>
      <c r="AL1745">
        <f t="shared" ca="1" si="347"/>
        <v>0</v>
      </c>
    </row>
    <row r="1746" spans="1:38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#N/A, OFFSET(data!$A$1, ROW()-1, AA$1-1))</f>
        <v>0</v>
      </c>
      <c r="AB1746">
        <f t="shared" ca="1" si="338"/>
        <v>0</v>
      </c>
      <c r="AC1746" t="e">
        <f t="shared" ca="1" si="339"/>
        <v>#VALUE!</v>
      </c>
      <c r="AD1746" t="str">
        <f t="shared" ca="1" si="340"/>
        <v>0</v>
      </c>
      <c r="AE1746" t="str">
        <f t="shared" ca="1" si="341"/>
        <v/>
      </c>
      <c r="AF1746" s="6">
        <f t="shared" ca="1" si="342"/>
        <v>0</v>
      </c>
      <c r="AG1746">
        <f t="shared" ca="1" si="337"/>
        <v>0</v>
      </c>
      <c r="AH1746">
        <f t="shared" ca="1" si="343"/>
        <v>0</v>
      </c>
      <c r="AI1746">
        <f t="shared" ca="1" si="344"/>
        <v>0</v>
      </c>
      <c r="AJ1746">
        <f t="shared" ca="1" si="345"/>
        <v>0</v>
      </c>
      <c r="AK1746">
        <f t="shared" ca="1" si="346"/>
        <v>0</v>
      </c>
      <c r="AL1746">
        <f t="shared" ca="1" si="347"/>
        <v>0</v>
      </c>
    </row>
    <row r="1747" spans="1:38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#N/A, OFFSET(data!$A$1, ROW()-1, AA$1-1))</f>
        <v>0</v>
      </c>
      <c r="AB1747">
        <f t="shared" ca="1" si="338"/>
        <v>0</v>
      </c>
      <c r="AC1747" t="e">
        <f t="shared" ca="1" si="339"/>
        <v>#VALUE!</v>
      </c>
      <c r="AD1747" t="str">
        <f t="shared" ca="1" si="340"/>
        <v>0</v>
      </c>
      <c r="AE1747" t="str">
        <f t="shared" ca="1" si="341"/>
        <v/>
      </c>
      <c r="AF1747" s="6">
        <f t="shared" ca="1" si="342"/>
        <v>0</v>
      </c>
      <c r="AG1747">
        <f t="shared" ca="1" si="337"/>
        <v>0</v>
      </c>
      <c r="AH1747">
        <f t="shared" ca="1" si="343"/>
        <v>0</v>
      </c>
      <c r="AI1747">
        <f t="shared" ca="1" si="344"/>
        <v>0</v>
      </c>
      <c r="AJ1747">
        <f t="shared" ca="1" si="345"/>
        <v>0</v>
      </c>
      <c r="AK1747">
        <f t="shared" ca="1" si="346"/>
        <v>0</v>
      </c>
      <c r="AL1747">
        <f t="shared" ca="1" si="347"/>
        <v>0</v>
      </c>
    </row>
    <row r="1748" spans="1:38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#N/A, OFFSET(data!$A$1, ROW()-1, AA$1-1))</f>
        <v>0</v>
      </c>
      <c r="AB1748">
        <f t="shared" ca="1" si="338"/>
        <v>0</v>
      </c>
      <c r="AC1748" t="e">
        <f t="shared" ca="1" si="339"/>
        <v>#VALUE!</v>
      </c>
      <c r="AD1748" t="str">
        <f t="shared" ca="1" si="340"/>
        <v>0</v>
      </c>
      <c r="AE1748" t="str">
        <f t="shared" ca="1" si="341"/>
        <v/>
      </c>
      <c r="AF1748" s="6">
        <f t="shared" ca="1" si="342"/>
        <v>0</v>
      </c>
      <c r="AG1748">
        <f t="shared" ca="1" si="337"/>
        <v>0</v>
      </c>
      <c r="AH1748">
        <f t="shared" ca="1" si="343"/>
        <v>0</v>
      </c>
      <c r="AI1748">
        <f t="shared" ca="1" si="344"/>
        <v>0</v>
      </c>
      <c r="AJ1748">
        <f t="shared" ca="1" si="345"/>
        <v>0</v>
      </c>
      <c r="AK1748">
        <f t="shared" ca="1" si="346"/>
        <v>0</v>
      </c>
      <c r="AL1748">
        <f t="shared" ca="1" si="347"/>
        <v>0</v>
      </c>
    </row>
    <row r="1749" spans="1:38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#N/A, OFFSET(data!$A$1, ROW()-1, AA$1-1))</f>
        <v>0</v>
      </c>
      <c r="AB1749">
        <f t="shared" ca="1" si="338"/>
        <v>0</v>
      </c>
      <c r="AC1749" t="e">
        <f t="shared" ca="1" si="339"/>
        <v>#VALUE!</v>
      </c>
      <c r="AD1749" t="str">
        <f t="shared" ca="1" si="340"/>
        <v>0</v>
      </c>
      <c r="AE1749" t="str">
        <f t="shared" ca="1" si="341"/>
        <v/>
      </c>
      <c r="AF1749" s="6">
        <f t="shared" ca="1" si="342"/>
        <v>0</v>
      </c>
      <c r="AG1749">
        <f t="shared" ca="1" si="337"/>
        <v>0</v>
      </c>
      <c r="AH1749">
        <f t="shared" ca="1" si="343"/>
        <v>0</v>
      </c>
      <c r="AI1749">
        <f t="shared" ca="1" si="344"/>
        <v>0</v>
      </c>
      <c r="AJ1749">
        <f t="shared" ca="1" si="345"/>
        <v>0</v>
      </c>
      <c r="AK1749">
        <f t="shared" ca="1" si="346"/>
        <v>0</v>
      </c>
      <c r="AL1749">
        <f t="shared" ca="1" si="347"/>
        <v>0</v>
      </c>
    </row>
    <row r="1750" spans="1:38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#N/A, OFFSET(data!$A$1, ROW()-1, AA$1-1))</f>
        <v>0</v>
      </c>
      <c r="AB1750">
        <f t="shared" ca="1" si="338"/>
        <v>0</v>
      </c>
      <c r="AC1750" t="e">
        <f t="shared" ca="1" si="339"/>
        <v>#VALUE!</v>
      </c>
      <c r="AD1750" t="str">
        <f t="shared" ca="1" si="340"/>
        <v>0</v>
      </c>
      <c r="AE1750" t="str">
        <f t="shared" ca="1" si="341"/>
        <v/>
      </c>
      <c r="AF1750" s="6">
        <f t="shared" ca="1" si="342"/>
        <v>0</v>
      </c>
      <c r="AG1750">
        <f t="shared" ca="1" si="337"/>
        <v>0</v>
      </c>
      <c r="AH1750">
        <f t="shared" ca="1" si="343"/>
        <v>0</v>
      </c>
      <c r="AI1750">
        <f t="shared" ca="1" si="344"/>
        <v>0</v>
      </c>
      <c r="AJ1750">
        <f t="shared" ca="1" si="345"/>
        <v>0</v>
      </c>
      <c r="AK1750">
        <f t="shared" ca="1" si="346"/>
        <v>0</v>
      </c>
      <c r="AL1750">
        <f t="shared" ca="1" si="347"/>
        <v>0</v>
      </c>
    </row>
    <row r="1751" spans="1:38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#N/A, OFFSET(data!$A$1, ROW()-1, AA$1-1))</f>
        <v>0</v>
      </c>
      <c r="AB1751">
        <f t="shared" ca="1" si="338"/>
        <v>0</v>
      </c>
      <c r="AC1751" t="e">
        <f t="shared" ca="1" si="339"/>
        <v>#VALUE!</v>
      </c>
      <c r="AD1751" t="str">
        <f t="shared" ca="1" si="340"/>
        <v>0</v>
      </c>
      <c r="AE1751" t="str">
        <f t="shared" ca="1" si="341"/>
        <v/>
      </c>
      <c r="AF1751" s="6">
        <f t="shared" ca="1" si="342"/>
        <v>0</v>
      </c>
      <c r="AG1751">
        <f t="shared" ca="1" si="337"/>
        <v>0</v>
      </c>
      <c r="AH1751">
        <f t="shared" ca="1" si="343"/>
        <v>0</v>
      </c>
      <c r="AI1751">
        <f t="shared" ca="1" si="344"/>
        <v>0</v>
      </c>
      <c r="AJ1751">
        <f t="shared" ca="1" si="345"/>
        <v>0</v>
      </c>
      <c r="AK1751">
        <f t="shared" ca="1" si="346"/>
        <v>0</v>
      </c>
      <c r="AL1751">
        <f t="shared" ca="1" si="347"/>
        <v>0</v>
      </c>
    </row>
    <row r="1752" spans="1:38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#N/A, OFFSET(data!$A$1, ROW()-1, AA$1-1))</f>
        <v>0</v>
      </c>
      <c r="AB1752">
        <f t="shared" ca="1" si="338"/>
        <v>0</v>
      </c>
      <c r="AC1752" t="e">
        <f t="shared" ca="1" si="339"/>
        <v>#VALUE!</v>
      </c>
      <c r="AD1752" t="str">
        <f t="shared" ca="1" si="340"/>
        <v>0</v>
      </c>
      <c r="AE1752" t="str">
        <f t="shared" ca="1" si="341"/>
        <v/>
      </c>
      <c r="AF1752" s="6">
        <f t="shared" ca="1" si="342"/>
        <v>0</v>
      </c>
      <c r="AG1752">
        <f t="shared" ca="1" si="337"/>
        <v>0</v>
      </c>
      <c r="AH1752">
        <f t="shared" ca="1" si="343"/>
        <v>0</v>
      </c>
      <c r="AI1752">
        <f t="shared" ca="1" si="344"/>
        <v>0</v>
      </c>
      <c r="AJ1752">
        <f t="shared" ca="1" si="345"/>
        <v>0</v>
      </c>
      <c r="AK1752">
        <f t="shared" ca="1" si="346"/>
        <v>0</v>
      </c>
      <c r="AL1752">
        <f t="shared" ca="1" si="347"/>
        <v>0</v>
      </c>
    </row>
    <row r="1753" spans="1:38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#N/A, OFFSET(data!$A$1, ROW()-1, AA$1-1))</f>
        <v>0</v>
      </c>
      <c r="AB1753">
        <f t="shared" ca="1" si="338"/>
        <v>0</v>
      </c>
      <c r="AC1753" t="e">
        <f t="shared" ca="1" si="339"/>
        <v>#VALUE!</v>
      </c>
      <c r="AD1753" t="str">
        <f t="shared" ca="1" si="340"/>
        <v>0</v>
      </c>
      <c r="AE1753" t="str">
        <f t="shared" ca="1" si="341"/>
        <v/>
      </c>
      <c r="AF1753" s="6">
        <f t="shared" ca="1" si="342"/>
        <v>0</v>
      </c>
      <c r="AG1753">
        <f t="shared" ca="1" si="337"/>
        <v>0</v>
      </c>
      <c r="AH1753">
        <f t="shared" ca="1" si="343"/>
        <v>0</v>
      </c>
      <c r="AI1753">
        <f t="shared" ca="1" si="344"/>
        <v>0</v>
      </c>
      <c r="AJ1753">
        <f t="shared" ca="1" si="345"/>
        <v>0</v>
      </c>
      <c r="AK1753">
        <f t="shared" ca="1" si="346"/>
        <v>0</v>
      </c>
      <c r="AL1753">
        <f t="shared" ca="1" si="347"/>
        <v>0</v>
      </c>
    </row>
    <row r="1754" spans="1:38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#N/A, OFFSET(data!$A$1, ROW()-1, AA$1-1))</f>
        <v>0</v>
      </c>
      <c r="AB1754">
        <f t="shared" ca="1" si="338"/>
        <v>0</v>
      </c>
      <c r="AC1754" t="e">
        <f t="shared" ca="1" si="339"/>
        <v>#VALUE!</v>
      </c>
      <c r="AD1754" t="str">
        <f t="shared" ca="1" si="340"/>
        <v>0</v>
      </c>
      <c r="AE1754" t="str">
        <f t="shared" ca="1" si="341"/>
        <v/>
      </c>
      <c r="AF1754" s="6">
        <f t="shared" ca="1" si="342"/>
        <v>0</v>
      </c>
      <c r="AG1754">
        <f t="shared" ca="1" si="337"/>
        <v>0</v>
      </c>
      <c r="AH1754">
        <f t="shared" ca="1" si="343"/>
        <v>0</v>
      </c>
      <c r="AI1754">
        <f t="shared" ca="1" si="344"/>
        <v>0</v>
      </c>
      <c r="AJ1754">
        <f t="shared" ca="1" si="345"/>
        <v>0</v>
      </c>
      <c r="AK1754">
        <f t="shared" ca="1" si="346"/>
        <v>0</v>
      </c>
      <c r="AL1754">
        <f t="shared" ca="1" si="347"/>
        <v>0</v>
      </c>
    </row>
    <row r="1755" spans="1:38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#N/A, OFFSET(data!$A$1, ROW()-1, AA$1-1))</f>
        <v>0</v>
      </c>
      <c r="AB1755">
        <f t="shared" ca="1" si="338"/>
        <v>0</v>
      </c>
      <c r="AC1755" t="e">
        <f t="shared" ca="1" si="339"/>
        <v>#VALUE!</v>
      </c>
      <c r="AD1755" t="str">
        <f t="shared" ca="1" si="340"/>
        <v>0</v>
      </c>
      <c r="AE1755" t="str">
        <f t="shared" ca="1" si="341"/>
        <v/>
      </c>
      <c r="AF1755" s="6">
        <f t="shared" ca="1" si="342"/>
        <v>0</v>
      </c>
      <c r="AG1755">
        <f t="shared" ca="1" si="337"/>
        <v>0</v>
      </c>
      <c r="AH1755">
        <f t="shared" ca="1" si="343"/>
        <v>0</v>
      </c>
      <c r="AI1755">
        <f t="shared" ca="1" si="344"/>
        <v>0</v>
      </c>
      <c r="AJ1755">
        <f t="shared" ca="1" si="345"/>
        <v>0</v>
      </c>
      <c r="AK1755">
        <f t="shared" ca="1" si="346"/>
        <v>0</v>
      </c>
      <c r="AL1755">
        <f t="shared" ca="1" si="347"/>
        <v>0</v>
      </c>
    </row>
    <row r="1756" spans="1:38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#N/A, OFFSET(data!$A$1, ROW()-1, AA$1-1))</f>
        <v>0</v>
      </c>
      <c r="AB1756">
        <f t="shared" ca="1" si="338"/>
        <v>0</v>
      </c>
      <c r="AC1756" t="e">
        <f t="shared" ca="1" si="339"/>
        <v>#VALUE!</v>
      </c>
      <c r="AD1756" t="str">
        <f t="shared" ca="1" si="340"/>
        <v>0</v>
      </c>
      <c r="AE1756" t="str">
        <f t="shared" ca="1" si="341"/>
        <v/>
      </c>
      <c r="AF1756" s="6">
        <f t="shared" ca="1" si="342"/>
        <v>0</v>
      </c>
      <c r="AG1756">
        <f t="shared" ca="1" si="337"/>
        <v>0</v>
      </c>
      <c r="AH1756">
        <f t="shared" ca="1" si="343"/>
        <v>0</v>
      </c>
      <c r="AI1756">
        <f t="shared" ca="1" si="344"/>
        <v>0</v>
      </c>
      <c r="AJ1756">
        <f t="shared" ca="1" si="345"/>
        <v>0</v>
      </c>
      <c r="AK1756">
        <f t="shared" ca="1" si="346"/>
        <v>0</v>
      </c>
      <c r="AL1756">
        <f t="shared" ca="1" si="347"/>
        <v>0</v>
      </c>
    </row>
    <row r="1757" spans="1:38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#N/A, OFFSET(data!$A$1, ROW()-1, AA$1-1))</f>
        <v>0</v>
      </c>
      <c r="AB1757">
        <f t="shared" ca="1" si="338"/>
        <v>0</v>
      </c>
      <c r="AC1757" t="e">
        <f t="shared" ca="1" si="339"/>
        <v>#VALUE!</v>
      </c>
      <c r="AD1757" t="str">
        <f t="shared" ca="1" si="340"/>
        <v>0</v>
      </c>
      <c r="AE1757" t="str">
        <f t="shared" ca="1" si="341"/>
        <v/>
      </c>
      <c r="AF1757" s="6">
        <f t="shared" ca="1" si="342"/>
        <v>0</v>
      </c>
      <c r="AG1757">
        <f t="shared" ca="1" si="337"/>
        <v>0</v>
      </c>
      <c r="AH1757">
        <f t="shared" ca="1" si="343"/>
        <v>0</v>
      </c>
      <c r="AI1757">
        <f t="shared" ca="1" si="344"/>
        <v>0</v>
      </c>
      <c r="AJ1757">
        <f t="shared" ca="1" si="345"/>
        <v>0</v>
      </c>
      <c r="AK1757">
        <f t="shared" ca="1" si="346"/>
        <v>0</v>
      </c>
      <c r="AL1757">
        <f t="shared" ca="1" si="347"/>
        <v>0</v>
      </c>
    </row>
    <row r="1758" spans="1:38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#N/A, OFFSET(data!$A$1, ROW()-1, AA$1-1))</f>
        <v>0</v>
      </c>
      <c r="AB1758">
        <f t="shared" ca="1" si="338"/>
        <v>0</v>
      </c>
      <c r="AC1758" t="e">
        <f t="shared" ca="1" si="339"/>
        <v>#VALUE!</v>
      </c>
      <c r="AD1758" t="str">
        <f t="shared" ca="1" si="340"/>
        <v>0</v>
      </c>
      <c r="AE1758" t="str">
        <f t="shared" ca="1" si="341"/>
        <v/>
      </c>
      <c r="AF1758" s="6">
        <f t="shared" ca="1" si="342"/>
        <v>0</v>
      </c>
      <c r="AG1758">
        <f t="shared" ca="1" si="337"/>
        <v>0</v>
      </c>
      <c r="AH1758">
        <f t="shared" ca="1" si="343"/>
        <v>0</v>
      </c>
      <c r="AI1758">
        <f t="shared" ca="1" si="344"/>
        <v>0</v>
      </c>
      <c r="AJ1758">
        <f t="shared" ca="1" si="345"/>
        <v>0</v>
      </c>
      <c r="AK1758">
        <f t="shared" ca="1" si="346"/>
        <v>0</v>
      </c>
      <c r="AL1758">
        <f t="shared" ca="1" si="347"/>
        <v>0</v>
      </c>
    </row>
    <row r="1759" spans="1:38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#N/A, OFFSET(data!$A$1, ROW()-1, AA$1-1))</f>
        <v>0</v>
      </c>
      <c r="AB1759">
        <f t="shared" ca="1" si="338"/>
        <v>0</v>
      </c>
      <c r="AC1759" t="e">
        <f t="shared" ca="1" si="339"/>
        <v>#VALUE!</v>
      </c>
      <c r="AD1759" t="str">
        <f t="shared" ca="1" si="340"/>
        <v>0</v>
      </c>
      <c r="AE1759" t="str">
        <f t="shared" ca="1" si="341"/>
        <v/>
      </c>
      <c r="AF1759" s="6">
        <f t="shared" ca="1" si="342"/>
        <v>0</v>
      </c>
      <c r="AG1759">
        <f t="shared" ca="1" si="337"/>
        <v>0</v>
      </c>
      <c r="AH1759">
        <f t="shared" ca="1" si="343"/>
        <v>0</v>
      </c>
      <c r="AI1759">
        <f t="shared" ca="1" si="344"/>
        <v>0</v>
      </c>
      <c r="AJ1759">
        <f t="shared" ca="1" si="345"/>
        <v>0</v>
      </c>
      <c r="AK1759">
        <f t="shared" ca="1" si="346"/>
        <v>0</v>
      </c>
      <c r="AL1759">
        <f t="shared" ca="1" si="347"/>
        <v>0</v>
      </c>
    </row>
    <row r="1760" spans="1:38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#N/A, OFFSET(data!$A$1, ROW()-1, AA$1-1))</f>
        <v>0</v>
      </c>
      <c r="AB1760">
        <f t="shared" ca="1" si="338"/>
        <v>0</v>
      </c>
      <c r="AC1760" t="e">
        <f t="shared" ca="1" si="339"/>
        <v>#VALUE!</v>
      </c>
      <c r="AD1760" t="str">
        <f t="shared" ca="1" si="340"/>
        <v>0</v>
      </c>
      <c r="AE1760" t="str">
        <f t="shared" ca="1" si="341"/>
        <v/>
      </c>
      <c r="AF1760" s="6">
        <f t="shared" ca="1" si="342"/>
        <v>0</v>
      </c>
      <c r="AG1760">
        <f t="shared" ca="1" si="337"/>
        <v>0</v>
      </c>
      <c r="AH1760">
        <f t="shared" ca="1" si="343"/>
        <v>0</v>
      </c>
      <c r="AI1760">
        <f t="shared" ca="1" si="344"/>
        <v>0</v>
      </c>
      <c r="AJ1760">
        <f t="shared" ca="1" si="345"/>
        <v>0</v>
      </c>
      <c r="AK1760">
        <f t="shared" ca="1" si="346"/>
        <v>0</v>
      </c>
      <c r="AL1760">
        <f t="shared" ca="1" si="347"/>
        <v>0</v>
      </c>
    </row>
    <row r="1761" spans="1:38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#N/A, OFFSET(data!$A$1, ROW()-1, AA$1-1))</f>
        <v>0</v>
      </c>
      <c r="AB1761">
        <f t="shared" ca="1" si="338"/>
        <v>0</v>
      </c>
      <c r="AC1761" t="e">
        <f t="shared" ca="1" si="339"/>
        <v>#VALUE!</v>
      </c>
      <c r="AD1761" t="str">
        <f t="shared" ca="1" si="340"/>
        <v>0</v>
      </c>
      <c r="AE1761" t="str">
        <f t="shared" ca="1" si="341"/>
        <v/>
      </c>
      <c r="AF1761" s="6">
        <f t="shared" ca="1" si="342"/>
        <v>0</v>
      </c>
      <c r="AG1761">
        <f t="shared" ca="1" si="337"/>
        <v>0</v>
      </c>
      <c r="AH1761">
        <f t="shared" ca="1" si="343"/>
        <v>0</v>
      </c>
      <c r="AI1761">
        <f t="shared" ca="1" si="344"/>
        <v>0</v>
      </c>
      <c r="AJ1761">
        <f t="shared" ca="1" si="345"/>
        <v>0</v>
      </c>
      <c r="AK1761">
        <f t="shared" ca="1" si="346"/>
        <v>0</v>
      </c>
      <c r="AL1761">
        <f t="shared" ca="1" si="347"/>
        <v>0</v>
      </c>
    </row>
    <row r="1762" spans="1:38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#N/A, OFFSET(data!$A$1, ROW()-1, AA$1-1))</f>
        <v>0</v>
      </c>
      <c r="AB1762">
        <f t="shared" ca="1" si="338"/>
        <v>0</v>
      </c>
      <c r="AC1762" t="e">
        <f t="shared" ca="1" si="339"/>
        <v>#VALUE!</v>
      </c>
      <c r="AD1762" t="str">
        <f t="shared" ca="1" si="340"/>
        <v>0</v>
      </c>
      <c r="AE1762" t="str">
        <f t="shared" ca="1" si="341"/>
        <v/>
      </c>
      <c r="AF1762" s="6">
        <f t="shared" ca="1" si="342"/>
        <v>0</v>
      </c>
      <c r="AG1762">
        <f t="shared" ca="1" si="337"/>
        <v>0</v>
      </c>
      <c r="AH1762">
        <f t="shared" ca="1" si="343"/>
        <v>0</v>
      </c>
      <c r="AI1762">
        <f t="shared" ca="1" si="344"/>
        <v>0</v>
      </c>
      <c r="AJ1762">
        <f t="shared" ca="1" si="345"/>
        <v>0</v>
      </c>
      <c r="AK1762">
        <f t="shared" ca="1" si="346"/>
        <v>0</v>
      </c>
      <c r="AL1762">
        <f t="shared" ca="1" si="347"/>
        <v>0</v>
      </c>
    </row>
    <row r="1763" spans="1:38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#N/A, OFFSET(data!$A$1, ROW()-1, AA$1-1))</f>
        <v>0</v>
      </c>
      <c r="AB1763">
        <f t="shared" ca="1" si="338"/>
        <v>0</v>
      </c>
      <c r="AC1763" t="e">
        <f t="shared" ca="1" si="339"/>
        <v>#VALUE!</v>
      </c>
      <c r="AD1763" t="str">
        <f t="shared" ca="1" si="340"/>
        <v>0</v>
      </c>
      <c r="AE1763" t="str">
        <f t="shared" ca="1" si="341"/>
        <v/>
      </c>
      <c r="AF1763" s="6">
        <f t="shared" ca="1" si="342"/>
        <v>0</v>
      </c>
      <c r="AG1763">
        <f t="shared" ca="1" si="337"/>
        <v>0</v>
      </c>
      <c r="AH1763">
        <f t="shared" ca="1" si="343"/>
        <v>0</v>
      </c>
      <c r="AI1763">
        <f t="shared" ca="1" si="344"/>
        <v>0</v>
      </c>
      <c r="AJ1763">
        <f t="shared" ca="1" si="345"/>
        <v>0</v>
      </c>
      <c r="AK1763">
        <f t="shared" ca="1" si="346"/>
        <v>0</v>
      </c>
      <c r="AL1763">
        <f t="shared" ca="1" si="347"/>
        <v>0</v>
      </c>
    </row>
    <row r="1764" spans="1:38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#N/A, OFFSET(data!$A$1, ROW()-1, AA$1-1))</f>
        <v>0</v>
      </c>
      <c r="AB1764">
        <f t="shared" ca="1" si="338"/>
        <v>0</v>
      </c>
      <c r="AC1764" t="e">
        <f t="shared" ca="1" si="339"/>
        <v>#VALUE!</v>
      </c>
      <c r="AD1764" t="str">
        <f t="shared" ca="1" si="340"/>
        <v>0</v>
      </c>
      <c r="AE1764" t="str">
        <f t="shared" ca="1" si="341"/>
        <v/>
      </c>
      <c r="AF1764" s="6">
        <f t="shared" ca="1" si="342"/>
        <v>0</v>
      </c>
      <c r="AG1764">
        <f t="shared" ca="1" si="337"/>
        <v>0</v>
      </c>
      <c r="AH1764">
        <f t="shared" ca="1" si="343"/>
        <v>0</v>
      </c>
      <c r="AI1764">
        <f t="shared" ca="1" si="344"/>
        <v>0</v>
      </c>
      <c r="AJ1764">
        <f t="shared" ca="1" si="345"/>
        <v>0</v>
      </c>
      <c r="AK1764">
        <f t="shared" ca="1" si="346"/>
        <v>0</v>
      </c>
      <c r="AL1764">
        <f t="shared" ca="1" si="347"/>
        <v>0</v>
      </c>
    </row>
    <row r="1765" spans="1:38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#N/A, OFFSET(data!$A$1, ROW()-1, AA$1-1))</f>
        <v>0</v>
      </c>
      <c r="AB1765">
        <f t="shared" ca="1" si="338"/>
        <v>0</v>
      </c>
      <c r="AC1765" t="e">
        <f t="shared" ca="1" si="339"/>
        <v>#VALUE!</v>
      </c>
      <c r="AD1765" t="str">
        <f t="shared" ca="1" si="340"/>
        <v>0</v>
      </c>
      <c r="AE1765" t="str">
        <f t="shared" ca="1" si="341"/>
        <v/>
      </c>
      <c r="AF1765" s="6">
        <f t="shared" ca="1" si="342"/>
        <v>0</v>
      </c>
      <c r="AG1765">
        <f t="shared" ca="1" si="337"/>
        <v>0</v>
      </c>
      <c r="AH1765">
        <f t="shared" ca="1" si="343"/>
        <v>0</v>
      </c>
      <c r="AI1765">
        <f t="shared" ca="1" si="344"/>
        <v>0</v>
      </c>
      <c r="AJ1765">
        <f t="shared" ca="1" si="345"/>
        <v>0</v>
      </c>
      <c r="AK1765">
        <f t="shared" ca="1" si="346"/>
        <v>0</v>
      </c>
      <c r="AL1765">
        <f t="shared" ca="1" si="347"/>
        <v>0</v>
      </c>
    </row>
    <row r="1766" spans="1:38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#N/A, OFFSET(data!$A$1, ROW()-1, AA$1-1))</f>
        <v>0</v>
      </c>
      <c r="AB1766">
        <f t="shared" ca="1" si="338"/>
        <v>0</v>
      </c>
      <c r="AC1766" t="e">
        <f t="shared" ca="1" si="339"/>
        <v>#VALUE!</v>
      </c>
      <c r="AD1766" t="str">
        <f t="shared" ca="1" si="340"/>
        <v>0</v>
      </c>
      <c r="AE1766" t="str">
        <f t="shared" ca="1" si="341"/>
        <v/>
      </c>
      <c r="AF1766" s="6">
        <f t="shared" ca="1" si="342"/>
        <v>0</v>
      </c>
      <c r="AG1766">
        <f t="shared" ca="1" si="337"/>
        <v>0</v>
      </c>
      <c r="AH1766">
        <f t="shared" ca="1" si="343"/>
        <v>0</v>
      </c>
      <c r="AI1766">
        <f t="shared" ca="1" si="344"/>
        <v>0</v>
      </c>
      <c r="AJ1766">
        <f t="shared" ca="1" si="345"/>
        <v>0</v>
      </c>
      <c r="AK1766">
        <f t="shared" ca="1" si="346"/>
        <v>0</v>
      </c>
      <c r="AL1766">
        <f t="shared" ca="1" si="347"/>
        <v>0</v>
      </c>
    </row>
    <row r="1767" spans="1:38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#N/A, OFFSET(data!$A$1, ROW()-1, AA$1-1))</f>
        <v>0</v>
      </c>
      <c r="AB1767">
        <f t="shared" ca="1" si="338"/>
        <v>0</v>
      </c>
      <c r="AC1767" t="e">
        <f t="shared" ca="1" si="339"/>
        <v>#VALUE!</v>
      </c>
      <c r="AD1767" t="str">
        <f t="shared" ca="1" si="340"/>
        <v>0</v>
      </c>
      <c r="AE1767" t="str">
        <f t="shared" ca="1" si="341"/>
        <v/>
      </c>
      <c r="AF1767" s="6">
        <f t="shared" ca="1" si="342"/>
        <v>0</v>
      </c>
      <c r="AG1767">
        <f t="shared" ca="1" si="337"/>
        <v>0</v>
      </c>
      <c r="AH1767">
        <f t="shared" ca="1" si="343"/>
        <v>0</v>
      </c>
      <c r="AI1767">
        <f t="shared" ca="1" si="344"/>
        <v>0</v>
      </c>
      <c r="AJ1767">
        <f t="shared" ca="1" si="345"/>
        <v>0</v>
      </c>
      <c r="AK1767">
        <f t="shared" ca="1" si="346"/>
        <v>0</v>
      </c>
      <c r="AL1767">
        <f t="shared" ca="1" si="347"/>
        <v>0</v>
      </c>
    </row>
    <row r="1768" spans="1:38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#N/A, OFFSET(data!$A$1, ROW()-1, AA$1-1))</f>
        <v>0</v>
      </c>
      <c r="AB1768">
        <f t="shared" ca="1" si="338"/>
        <v>0</v>
      </c>
      <c r="AC1768" t="e">
        <f t="shared" ca="1" si="339"/>
        <v>#VALUE!</v>
      </c>
      <c r="AD1768" t="str">
        <f t="shared" ca="1" si="340"/>
        <v>0</v>
      </c>
      <c r="AE1768" t="str">
        <f t="shared" ca="1" si="341"/>
        <v/>
      </c>
      <c r="AF1768" s="6">
        <f t="shared" ca="1" si="342"/>
        <v>0</v>
      </c>
      <c r="AG1768">
        <f t="shared" ca="1" si="337"/>
        <v>0</v>
      </c>
      <c r="AH1768">
        <f t="shared" ca="1" si="343"/>
        <v>0</v>
      </c>
      <c r="AI1768">
        <f t="shared" ca="1" si="344"/>
        <v>0</v>
      </c>
      <c r="AJ1768">
        <f t="shared" ca="1" si="345"/>
        <v>0</v>
      </c>
      <c r="AK1768">
        <f t="shared" ca="1" si="346"/>
        <v>0</v>
      </c>
      <c r="AL1768">
        <f t="shared" ca="1" si="347"/>
        <v>0</v>
      </c>
    </row>
    <row r="1769" spans="1:38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#N/A, OFFSET(data!$A$1, ROW()-1, AA$1-1))</f>
        <v>0</v>
      </c>
      <c r="AB1769">
        <f t="shared" ca="1" si="338"/>
        <v>0</v>
      </c>
      <c r="AC1769" t="e">
        <f t="shared" ca="1" si="339"/>
        <v>#VALUE!</v>
      </c>
      <c r="AD1769" t="str">
        <f t="shared" ca="1" si="340"/>
        <v>0</v>
      </c>
      <c r="AE1769" t="str">
        <f t="shared" ca="1" si="341"/>
        <v/>
      </c>
      <c r="AF1769" s="6">
        <f t="shared" ca="1" si="342"/>
        <v>0</v>
      </c>
      <c r="AG1769">
        <f t="shared" ca="1" si="337"/>
        <v>0</v>
      </c>
      <c r="AH1769">
        <f t="shared" ca="1" si="343"/>
        <v>0</v>
      </c>
      <c r="AI1769">
        <f t="shared" ca="1" si="344"/>
        <v>0</v>
      </c>
      <c r="AJ1769">
        <f t="shared" ca="1" si="345"/>
        <v>0</v>
      </c>
      <c r="AK1769">
        <f t="shared" ca="1" si="346"/>
        <v>0</v>
      </c>
      <c r="AL1769">
        <f t="shared" ca="1" si="347"/>
        <v>0</v>
      </c>
    </row>
    <row r="1770" spans="1:38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#N/A, OFFSET(data!$A$1, ROW()-1, AA$1-1))</f>
        <v>0</v>
      </c>
      <c r="AB1770">
        <f t="shared" ca="1" si="338"/>
        <v>0</v>
      </c>
      <c r="AC1770" t="e">
        <f t="shared" ca="1" si="339"/>
        <v>#VALUE!</v>
      </c>
      <c r="AD1770" t="str">
        <f t="shared" ca="1" si="340"/>
        <v>0</v>
      </c>
      <c r="AE1770" t="str">
        <f t="shared" ca="1" si="341"/>
        <v/>
      </c>
      <c r="AF1770" s="6">
        <f t="shared" ca="1" si="342"/>
        <v>0</v>
      </c>
      <c r="AG1770">
        <f t="shared" ca="1" si="337"/>
        <v>0</v>
      </c>
      <c r="AH1770">
        <f t="shared" ca="1" si="343"/>
        <v>0</v>
      </c>
      <c r="AI1770">
        <f t="shared" ca="1" si="344"/>
        <v>0</v>
      </c>
      <c r="AJ1770">
        <f t="shared" ca="1" si="345"/>
        <v>0</v>
      </c>
      <c r="AK1770">
        <f t="shared" ca="1" si="346"/>
        <v>0</v>
      </c>
      <c r="AL1770">
        <f t="shared" ca="1" si="347"/>
        <v>0</v>
      </c>
    </row>
    <row r="1771" spans="1:38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#N/A, OFFSET(data!$A$1, ROW()-1, AA$1-1))</f>
        <v>0</v>
      </c>
      <c r="AB1771">
        <f t="shared" ca="1" si="338"/>
        <v>0</v>
      </c>
      <c r="AC1771" t="e">
        <f t="shared" ca="1" si="339"/>
        <v>#VALUE!</v>
      </c>
      <c r="AD1771" t="str">
        <f t="shared" ca="1" si="340"/>
        <v>0</v>
      </c>
      <c r="AE1771" t="str">
        <f t="shared" ca="1" si="341"/>
        <v/>
      </c>
      <c r="AF1771" s="6">
        <f t="shared" ca="1" si="342"/>
        <v>0</v>
      </c>
      <c r="AG1771">
        <f t="shared" ca="1" si="337"/>
        <v>0</v>
      </c>
      <c r="AH1771">
        <f t="shared" ca="1" si="343"/>
        <v>0</v>
      </c>
      <c r="AI1771">
        <f t="shared" ca="1" si="344"/>
        <v>0</v>
      </c>
      <c r="AJ1771">
        <f t="shared" ca="1" si="345"/>
        <v>0</v>
      </c>
      <c r="AK1771">
        <f t="shared" ca="1" si="346"/>
        <v>0</v>
      </c>
      <c r="AL1771">
        <f t="shared" ca="1" si="347"/>
        <v>0</v>
      </c>
    </row>
    <row r="1772" spans="1:38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#N/A, OFFSET(data!$A$1, ROW()-1, AA$1-1))</f>
        <v>0</v>
      </c>
      <c r="AB1772">
        <f t="shared" ca="1" si="338"/>
        <v>0</v>
      </c>
      <c r="AC1772" t="e">
        <f t="shared" ca="1" si="339"/>
        <v>#VALUE!</v>
      </c>
      <c r="AD1772" t="str">
        <f t="shared" ca="1" si="340"/>
        <v>0</v>
      </c>
      <c r="AE1772" t="str">
        <f t="shared" ca="1" si="341"/>
        <v/>
      </c>
      <c r="AF1772" s="6">
        <f t="shared" ca="1" si="342"/>
        <v>0</v>
      </c>
      <c r="AG1772">
        <f t="shared" ca="1" si="337"/>
        <v>0</v>
      </c>
      <c r="AH1772">
        <f t="shared" ca="1" si="343"/>
        <v>0</v>
      </c>
      <c r="AI1772">
        <f t="shared" ca="1" si="344"/>
        <v>0</v>
      </c>
      <c r="AJ1772">
        <f t="shared" ca="1" si="345"/>
        <v>0</v>
      </c>
      <c r="AK1772">
        <f t="shared" ca="1" si="346"/>
        <v>0</v>
      </c>
      <c r="AL1772">
        <f t="shared" ca="1" si="347"/>
        <v>0</v>
      </c>
    </row>
    <row r="1773" spans="1:38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#N/A, OFFSET(data!$A$1, ROW()-1, AA$1-1))</f>
        <v>0</v>
      </c>
      <c r="AB1773">
        <f t="shared" ca="1" si="338"/>
        <v>0</v>
      </c>
      <c r="AC1773" t="e">
        <f t="shared" ca="1" si="339"/>
        <v>#VALUE!</v>
      </c>
      <c r="AD1773" t="str">
        <f t="shared" ca="1" si="340"/>
        <v>0</v>
      </c>
      <c r="AE1773" t="str">
        <f t="shared" ca="1" si="341"/>
        <v/>
      </c>
      <c r="AF1773" s="6">
        <f t="shared" ca="1" si="342"/>
        <v>0</v>
      </c>
      <c r="AG1773">
        <f t="shared" ca="1" si="337"/>
        <v>0</v>
      </c>
      <c r="AH1773">
        <f t="shared" ca="1" si="343"/>
        <v>0</v>
      </c>
      <c r="AI1773">
        <f t="shared" ca="1" si="344"/>
        <v>0</v>
      </c>
      <c r="AJ1773">
        <f t="shared" ca="1" si="345"/>
        <v>0</v>
      </c>
      <c r="AK1773">
        <f t="shared" ca="1" si="346"/>
        <v>0</v>
      </c>
      <c r="AL1773">
        <f t="shared" ca="1" si="347"/>
        <v>0</v>
      </c>
    </row>
    <row r="1774" spans="1:38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#N/A, OFFSET(data!$A$1, ROW()-1, AA$1-1))</f>
        <v>0</v>
      </c>
      <c r="AB1774">
        <f t="shared" ca="1" si="338"/>
        <v>0</v>
      </c>
      <c r="AC1774" t="e">
        <f t="shared" ca="1" si="339"/>
        <v>#VALUE!</v>
      </c>
      <c r="AD1774" t="str">
        <f t="shared" ca="1" si="340"/>
        <v>0</v>
      </c>
      <c r="AE1774" t="str">
        <f t="shared" ca="1" si="341"/>
        <v/>
      </c>
      <c r="AF1774" s="6">
        <f t="shared" ca="1" si="342"/>
        <v>0</v>
      </c>
      <c r="AG1774">
        <f t="shared" ca="1" si="337"/>
        <v>0</v>
      </c>
      <c r="AH1774">
        <f t="shared" ca="1" si="343"/>
        <v>0</v>
      </c>
      <c r="AI1774">
        <f t="shared" ca="1" si="344"/>
        <v>0</v>
      </c>
      <c r="AJ1774">
        <f t="shared" ca="1" si="345"/>
        <v>0</v>
      </c>
      <c r="AK1774">
        <f t="shared" ca="1" si="346"/>
        <v>0</v>
      </c>
      <c r="AL1774">
        <f t="shared" ca="1" si="347"/>
        <v>0</v>
      </c>
    </row>
    <row r="1775" spans="1:38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#N/A, OFFSET(data!$A$1, ROW()-1, AA$1-1))</f>
        <v>0</v>
      </c>
      <c r="AB1775">
        <f t="shared" ca="1" si="338"/>
        <v>0</v>
      </c>
      <c r="AC1775" t="e">
        <f t="shared" ca="1" si="339"/>
        <v>#VALUE!</v>
      </c>
      <c r="AD1775" t="str">
        <f t="shared" ca="1" si="340"/>
        <v>0</v>
      </c>
      <c r="AE1775" t="str">
        <f t="shared" ca="1" si="341"/>
        <v/>
      </c>
      <c r="AF1775" s="6">
        <f t="shared" ca="1" si="342"/>
        <v>0</v>
      </c>
      <c r="AG1775">
        <f t="shared" ca="1" si="337"/>
        <v>0</v>
      </c>
      <c r="AH1775">
        <f t="shared" ca="1" si="343"/>
        <v>0</v>
      </c>
      <c r="AI1775">
        <f t="shared" ca="1" si="344"/>
        <v>0</v>
      </c>
      <c r="AJ1775">
        <f t="shared" ca="1" si="345"/>
        <v>0</v>
      </c>
      <c r="AK1775">
        <f t="shared" ca="1" si="346"/>
        <v>0</v>
      </c>
      <c r="AL1775">
        <f t="shared" ca="1" si="347"/>
        <v>0</v>
      </c>
    </row>
    <row r="1776" spans="1:38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#N/A, OFFSET(data!$A$1, ROW()-1, AA$1-1))</f>
        <v>0</v>
      </c>
      <c r="AB1776">
        <f t="shared" ca="1" si="338"/>
        <v>0</v>
      </c>
      <c r="AC1776" t="e">
        <f t="shared" ca="1" si="339"/>
        <v>#VALUE!</v>
      </c>
      <c r="AD1776" t="str">
        <f t="shared" ca="1" si="340"/>
        <v>0</v>
      </c>
      <c r="AE1776" t="str">
        <f t="shared" ca="1" si="341"/>
        <v/>
      </c>
      <c r="AF1776" s="6">
        <f t="shared" ca="1" si="342"/>
        <v>0</v>
      </c>
      <c r="AG1776">
        <f t="shared" ca="1" si="337"/>
        <v>0</v>
      </c>
      <c r="AH1776">
        <f t="shared" ca="1" si="343"/>
        <v>0</v>
      </c>
      <c r="AI1776">
        <f t="shared" ca="1" si="344"/>
        <v>0</v>
      </c>
      <c r="AJ1776">
        <f t="shared" ca="1" si="345"/>
        <v>0</v>
      </c>
      <c r="AK1776">
        <f t="shared" ca="1" si="346"/>
        <v>0</v>
      </c>
      <c r="AL1776">
        <f t="shared" ca="1" si="347"/>
        <v>0</v>
      </c>
    </row>
    <row r="1777" spans="1:38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#N/A, OFFSET(data!$A$1, ROW()-1, AA$1-1))</f>
        <v>0</v>
      </c>
      <c r="AB1777">
        <f t="shared" ca="1" si="338"/>
        <v>0</v>
      </c>
      <c r="AC1777" t="e">
        <f t="shared" ca="1" si="339"/>
        <v>#VALUE!</v>
      </c>
      <c r="AD1777" t="str">
        <f t="shared" ca="1" si="340"/>
        <v>0</v>
      </c>
      <c r="AE1777" t="str">
        <f t="shared" ca="1" si="341"/>
        <v/>
      </c>
      <c r="AF1777" s="6">
        <f t="shared" ca="1" si="342"/>
        <v>0</v>
      </c>
      <c r="AG1777">
        <f t="shared" ca="1" si="337"/>
        <v>0</v>
      </c>
      <c r="AH1777">
        <f t="shared" ca="1" si="343"/>
        <v>0</v>
      </c>
      <c r="AI1777">
        <f t="shared" ca="1" si="344"/>
        <v>0</v>
      </c>
      <c r="AJ1777">
        <f t="shared" ca="1" si="345"/>
        <v>0</v>
      </c>
      <c r="AK1777">
        <f t="shared" ca="1" si="346"/>
        <v>0</v>
      </c>
      <c r="AL1777">
        <f t="shared" ca="1" si="347"/>
        <v>0</v>
      </c>
    </row>
    <row r="1778" spans="1:38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#N/A, OFFSET(data!$A$1, ROW()-1, AA$1-1))</f>
        <v>0</v>
      </c>
      <c r="AB1778">
        <f t="shared" ca="1" si="338"/>
        <v>0</v>
      </c>
      <c r="AC1778" t="e">
        <f t="shared" ca="1" si="339"/>
        <v>#VALUE!</v>
      </c>
      <c r="AD1778" t="str">
        <f t="shared" ca="1" si="340"/>
        <v>0</v>
      </c>
      <c r="AE1778" t="str">
        <f t="shared" ca="1" si="341"/>
        <v/>
      </c>
      <c r="AF1778" s="6">
        <f t="shared" ca="1" si="342"/>
        <v>0</v>
      </c>
      <c r="AG1778">
        <f t="shared" ca="1" si="337"/>
        <v>0</v>
      </c>
      <c r="AH1778">
        <f t="shared" ca="1" si="343"/>
        <v>0</v>
      </c>
      <c r="AI1778">
        <f t="shared" ca="1" si="344"/>
        <v>0</v>
      </c>
      <c r="AJ1778">
        <f t="shared" ca="1" si="345"/>
        <v>0</v>
      </c>
      <c r="AK1778">
        <f t="shared" ca="1" si="346"/>
        <v>0</v>
      </c>
      <c r="AL1778">
        <f t="shared" ca="1" si="347"/>
        <v>0</v>
      </c>
    </row>
    <row r="1779" spans="1:38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#N/A, OFFSET(data!$A$1, ROW()-1, AA$1-1))</f>
        <v>0</v>
      </c>
      <c r="AB1779">
        <f t="shared" ca="1" si="338"/>
        <v>0</v>
      </c>
      <c r="AC1779" t="e">
        <f t="shared" ca="1" si="339"/>
        <v>#VALUE!</v>
      </c>
      <c r="AD1779" t="str">
        <f t="shared" ca="1" si="340"/>
        <v>0</v>
      </c>
      <c r="AE1779" t="str">
        <f t="shared" ca="1" si="341"/>
        <v/>
      </c>
      <c r="AF1779" s="6">
        <f t="shared" ca="1" si="342"/>
        <v>0</v>
      </c>
      <c r="AG1779">
        <f t="shared" ca="1" si="337"/>
        <v>0</v>
      </c>
      <c r="AH1779">
        <f t="shared" ca="1" si="343"/>
        <v>0</v>
      </c>
      <c r="AI1779">
        <f t="shared" ca="1" si="344"/>
        <v>0</v>
      </c>
      <c r="AJ1779">
        <f t="shared" ca="1" si="345"/>
        <v>0</v>
      </c>
      <c r="AK1779">
        <f t="shared" ca="1" si="346"/>
        <v>0</v>
      </c>
      <c r="AL1779">
        <f t="shared" ca="1" si="347"/>
        <v>0</v>
      </c>
    </row>
    <row r="1780" spans="1:38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#N/A, OFFSET(data!$A$1, ROW()-1, AA$1-1))</f>
        <v>0</v>
      </c>
      <c r="AB1780">
        <f t="shared" ca="1" si="338"/>
        <v>0</v>
      </c>
      <c r="AC1780" t="e">
        <f t="shared" ca="1" si="339"/>
        <v>#VALUE!</v>
      </c>
      <c r="AD1780" t="str">
        <f t="shared" ca="1" si="340"/>
        <v>0</v>
      </c>
      <c r="AE1780" t="str">
        <f t="shared" ca="1" si="341"/>
        <v/>
      </c>
      <c r="AF1780" s="6">
        <f t="shared" ca="1" si="342"/>
        <v>0</v>
      </c>
      <c r="AG1780">
        <f t="shared" ref="AG1780:AG1843" ca="1" si="348">T1780+W1780</f>
        <v>0</v>
      </c>
      <c r="AH1780">
        <f t="shared" ca="1" si="343"/>
        <v>0</v>
      </c>
      <c r="AI1780">
        <f t="shared" ca="1" si="344"/>
        <v>0</v>
      </c>
      <c r="AJ1780">
        <f t="shared" ca="1" si="345"/>
        <v>0</v>
      </c>
      <c r="AK1780">
        <f t="shared" ca="1" si="346"/>
        <v>0</v>
      </c>
      <c r="AL1780">
        <f t="shared" ca="1" si="347"/>
        <v>0</v>
      </c>
    </row>
    <row r="1781" spans="1:38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#N/A, OFFSET(data!$A$1, ROW()-1, AA$1-1))</f>
        <v>0</v>
      </c>
      <c r="AB1781">
        <f t="shared" ca="1" si="338"/>
        <v>0</v>
      </c>
      <c r="AC1781" t="e">
        <f t="shared" ca="1" si="339"/>
        <v>#VALUE!</v>
      </c>
      <c r="AD1781" t="str">
        <f t="shared" ca="1" si="340"/>
        <v>0</v>
      </c>
      <c r="AE1781" t="str">
        <f t="shared" ca="1" si="341"/>
        <v/>
      </c>
      <c r="AF1781" s="6">
        <f t="shared" ca="1" si="342"/>
        <v>0</v>
      </c>
      <c r="AG1781">
        <f t="shared" ca="1" si="348"/>
        <v>0</v>
      </c>
      <c r="AH1781">
        <f t="shared" ca="1" si="343"/>
        <v>0</v>
      </c>
      <c r="AI1781">
        <f t="shared" ca="1" si="344"/>
        <v>0</v>
      </c>
      <c r="AJ1781">
        <f t="shared" ca="1" si="345"/>
        <v>0</v>
      </c>
      <c r="AK1781">
        <f t="shared" ca="1" si="346"/>
        <v>0</v>
      </c>
      <c r="AL1781">
        <f t="shared" ca="1" si="347"/>
        <v>0</v>
      </c>
    </row>
    <row r="1782" spans="1:38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#N/A, OFFSET(data!$A$1, ROW()-1, AA$1-1))</f>
        <v>0</v>
      </c>
      <c r="AB1782">
        <f t="shared" ca="1" si="338"/>
        <v>0</v>
      </c>
      <c r="AC1782" t="e">
        <f t="shared" ca="1" si="339"/>
        <v>#VALUE!</v>
      </c>
      <c r="AD1782" t="str">
        <f t="shared" ca="1" si="340"/>
        <v>0</v>
      </c>
      <c r="AE1782" t="str">
        <f t="shared" ca="1" si="341"/>
        <v/>
      </c>
      <c r="AF1782" s="6">
        <f t="shared" ca="1" si="342"/>
        <v>0</v>
      </c>
      <c r="AG1782">
        <f t="shared" ca="1" si="348"/>
        <v>0</v>
      </c>
      <c r="AH1782">
        <f t="shared" ca="1" si="343"/>
        <v>0</v>
      </c>
      <c r="AI1782">
        <f t="shared" ca="1" si="344"/>
        <v>0</v>
      </c>
      <c r="AJ1782">
        <f t="shared" ca="1" si="345"/>
        <v>0</v>
      </c>
      <c r="AK1782">
        <f t="shared" ca="1" si="346"/>
        <v>0</v>
      </c>
      <c r="AL1782">
        <f t="shared" ca="1" si="347"/>
        <v>0</v>
      </c>
    </row>
    <row r="1783" spans="1:38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#N/A, OFFSET(data!$A$1, ROW()-1, AA$1-1))</f>
        <v>0</v>
      </c>
      <c r="AB1783">
        <f t="shared" ca="1" si="338"/>
        <v>0</v>
      </c>
      <c r="AC1783" t="e">
        <f t="shared" ca="1" si="339"/>
        <v>#VALUE!</v>
      </c>
      <c r="AD1783" t="str">
        <f t="shared" ca="1" si="340"/>
        <v>0</v>
      </c>
      <c r="AE1783" t="str">
        <f t="shared" ca="1" si="341"/>
        <v/>
      </c>
      <c r="AF1783" s="6">
        <f t="shared" ca="1" si="342"/>
        <v>0</v>
      </c>
      <c r="AG1783">
        <f t="shared" ca="1" si="348"/>
        <v>0</v>
      </c>
      <c r="AH1783">
        <f t="shared" ca="1" si="343"/>
        <v>0</v>
      </c>
      <c r="AI1783">
        <f t="shared" ca="1" si="344"/>
        <v>0</v>
      </c>
      <c r="AJ1783">
        <f t="shared" ca="1" si="345"/>
        <v>0</v>
      </c>
      <c r="AK1783">
        <f t="shared" ca="1" si="346"/>
        <v>0</v>
      </c>
      <c r="AL1783">
        <f t="shared" ca="1" si="347"/>
        <v>0</v>
      </c>
    </row>
    <row r="1784" spans="1:38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#N/A, OFFSET(data!$A$1, ROW()-1, AA$1-1))</f>
        <v>0</v>
      </c>
      <c r="AB1784">
        <f t="shared" ca="1" si="338"/>
        <v>0</v>
      </c>
      <c r="AC1784" t="e">
        <f t="shared" ca="1" si="339"/>
        <v>#VALUE!</v>
      </c>
      <c r="AD1784" t="str">
        <f t="shared" ca="1" si="340"/>
        <v>0</v>
      </c>
      <c r="AE1784" t="str">
        <f t="shared" ca="1" si="341"/>
        <v/>
      </c>
      <c r="AF1784" s="6">
        <f t="shared" ca="1" si="342"/>
        <v>0</v>
      </c>
      <c r="AG1784">
        <f t="shared" ca="1" si="348"/>
        <v>0</v>
      </c>
      <c r="AH1784">
        <f t="shared" ca="1" si="343"/>
        <v>0</v>
      </c>
      <c r="AI1784">
        <f t="shared" ca="1" si="344"/>
        <v>0</v>
      </c>
      <c r="AJ1784">
        <f t="shared" ca="1" si="345"/>
        <v>0</v>
      </c>
      <c r="AK1784">
        <f t="shared" ca="1" si="346"/>
        <v>0</v>
      </c>
      <c r="AL1784">
        <f t="shared" ca="1" si="347"/>
        <v>0</v>
      </c>
    </row>
    <row r="1785" spans="1:38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#N/A, OFFSET(data!$A$1, ROW()-1, AA$1-1))</f>
        <v>0</v>
      </c>
      <c r="AB1785">
        <f t="shared" ca="1" si="338"/>
        <v>0</v>
      </c>
      <c r="AC1785" t="e">
        <f t="shared" ca="1" si="339"/>
        <v>#VALUE!</v>
      </c>
      <c r="AD1785" t="str">
        <f t="shared" ca="1" si="340"/>
        <v>0</v>
      </c>
      <c r="AE1785" t="str">
        <f t="shared" ca="1" si="341"/>
        <v/>
      </c>
      <c r="AF1785" s="6">
        <f t="shared" ca="1" si="342"/>
        <v>0</v>
      </c>
      <c r="AG1785">
        <f t="shared" ca="1" si="348"/>
        <v>0</v>
      </c>
      <c r="AH1785">
        <f t="shared" ca="1" si="343"/>
        <v>0</v>
      </c>
      <c r="AI1785">
        <f t="shared" ca="1" si="344"/>
        <v>0</v>
      </c>
      <c r="AJ1785">
        <f t="shared" ca="1" si="345"/>
        <v>0</v>
      </c>
      <c r="AK1785">
        <f t="shared" ca="1" si="346"/>
        <v>0</v>
      </c>
      <c r="AL1785">
        <f t="shared" ca="1" si="347"/>
        <v>0</v>
      </c>
    </row>
    <row r="1786" spans="1:38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#N/A, OFFSET(data!$A$1, ROW()-1, AA$1-1))</f>
        <v>0</v>
      </c>
      <c r="AB1786">
        <f t="shared" ca="1" si="338"/>
        <v>0</v>
      </c>
      <c r="AC1786" t="e">
        <f t="shared" ca="1" si="339"/>
        <v>#VALUE!</v>
      </c>
      <c r="AD1786" t="str">
        <f t="shared" ca="1" si="340"/>
        <v>0</v>
      </c>
      <c r="AE1786" t="str">
        <f t="shared" ca="1" si="341"/>
        <v/>
      </c>
      <c r="AF1786" s="6">
        <f t="shared" ca="1" si="342"/>
        <v>0</v>
      </c>
      <c r="AG1786">
        <f t="shared" ca="1" si="348"/>
        <v>0</v>
      </c>
      <c r="AH1786">
        <f t="shared" ca="1" si="343"/>
        <v>0</v>
      </c>
      <c r="AI1786">
        <f t="shared" ca="1" si="344"/>
        <v>0</v>
      </c>
      <c r="AJ1786">
        <f t="shared" ca="1" si="345"/>
        <v>0</v>
      </c>
      <c r="AK1786">
        <f t="shared" ca="1" si="346"/>
        <v>0</v>
      </c>
      <c r="AL1786">
        <f t="shared" ca="1" si="347"/>
        <v>0</v>
      </c>
    </row>
    <row r="1787" spans="1:38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#N/A, OFFSET(data!$A$1, ROW()-1, AA$1-1))</f>
        <v>0</v>
      </c>
      <c r="AB1787">
        <f t="shared" ca="1" si="338"/>
        <v>0</v>
      </c>
      <c r="AC1787" t="e">
        <f t="shared" ca="1" si="339"/>
        <v>#VALUE!</v>
      </c>
      <c r="AD1787" t="str">
        <f t="shared" ca="1" si="340"/>
        <v>0</v>
      </c>
      <c r="AE1787" t="str">
        <f t="shared" ca="1" si="341"/>
        <v/>
      </c>
      <c r="AF1787" s="6">
        <f t="shared" ca="1" si="342"/>
        <v>0</v>
      </c>
      <c r="AG1787">
        <f t="shared" ca="1" si="348"/>
        <v>0</v>
      </c>
      <c r="AH1787">
        <f t="shared" ca="1" si="343"/>
        <v>0</v>
      </c>
      <c r="AI1787">
        <f t="shared" ca="1" si="344"/>
        <v>0</v>
      </c>
      <c r="AJ1787">
        <f t="shared" ca="1" si="345"/>
        <v>0</v>
      </c>
      <c r="AK1787">
        <f t="shared" ca="1" si="346"/>
        <v>0</v>
      </c>
      <c r="AL1787">
        <f t="shared" ca="1" si="347"/>
        <v>0</v>
      </c>
    </row>
    <row r="1788" spans="1:38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#N/A, OFFSET(data!$A$1, ROW()-1, AA$1-1))</f>
        <v>0</v>
      </c>
      <c r="AB1788">
        <f t="shared" ca="1" si="338"/>
        <v>0</v>
      </c>
      <c r="AC1788" t="e">
        <f t="shared" ca="1" si="339"/>
        <v>#VALUE!</v>
      </c>
      <c r="AD1788" t="str">
        <f t="shared" ca="1" si="340"/>
        <v>0</v>
      </c>
      <c r="AE1788" t="str">
        <f t="shared" ca="1" si="341"/>
        <v/>
      </c>
      <c r="AF1788" s="6">
        <f t="shared" ca="1" si="342"/>
        <v>0</v>
      </c>
      <c r="AG1788">
        <f t="shared" ca="1" si="348"/>
        <v>0</v>
      </c>
      <c r="AH1788">
        <f t="shared" ca="1" si="343"/>
        <v>0</v>
      </c>
      <c r="AI1788">
        <f t="shared" ca="1" si="344"/>
        <v>0</v>
      </c>
      <c r="AJ1788">
        <f t="shared" ca="1" si="345"/>
        <v>0</v>
      </c>
      <c r="AK1788">
        <f t="shared" ca="1" si="346"/>
        <v>0</v>
      </c>
      <c r="AL1788">
        <f t="shared" ca="1" si="347"/>
        <v>0</v>
      </c>
    </row>
    <row r="1789" spans="1:38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#N/A, OFFSET(data!$A$1, ROW()-1, AA$1-1))</f>
        <v>0</v>
      </c>
      <c r="AB1789">
        <f t="shared" ca="1" si="338"/>
        <v>0</v>
      </c>
      <c r="AC1789" t="e">
        <f t="shared" ca="1" si="339"/>
        <v>#VALUE!</v>
      </c>
      <c r="AD1789" t="str">
        <f t="shared" ca="1" si="340"/>
        <v>0</v>
      </c>
      <c r="AE1789" t="str">
        <f t="shared" ca="1" si="341"/>
        <v/>
      </c>
      <c r="AF1789" s="6">
        <f t="shared" ca="1" si="342"/>
        <v>0</v>
      </c>
      <c r="AG1789">
        <f t="shared" ca="1" si="348"/>
        <v>0</v>
      </c>
      <c r="AH1789">
        <f t="shared" ca="1" si="343"/>
        <v>0</v>
      </c>
      <c r="AI1789">
        <f t="shared" ca="1" si="344"/>
        <v>0</v>
      </c>
      <c r="AJ1789">
        <f t="shared" ca="1" si="345"/>
        <v>0</v>
      </c>
      <c r="AK1789">
        <f t="shared" ca="1" si="346"/>
        <v>0</v>
      </c>
      <c r="AL1789">
        <f t="shared" ca="1" si="347"/>
        <v>0</v>
      </c>
    </row>
    <row r="1790" spans="1:38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#N/A, OFFSET(data!$A$1, ROW()-1, AA$1-1))</f>
        <v>0</v>
      </c>
      <c r="AB1790">
        <f t="shared" ca="1" si="338"/>
        <v>0</v>
      </c>
      <c r="AC1790" t="e">
        <f t="shared" ca="1" si="339"/>
        <v>#VALUE!</v>
      </c>
      <c r="AD1790" t="str">
        <f t="shared" ca="1" si="340"/>
        <v>0</v>
      </c>
      <c r="AE1790" t="str">
        <f t="shared" ca="1" si="341"/>
        <v/>
      </c>
      <c r="AF1790" s="6">
        <f t="shared" ca="1" si="342"/>
        <v>0</v>
      </c>
      <c r="AG1790">
        <f t="shared" ca="1" si="348"/>
        <v>0</v>
      </c>
      <c r="AH1790">
        <f t="shared" ca="1" si="343"/>
        <v>0</v>
      </c>
      <c r="AI1790">
        <f t="shared" ca="1" si="344"/>
        <v>0</v>
      </c>
      <c r="AJ1790">
        <f t="shared" ca="1" si="345"/>
        <v>0</v>
      </c>
      <c r="AK1790">
        <f t="shared" ca="1" si="346"/>
        <v>0</v>
      </c>
      <c r="AL1790">
        <f t="shared" ca="1" si="347"/>
        <v>0</v>
      </c>
    </row>
    <row r="1791" spans="1:38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#N/A, OFFSET(data!$A$1, ROW()-1, AA$1-1))</f>
        <v>0</v>
      </c>
      <c r="AB1791">
        <f t="shared" ca="1" si="338"/>
        <v>0</v>
      </c>
      <c r="AC1791" t="e">
        <f t="shared" ca="1" si="339"/>
        <v>#VALUE!</v>
      </c>
      <c r="AD1791" t="str">
        <f t="shared" ca="1" si="340"/>
        <v>0</v>
      </c>
      <c r="AE1791" t="str">
        <f t="shared" ca="1" si="341"/>
        <v/>
      </c>
      <c r="AF1791" s="6">
        <f t="shared" ca="1" si="342"/>
        <v>0</v>
      </c>
      <c r="AG1791">
        <f t="shared" ca="1" si="348"/>
        <v>0</v>
      </c>
      <c r="AH1791">
        <f t="shared" ca="1" si="343"/>
        <v>0</v>
      </c>
      <c r="AI1791">
        <f t="shared" ca="1" si="344"/>
        <v>0</v>
      </c>
      <c r="AJ1791">
        <f t="shared" ca="1" si="345"/>
        <v>0</v>
      </c>
      <c r="AK1791">
        <f t="shared" ca="1" si="346"/>
        <v>0</v>
      </c>
      <c r="AL1791">
        <f t="shared" ca="1" si="347"/>
        <v>0</v>
      </c>
    </row>
    <row r="1792" spans="1:38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#N/A, OFFSET(data!$A$1, ROW()-1, AA$1-1))</f>
        <v>0</v>
      </c>
      <c r="AB1792">
        <f t="shared" ca="1" si="338"/>
        <v>0</v>
      </c>
      <c r="AC1792" t="e">
        <f t="shared" ca="1" si="339"/>
        <v>#VALUE!</v>
      </c>
      <c r="AD1792" t="str">
        <f t="shared" ca="1" si="340"/>
        <v>0</v>
      </c>
      <c r="AE1792" t="str">
        <f t="shared" ca="1" si="341"/>
        <v/>
      </c>
      <c r="AF1792" s="6">
        <f t="shared" ca="1" si="342"/>
        <v>0</v>
      </c>
      <c r="AG1792">
        <f t="shared" ca="1" si="348"/>
        <v>0</v>
      </c>
      <c r="AH1792">
        <f t="shared" ca="1" si="343"/>
        <v>0</v>
      </c>
      <c r="AI1792">
        <f t="shared" ca="1" si="344"/>
        <v>0</v>
      </c>
      <c r="AJ1792">
        <f t="shared" ca="1" si="345"/>
        <v>0</v>
      </c>
      <c r="AK1792">
        <f t="shared" ca="1" si="346"/>
        <v>0</v>
      </c>
      <c r="AL1792">
        <f t="shared" ca="1" si="347"/>
        <v>0</v>
      </c>
    </row>
    <row r="1793" spans="1:38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#N/A, OFFSET(data!$A$1, ROW()-1, AA$1-1))</f>
        <v>0</v>
      </c>
      <c r="AB1793">
        <f t="shared" ca="1" si="338"/>
        <v>0</v>
      </c>
      <c r="AC1793" t="e">
        <f t="shared" ca="1" si="339"/>
        <v>#VALUE!</v>
      </c>
      <c r="AD1793" t="str">
        <f t="shared" ca="1" si="340"/>
        <v>0</v>
      </c>
      <c r="AE1793" t="str">
        <f t="shared" ca="1" si="341"/>
        <v/>
      </c>
      <c r="AF1793" s="6">
        <f t="shared" ca="1" si="342"/>
        <v>0</v>
      </c>
      <c r="AG1793">
        <f t="shared" ca="1" si="348"/>
        <v>0</v>
      </c>
      <c r="AH1793">
        <f t="shared" ca="1" si="343"/>
        <v>0</v>
      </c>
      <c r="AI1793">
        <f t="shared" ca="1" si="344"/>
        <v>0</v>
      </c>
      <c r="AJ1793">
        <f t="shared" ca="1" si="345"/>
        <v>0</v>
      </c>
      <c r="AK1793">
        <f t="shared" ca="1" si="346"/>
        <v>0</v>
      </c>
      <c r="AL1793">
        <f t="shared" ca="1" si="347"/>
        <v>0</v>
      </c>
    </row>
    <row r="1794" spans="1:38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#N/A, OFFSET(data!$A$1, ROW()-1, AA$1-1))</f>
        <v>0</v>
      </c>
      <c r="AB1794">
        <f t="shared" ca="1" si="338"/>
        <v>0</v>
      </c>
      <c r="AC1794" t="e">
        <f t="shared" ca="1" si="339"/>
        <v>#VALUE!</v>
      </c>
      <c r="AD1794" t="str">
        <f t="shared" ca="1" si="340"/>
        <v>0</v>
      </c>
      <c r="AE1794" t="str">
        <f t="shared" ca="1" si="341"/>
        <v/>
      </c>
      <c r="AF1794" s="6">
        <f t="shared" ca="1" si="342"/>
        <v>0</v>
      </c>
      <c r="AG1794">
        <f t="shared" ca="1" si="348"/>
        <v>0</v>
      </c>
      <c r="AH1794">
        <f t="shared" ca="1" si="343"/>
        <v>0</v>
      </c>
      <c r="AI1794">
        <f t="shared" ca="1" si="344"/>
        <v>0</v>
      </c>
      <c r="AJ1794">
        <f t="shared" ca="1" si="345"/>
        <v>0</v>
      </c>
      <c r="AK1794">
        <f t="shared" ca="1" si="346"/>
        <v>0</v>
      </c>
      <c r="AL1794">
        <f t="shared" ca="1" si="347"/>
        <v>0</v>
      </c>
    </row>
    <row r="1795" spans="1:38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#N/A, OFFSET(data!$A$1, ROW()-1, AA$1-1))</f>
        <v>0</v>
      </c>
      <c r="AB1795">
        <f t="shared" ref="AB1795:AB1858" ca="1" si="349">VALUE(LEFT(C1795, 4))</f>
        <v>0</v>
      </c>
      <c r="AC1795" t="e">
        <f t="shared" ref="AC1795:AC1858" ca="1" si="350">VALUE(MID(C1795, 6, 2))</f>
        <v>#VALUE!</v>
      </c>
      <c r="AD1795" t="str">
        <f t="shared" ref="AD1795:AD1858" ca="1" si="351">SUBSTITUTE(MID(C1795,6,6)&amp;LEFT(C1795,4), "-", "/")</f>
        <v>0</v>
      </c>
      <c r="AE1795" t="str">
        <f t="shared" ref="AE1795:AE1858" ca="1" si="352">IF(RIGHT(C1795, 5)="12:00", AD1795, "")</f>
        <v/>
      </c>
      <c r="AF1795" s="6">
        <f t="shared" ref="AF1795:AF1858" ca="1" si="353">Z1795/1000</f>
        <v>0</v>
      </c>
      <c r="AG1795">
        <f t="shared" ca="1" si="348"/>
        <v>0</v>
      </c>
      <c r="AH1795">
        <f t="shared" ca="1" si="343"/>
        <v>0</v>
      </c>
      <c r="AI1795">
        <f t="shared" ca="1" si="344"/>
        <v>0</v>
      </c>
      <c r="AJ1795">
        <f t="shared" ca="1" si="345"/>
        <v>0</v>
      </c>
      <c r="AK1795">
        <f t="shared" ca="1" si="346"/>
        <v>0</v>
      </c>
      <c r="AL1795">
        <f t="shared" ca="1" si="347"/>
        <v>0</v>
      </c>
    </row>
    <row r="1796" spans="1:38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#N/A, OFFSET(data!$A$1, ROW()-1, AA$1-1))</f>
        <v>0</v>
      </c>
      <c r="AB1796">
        <f t="shared" ca="1" si="349"/>
        <v>0</v>
      </c>
      <c r="AC1796" t="e">
        <f t="shared" ca="1" si="350"/>
        <v>#VALUE!</v>
      </c>
      <c r="AD1796" t="str">
        <f t="shared" ca="1" si="351"/>
        <v>0</v>
      </c>
      <c r="AE1796" t="str">
        <f t="shared" ca="1" si="352"/>
        <v/>
      </c>
      <c r="AF1796" s="6">
        <f t="shared" ca="1" si="353"/>
        <v>0</v>
      </c>
      <c r="AG1796">
        <f t="shared" ca="1" si="348"/>
        <v>0</v>
      </c>
      <c r="AH1796">
        <f t="shared" ref="AH1796:AH1859" ca="1" si="354">MAX(S1796,Y1796)</f>
        <v>0</v>
      </c>
      <c r="AI1796">
        <f t="shared" ref="AI1796:AI1859" ca="1" si="355">MAX(R1796,V1796)</f>
        <v>0</v>
      </c>
      <c r="AJ1796">
        <f t="shared" ref="AJ1796:AJ1859" ca="1" si="356">K1796+N1796</f>
        <v>0</v>
      </c>
      <c r="AK1796">
        <f t="shared" ref="AK1796:AK1859" ca="1" si="357">L1796+O1796</f>
        <v>0</v>
      </c>
      <c r="AL1796">
        <f t="shared" ref="AL1796:AL1859" ca="1" si="358">M1796+P1796</f>
        <v>0</v>
      </c>
    </row>
    <row r="1797" spans="1:38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#N/A, OFFSET(data!$A$1, ROW()-1, AA$1-1))</f>
        <v>0</v>
      </c>
      <c r="AB1797">
        <f t="shared" ca="1" si="349"/>
        <v>0</v>
      </c>
      <c r="AC1797" t="e">
        <f t="shared" ca="1" si="350"/>
        <v>#VALUE!</v>
      </c>
      <c r="AD1797" t="str">
        <f t="shared" ca="1" si="351"/>
        <v>0</v>
      </c>
      <c r="AE1797" t="str">
        <f t="shared" ca="1" si="352"/>
        <v/>
      </c>
      <c r="AF1797" s="6">
        <f t="shared" ca="1" si="353"/>
        <v>0</v>
      </c>
      <c r="AG1797">
        <f t="shared" ca="1" si="348"/>
        <v>0</v>
      </c>
      <c r="AH1797">
        <f t="shared" ca="1" si="354"/>
        <v>0</v>
      </c>
      <c r="AI1797">
        <f t="shared" ca="1" si="355"/>
        <v>0</v>
      </c>
      <c r="AJ1797">
        <f t="shared" ca="1" si="356"/>
        <v>0</v>
      </c>
      <c r="AK1797">
        <f t="shared" ca="1" si="357"/>
        <v>0</v>
      </c>
      <c r="AL1797">
        <f t="shared" ca="1" si="358"/>
        <v>0</v>
      </c>
    </row>
    <row r="1798" spans="1:38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#N/A, OFFSET(data!$A$1, ROW()-1, AA$1-1))</f>
        <v>0</v>
      </c>
      <c r="AB1798">
        <f t="shared" ca="1" si="349"/>
        <v>0</v>
      </c>
      <c r="AC1798" t="e">
        <f t="shared" ca="1" si="350"/>
        <v>#VALUE!</v>
      </c>
      <c r="AD1798" t="str">
        <f t="shared" ca="1" si="351"/>
        <v>0</v>
      </c>
      <c r="AE1798" t="str">
        <f t="shared" ca="1" si="352"/>
        <v/>
      </c>
      <c r="AF1798" s="6">
        <f t="shared" ca="1" si="353"/>
        <v>0</v>
      </c>
      <c r="AG1798">
        <f t="shared" ca="1" si="348"/>
        <v>0</v>
      </c>
      <c r="AH1798">
        <f t="shared" ca="1" si="354"/>
        <v>0</v>
      </c>
      <c r="AI1798">
        <f t="shared" ca="1" si="355"/>
        <v>0</v>
      </c>
      <c r="AJ1798">
        <f t="shared" ca="1" si="356"/>
        <v>0</v>
      </c>
      <c r="AK1798">
        <f t="shared" ca="1" si="357"/>
        <v>0</v>
      </c>
      <c r="AL1798">
        <f t="shared" ca="1" si="358"/>
        <v>0</v>
      </c>
    </row>
    <row r="1799" spans="1:38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#N/A, OFFSET(data!$A$1, ROW()-1, AA$1-1))</f>
        <v>0</v>
      </c>
      <c r="AB1799">
        <f t="shared" ca="1" si="349"/>
        <v>0</v>
      </c>
      <c r="AC1799" t="e">
        <f t="shared" ca="1" si="350"/>
        <v>#VALUE!</v>
      </c>
      <c r="AD1799" t="str">
        <f t="shared" ca="1" si="351"/>
        <v>0</v>
      </c>
      <c r="AE1799" t="str">
        <f t="shared" ca="1" si="352"/>
        <v/>
      </c>
      <c r="AF1799" s="6">
        <f t="shared" ca="1" si="353"/>
        <v>0</v>
      </c>
      <c r="AG1799">
        <f t="shared" ca="1" si="348"/>
        <v>0</v>
      </c>
      <c r="AH1799">
        <f t="shared" ca="1" si="354"/>
        <v>0</v>
      </c>
      <c r="AI1799">
        <f t="shared" ca="1" si="355"/>
        <v>0</v>
      </c>
      <c r="AJ1799">
        <f t="shared" ca="1" si="356"/>
        <v>0</v>
      </c>
      <c r="AK1799">
        <f t="shared" ca="1" si="357"/>
        <v>0</v>
      </c>
      <c r="AL1799">
        <f t="shared" ca="1" si="358"/>
        <v>0</v>
      </c>
    </row>
    <row r="1800" spans="1:38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#N/A, OFFSET(data!$A$1, ROW()-1, AA$1-1))</f>
        <v>0</v>
      </c>
      <c r="AB1800">
        <f t="shared" ca="1" si="349"/>
        <v>0</v>
      </c>
      <c r="AC1800" t="e">
        <f t="shared" ca="1" si="350"/>
        <v>#VALUE!</v>
      </c>
      <c r="AD1800" t="str">
        <f t="shared" ca="1" si="351"/>
        <v>0</v>
      </c>
      <c r="AE1800" t="str">
        <f t="shared" ca="1" si="352"/>
        <v/>
      </c>
      <c r="AF1800" s="6">
        <f t="shared" ca="1" si="353"/>
        <v>0</v>
      </c>
      <c r="AG1800">
        <f t="shared" ca="1" si="348"/>
        <v>0</v>
      </c>
      <c r="AH1800">
        <f t="shared" ca="1" si="354"/>
        <v>0</v>
      </c>
      <c r="AI1800">
        <f t="shared" ca="1" si="355"/>
        <v>0</v>
      </c>
      <c r="AJ1800">
        <f t="shared" ca="1" si="356"/>
        <v>0</v>
      </c>
      <c r="AK1800">
        <f t="shared" ca="1" si="357"/>
        <v>0</v>
      </c>
      <c r="AL1800">
        <f t="shared" ca="1" si="358"/>
        <v>0</v>
      </c>
    </row>
    <row r="1801" spans="1:38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#N/A, OFFSET(data!$A$1, ROW()-1, AA$1-1))</f>
        <v>0</v>
      </c>
      <c r="AB1801">
        <f t="shared" ca="1" si="349"/>
        <v>0</v>
      </c>
      <c r="AC1801" t="e">
        <f t="shared" ca="1" si="350"/>
        <v>#VALUE!</v>
      </c>
      <c r="AD1801" t="str">
        <f t="shared" ca="1" si="351"/>
        <v>0</v>
      </c>
      <c r="AE1801" t="str">
        <f t="shared" ca="1" si="352"/>
        <v/>
      </c>
      <c r="AF1801" s="6">
        <f t="shared" ca="1" si="353"/>
        <v>0</v>
      </c>
      <c r="AG1801">
        <f t="shared" ca="1" si="348"/>
        <v>0</v>
      </c>
      <c r="AH1801">
        <f t="shared" ca="1" si="354"/>
        <v>0</v>
      </c>
      <c r="AI1801">
        <f t="shared" ca="1" si="355"/>
        <v>0</v>
      </c>
      <c r="AJ1801">
        <f t="shared" ca="1" si="356"/>
        <v>0</v>
      </c>
      <c r="AK1801">
        <f t="shared" ca="1" si="357"/>
        <v>0</v>
      </c>
      <c r="AL1801">
        <f t="shared" ca="1" si="358"/>
        <v>0</v>
      </c>
    </row>
    <row r="1802" spans="1:38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#N/A, OFFSET(data!$A$1, ROW()-1, AA$1-1))</f>
        <v>0</v>
      </c>
      <c r="AB1802">
        <f t="shared" ca="1" si="349"/>
        <v>0</v>
      </c>
      <c r="AC1802" t="e">
        <f t="shared" ca="1" si="350"/>
        <v>#VALUE!</v>
      </c>
      <c r="AD1802" t="str">
        <f t="shared" ca="1" si="351"/>
        <v>0</v>
      </c>
      <c r="AE1802" t="str">
        <f t="shared" ca="1" si="352"/>
        <v/>
      </c>
      <c r="AF1802" s="6">
        <f t="shared" ca="1" si="353"/>
        <v>0</v>
      </c>
      <c r="AG1802">
        <f t="shared" ca="1" si="348"/>
        <v>0</v>
      </c>
      <c r="AH1802">
        <f t="shared" ca="1" si="354"/>
        <v>0</v>
      </c>
      <c r="AI1802">
        <f t="shared" ca="1" si="355"/>
        <v>0</v>
      </c>
      <c r="AJ1802">
        <f t="shared" ca="1" si="356"/>
        <v>0</v>
      </c>
      <c r="AK1802">
        <f t="shared" ca="1" si="357"/>
        <v>0</v>
      </c>
      <c r="AL1802">
        <f t="shared" ca="1" si="358"/>
        <v>0</v>
      </c>
    </row>
    <row r="1803" spans="1:38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#N/A, OFFSET(data!$A$1, ROW()-1, AA$1-1))</f>
        <v>0</v>
      </c>
      <c r="AB1803">
        <f t="shared" ca="1" si="349"/>
        <v>0</v>
      </c>
      <c r="AC1803" t="e">
        <f t="shared" ca="1" si="350"/>
        <v>#VALUE!</v>
      </c>
      <c r="AD1803" t="str">
        <f t="shared" ca="1" si="351"/>
        <v>0</v>
      </c>
      <c r="AE1803" t="str">
        <f t="shared" ca="1" si="352"/>
        <v/>
      </c>
      <c r="AF1803" s="6">
        <f t="shared" ca="1" si="353"/>
        <v>0</v>
      </c>
      <c r="AG1803">
        <f t="shared" ca="1" si="348"/>
        <v>0</v>
      </c>
      <c r="AH1803">
        <f t="shared" ca="1" si="354"/>
        <v>0</v>
      </c>
      <c r="AI1803">
        <f t="shared" ca="1" si="355"/>
        <v>0</v>
      </c>
      <c r="AJ1803">
        <f t="shared" ca="1" si="356"/>
        <v>0</v>
      </c>
      <c r="AK1803">
        <f t="shared" ca="1" si="357"/>
        <v>0</v>
      </c>
      <c r="AL1803">
        <f t="shared" ca="1" si="358"/>
        <v>0</v>
      </c>
    </row>
    <row r="1804" spans="1:38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#N/A, OFFSET(data!$A$1, ROW()-1, AA$1-1))</f>
        <v>0</v>
      </c>
      <c r="AB1804">
        <f t="shared" ca="1" si="349"/>
        <v>0</v>
      </c>
      <c r="AC1804" t="e">
        <f t="shared" ca="1" si="350"/>
        <v>#VALUE!</v>
      </c>
      <c r="AD1804" t="str">
        <f t="shared" ca="1" si="351"/>
        <v>0</v>
      </c>
      <c r="AE1804" t="str">
        <f t="shared" ca="1" si="352"/>
        <v/>
      </c>
      <c r="AF1804" s="6">
        <f t="shared" ca="1" si="353"/>
        <v>0</v>
      </c>
      <c r="AG1804">
        <f t="shared" ca="1" si="348"/>
        <v>0</v>
      </c>
      <c r="AH1804">
        <f t="shared" ca="1" si="354"/>
        <v>0</v>
      </c>
      <c r="AI1804">
        <f t="shared" ca="1" si="355"/>
        <v>0</v>
      </c>
      <c r="AJ1804">
        <f t="shared" ca="1" si="356"/>
        <v>0</v>
      </c>
      <c r="AK1804">
        <f t="shared" ca="1" si="357"/>
        <v>0</v>
      </c>
      <c r="AL1804">
        <f t="shared" ca="1" si="358"/>
        <v>0</v>
      </c>
    </row>
    <row r="1805" spans="1:38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#N/A, OFFSET(data!$A$1, ROW()-1, AA$1-1))</f>
        <v>0</v>
      </c>
      <c r="AB1805">
        <f t="shared" ca="1" si="349"/>
        <v>0</v>
      </c>
      <c r="AC1805" t="e">
        <f t="shared" ca="1" si="350"/>
        <v>#VALUE!</v>
      </c>
      <c r="AD1805" t="str">
        <f t="shared" ca="1" si="351"/>
        <v>0</v>
      </c>
      <c r="AE1805" t="str">
        <f t="shared" ca="1" si="352"/>
        <v/>
      </c>
      <c r="AF1805" s="6">
        <f t="shared" ca="1" si="353"/>
        <v>0</v>
      </c>
      <c r="AG1805">
        <f t="shared" ca="1" si="348"/>
        <v>0</v>
      </c>
      <c r="AH1805">
        <f t="shared" ca="1" si="354"/>
        <v>0</v>
      </c>
      <c r="AI1805">
        <f t="shared" ca="1" si="355"/>
        <v>0</v>
      </c>
      <c r="AJ1805">
        <f t="shared" ca="1" si="356"/>
        <v>0</v>
      </c>
      <c r="AK1805">
        <f t="shared" ca="1" si="357"/>
        <v>0</v>
      </c>
      <c r="AL1805">
        <f t="shared" ca="1" si="358"/>
        <v>0</v>
      </c>
    </row>
    <row r="1806" spans="1:38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#N/A, OFFSET(data!$A$1, ROW()-1, AA$1-1))</f>
        <v>0</v>
      </c>
      <c r="AB1806">
        <f t="shared" ca="1" si="349"/>
        <v>0</v>
      </c>
      <c r="AC1806" t="e">
        <f t="shared" ca="1" si="350"/>
        <v>#VALUE!</v>
      </c>
      <c r="AD1806" t="str">
        <f t="shared" ca="1" si="351"/>
        <v>0</v>
      </c>
      <c r="AE1806" t="str">
        <f t="shared" ca="1" si="352"/>
        <v/>
      </c>
      <c r="AF1806" s="6">
        <f t="shared" ca="1" si="353"/>
        <v>0</v>
      </c>
      <c r="AG1806">
        <f t="shared" ca="1" si="348"/>
        <v>0</v>
      </c>
      <c r="AH1806">
        <f t="shared" ca="1" si="354"/>
        <v>0</v>
      </c>
      <c r="AI1806">
        <f t="shared" ca="1" si="355"/>
        <v>0</v>
      </c>
      <c r="AJ1806">
        <f t="shared" ca="1" si="356"/>
        <v>0</v>
      </c>
      <c r="AK1806">
        <f t="shared" ca="1" si="357"/>
        <v>0</v>
      </c>
      <c r="AL1806">
        <f t="shared" ca="1" si="358"/>
        <v>0</v>
      </c>
    </row>
    <row r="1807" spans="1:38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#N/A, OFFSET(data!$A$1, ROW()-1, AA$1-1))</f>
        <v>0</v>
      </c>
      <c r="AB1807">
        <f t="shared" ca="1" si="349"/>
        <v>0</v>
      </c>
      <c r="AC1807" t="e">
        <f t="shared" ca="1" si="350"/>
        <v>#VALUE!</v>
      </c>
      <c r="AD1807" t="str">
        <f t="shared" ca="1" si="351"/>
        <v>0</v>
      </c>
      <c r="AE1807" t="str">
        <f t="shared" ca="1" si="352"/>
        <v/>
      </c>
      <c r="AF1807" s="6">
        <f t="shared" ca="1" si="353"/>
        <v>0</v>
      </c>
      <c r="AG1807">
        <f t="shared" ca="1" si="348"/>
        <v>0</v>
      </c>
      <c r="AH1807">
        <f t="shared" ca="1" si="354"/>
        <v>0</v>
      </c>
      <c r="AI1807">
        <f t="shared" ca="1" si="355"/>
        <v>0</v>
      </c>
      <c r="AJ1807">
        <f t="shared" ca="1" si="356"/>
        <v>0</v>
      </c>
      <c r="AK1807">
        <f t="shared" ca="1" si="357"/>
        <v>0</v>
      </c>
      <c r="AL1807">
        <f t="shared" ca="1" si="358"/>
        <v>0</v>
      </c>
    </row>
    <row r="1808" spans="1:38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#N/A, OFFSET(data!$A$1, ROW()-1, AA$1-1))</f>
        <v>0</v>
      </c>
      <c r="AB1808">
        <f t="shared" ca="1" si="349"/>
        <v>0</v>
      </c>
      <c r="AC1808" t="e">
        <f t="shared" ca="1" si="350"/>
        <v>#VALUE!</v>
      </c>
      <c r="AD1808" t="str">
        <f t="shared" ca="1" si="351"/>
        <v>0</v>
      </c>
      <c r="AE1808" t="str">
        <f t="shared" ca="1" si="352"/>
        <v/>
      </c>
      <c r="AF1808" s="6">
        <f t="shared" ca="1" si="353"/>
        <v>0</v>
      </c>
      <c r="AG1808">
        <f t="shared" ca="1" si="348"/>
        <v>0</v>
      </c>
      <c r="AH1808">
        <f t="shared" ca="1" si="354"/>
        <v>0</v>
      </c>
      <c r="AI1808">
        <f t="shared" ca="1" si="355"/>
        <v>0</v>
      </c>
      <c r="AJ1808">
        <f t="shared" ca="1" si="356"/>
        <v>0</v>
      </c>
      <c r="AK1808">
        <f t="shared" ca="1" si="357"/>
        <v>0</v>
      </c>
      <c r="AL1808">
        <f t="shared" ca="1" si="358"/>
        <v>0</v>
      </c>
    </row>
    <row r="1809" spans="1:38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#N/A, OFFSET(data!$A$1, ROW()-1, AA$1-1))</f>
        <v>0</v>
      </c>
      <c r="AB1809">
        <f t="shared" ca="1" si="349"/>
        <v>0</v>
      </c>
      <c r="AC1809" t="e">
        <f t="shared" ca="1" si="350"/>
        <v>#VALUE!</v>
      </c>
      <c r="AD1809" t="str">
        <f t="shared" ca="1" si="351"/>
        <v>0</v>
      </c>
      <c r="AE1809" t="str">
        <f t="shared" ca="1" si="352"/>
        <v/>
      </c>
      <c r="AF1809" s="6">
        <f t="shared" ca="1" si="353"/>
        <v>0</v>
      </c>
      <c r="AG1809">
        <f t="shared" ca="1" si="348"/>
        <v>0</v>
      </c>
      <c r="AH1809">
        <f t="shared" ca="1" si="354"/>
        <v>0</v>
      </c>
      <c r="AI1809">
        <f t="shared" ca="1" si="355"/>
        <v>0</v>
      </c>
      <c r="AJ1809">
        <f t="shared" ca="1" si="356"/>
        <v>0</v>
      </c>
      <c r="AK1809">
        <f t="shared" ca="1" si="357"/>
        <v>0</v>
      </c>
      <c r="AL1809">
        <f t="shared" ca="1" si="358"/>
        <v>0</v>
      </c>
    </row>
    <row r="1810" spans="1:38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#N/A, OFFSET(data!$A$1, ROW()-1, AA$1-1))</f>
        <v>0</v>
      </c>
      <c r="AB1810">
        <f t="shared" ca="1" si="349"/>
        <v>0</v>
      </c>
      <c r="AC1810" t="e">
        <f t="shared" ca="1" si="350"/>
        <v>#VALUE!</v>
      </c>
      <c r="AD1810" t="str">
        <f t="shared" ca="1" si="351"/>
        <v>0</v>
      </c>
      <c r="AE1810" t="str">
        <f t="shared" ca="1" si="352"/>
        <v/>
      </c>
      <c r="AF1810" s="6">
        <f t="shared" ca="1" si="353"/>
        <v>0</v>
      </c>
      <c r="AG1810">
        <f t="shared" ca="1" si="348"/>
        <v>0</v>
      </c>
      <c r="AH1810">
        <f t="shared" ca="1" si="354"/>
        <v>0</v>
      </c>
      <c r="AI1810">
        <f t="shared" ca="1" si="355"/>
        <v>0</v>
      </c>
      <c r="AJ1810">
        <f t="shared" ca="1" si="356"/>
        <v>0</v>
      </c>
      <c r="AK1810">
        <f t="shared" ca="1" si="357"/>
        <v>0</v>
      </c>
      <c r="AL1810">
        <f t="shared" ca="1" si="358"/>
        <v>0</v>
      </c>
    </row>
    <row r="1811" spans="1:38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#N/A, OFFSET(data!$A$1, ROW()-1, AA$1-1))</f>
        <v>0</v>
      </c>
      <c r="AB1811">
        <f t="shared" ca="1" si="349"/>
        <v>0</v>
      </c>
      <c r="AC1811" t="e">
        <f t="shared" ca="1" si="350"/>
        <v>#VALUE!</v>
      </c>
      <c r="AD1811" t="str">
        <f t="shared" ca="1" si="351"/>
        <v>0</v>
      </c>
      <c r="AE1811" t="str">
        <f t="shared" ca="1" si="352"/>
        <v/>
      </c>
      <c r="AF1811" s="6">
        <f t="shared" ca="1" si="353"/>
        <v>0</v>
      </c>
      <c r="AG1811">
        <f t="shared" ca="1" si="348"/>
        <v>0</v>
      </c>
      <c r="AH1811">
        <f t="shared" ca="1" si="354"/>
        <v>0</v>
      </c>
      <c r="AI1811">
        <f t="shared" ca="1" si="355"/>
        <v>0</v>
      </c>
      <c r="AJ1811">
        <f t="shared" ca="1" si="356"/>
        <v>0</v>
      </c>
      <c r="AK1811">
        <f t="shared" ca="1" si="357"/>
        <v>0</v>
      </c>
      <c r="AL1811">
        <f t="shared" ca="1" si="358"/>
        <v>0</v>
      </c>
    </row>
    <row r="1812" spans="1:38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#N/A, OFFSET(data!$A$1, ROW()-1, AA$1-1))</f>
        <v>0</v>
      </c>
      <c r="AB1812">
        <f t="shared" ca="1" si="349"/>
        <v>0</v>
      </c>
      <c r="AC1812" t="e">
        <f t="shared" ca="1" si="350"/>
        <v>#VALUE!</v>
      </c>
      <c r="AD1812" t="str">
        <f t="shared" ca="1" si="351"/>
        <v>0</v>
      </c>
      <c r="AE1812" t="str">
        <f t="shared" ca="1" si="352"/>
        <v/>
      </c>
      <c r="AF1812" s="6">
        <f t="shared" ca="1" si="353"/>
        <v>0</v>
      </c>
      <c r="AG1812">
        <f t="shared" ca="1" si="348"/>
        <v>0</v>
      </c>
      <c r="AH1812">
        <f t="shared" ca="1" si="354"/>
        <v>0</v>
      </c>
      <c r="AI1812">
        <f t="shared" ca="1" si="355"/>
        <v>0</v>
      </c>
      <c r="AJ1812">
        <f t="shared" ca="1" si="356"/>
        <v>0</v>
      </c>
      <c r="AK1812">
        <f t="shared" ca="1" si="357"/>
        <v>0</v>
      </c>
      <c r="AL1812">
        <f t="shared" ca="1" si="358"/>
        <v>0</v>
      </c>
    </row>
    <row r="1813" spans="1:38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#N/A, OFFSET(data!$A$1, ROW()-1, AA$1-1))</f>
        <v>0</v>
      </c>
      <c r="AB1813">
        <f t="shared" ca="1" si="349"/>
        <v>0</v>
      </c>
      <c r="AC1813" t="e">
        <f t="shared" ca="1" si="350"/>
        <v>#VALUE!</v>
      </c>
      <c r="AD1813" t="str">
        <f t="shared" ca="1" si="351"/>
        <v>0</v>
      </c>
      <c r="AE1813" t="str">
        <f t="shared" ca="1" si="352"/>
        <v/>
      </c>
      <c r="AF1813" s="6">
        <f t="shared" ca="1" si="353"/>
        <v>0</v>
      </c>
      <c r="AG1813">
        <f t="shared" ca="1" si="348"/>
        <v>0</v>
      </c>
      <c r="AH1813">
        <f t="shared" ca="1" si="354"/>
        <v>0</v>
      </c>
      <c r="AI1813">
        <f t="shared" ca="1" si="355"/>
        <v>0</v>
      </c>
      <c r="AJ1813">
        <f t="shared" ca="1" si="356"/>
        <v>0</v>
      </c>
      <c r="AK1813">
        <f t="shared" ca="1" si="357"/>
        <v>0</v>
      </c>
      <c r="AL1813">
        <f t="shared" ca="1" si="358"/>
        <v>0</v>
      </c>
    </row>
    <row r="1814" spans="1:38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#N/A, OFFSET(data!$A$1, ROW()-1, AA$1-1))</f>
        <v>0</v>
      </c>
      <c r="AB1814">
        <f t="shared" ca="1" si="349"/>
        <v>0</v>
      </c>
      <c r="AC1814" t="e">
        <f t="shared" ca="1" si="350"/>
        <v>#VALUE!</v>
      </c>
      <c r="AD1814" t="str">
        <f t="shared" ca="1" si="351"/>
        <v>0</v>
      </c>
      <c r="AE1814" t="str">
        <f t="shared" ca="1" si="352"/>
        <v/>
      </c>
      <c r="AF1814" s="6">
        <f t="shared" ca="1" si="353"/>
        <v>0</v>
      </c>
      <c r="AG1814">
        <f t="shared" ca="1" si="348"/>
        <v>0</v>
      </c>
      <c r="AH1814">
        <f t="shared" ca="1" si="354"/>
        <v>0</v>
      </c>
      <c r="AI1814">
        <f t="shared" ca="1" si="355"/>
        <v>0</v>
      </c>
      <c r="AJ1814">
        <f t="shared" ca="1" si="356"/>
        <v>0</v>
      </c>
      <c r="AK1814">
        <f t="shared" ca="1" si="357"/>
        <v>0</v>
      </c>
      <c r="AL1814">
        <f t="shared" ca="1" si="358"/>
        <v>0</v>
      </c>
    </row>
    <row r="1815" spans="1:38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#N/A, OFFSET(data!$A$1, ROW()-1, AA$1-1))</f>
        <v>0</v>
      </c>
      <c r="AB1815">
        <f t="shared" ca="1" si="349"/>
        <v>0</v>
      </c>
      <c r="AC1815" t="e">
        <f t="shared" ca="1" si="350"/>
        <v>#VALUE!</v>
      </c>
      <c r="AD1815" t="str">
        <f t="shared" ca="1" si="351"/>
        <v>0</v>
      </c>
      <c r="AE1815" t="str">
        <f t="shared" ca="1" si="352"/>
        <v/>
      </c>
      <c r="AF1815" s="6">
        <f t="shared" ca="1" si="353"/>
        <v>0</v>
      </c>
      <c r="AG1815">
        <f t="shared" ca="1" si="348"/>
        <v>0</v>
      </c>
      <c r="AH1815">
        <f t="shared" ca="1" si="354"/>
        <v>0</v>
      </c>
      <c r="AI1815">
        <f t="shared" ca="1" si="355"/>
        <v>0</v>
      </c>
      <c r="AJ1815">
        <f t="shared" ca="1" si="356"/>
        <v>0</v>
      </c>
      <c r="AK1815">
        <f t="shared" ca="1" si="357"/>
        <v>0</v>
      </c>
      <c r="AL1815">
        <f t="shared" ca="1" si="358"/>
        <v>0</v>
      </c>
    </row>
    <row r="1816" spans="1:38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#N/A, OFFSET(data!$A$1, ROW()-1, AA$1-1))</f>
        <v>0</v>
      </c>
      <c r="AB1816">
        <f t="shared" ca="1" si="349"/>
        <v>0</v>
      </c>
      <c r="AC1816" t="e">
        <f t="shared" ca="1" si="350"/>
        <v>#VALUE!</v>
      </c>
      <c r="AD1816" t="str">
        <f t="shared" ca="1" si="351"/>
        <v>0</v>
      </c>
      <c r="AE1816" t="str">
        <f t="shared" ca="1" si="352"/>
        <v/>
      </c>
      <c r="AF1816" s="6">
        <f t="shared" ca="1" si="353"/>
        <v>0</v>
      </c>
      <c r="AG1816">
        <f t="shared" ca="1" si="348"/>
        <v>0</v>
      </c>
      <c r="AH1816">
        <f t="shared" ca="1" si="354"/>
        <v>0</v>
      </c>
      <c r="AI1816">
        <f t="shared" ca="1" si="355"/>
        <v>0</v>
      </c>
      <c r="AJ1816">
        <f t="shared" ca="1" si="356"/>
        <v>0</v>
      </c>
      <c r="AK1816">
        <f t="shared" ca="1" si="357"/>
        <v>0</v>
      </c>
      <c r="AL1816">
        <f t="shared" ca="1" si="358"/>
        <v>0</v>
      </c>
    </row>
    <row r="1817" spans="1:38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#N/A, OFFSET(data!$A$1, ROW()-1, AA$1-1))</f>
        <v>0</v>
      </c>
      <c r="AB1817">
        <f t="shared" ca="1" si="349"/>
        <v>0</v>
      </c>
      <c r="AC1817" t="e">
        <f t="shared" ca="1" si="350"/>
        <v>#VALUE!</v>
      </c>
      <c r="AD1817" t="str">
        <f t="shared" ca="1" si="351"/>
        <v>0</v>
      </c>
      <c r="AE1817" t="str">
        <f t="shared" ca="1" si="352"/>
        <v/>
      </c>
      <c r="AF1817" s="6">
        <f t="shared" ca="1" si="353"/>
        <v>0</v>
      </c>
      <c r="AG1817">
        <f t="shared" ca="1" si="348"/>
        <v>0</v>
      </c>
      <c r="AH1817">
        <f t="shared" ca="1" si="354"/>
        <v>0</v>
      </c>
      <c r="AI1817">
        <f t="shared" ca="1" si="355"/>
        <v>0</v>
      </c>
      <c r="AJ1817">
        <f t="shared" ca="1" si="356"/>
        <v>0</v>
      </c>
      <c r="AK1817">
        <f t="shared" ca="1" si="357"/>
        <v>0</v>
      </c>
      <c r="AL1817">
        <f t="shared" ca="1" si="358"/>
        <v>0</v>
      </c>
    </row>
    <row r="1818" spans="1:38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#N/A, OFFSET(data!$A$1, ROW()-1, AA$1-1))</f>
        <v>0</v>
      </c>
      <c r="AB1818">
        <f t="shared" ca="1" si="349"/>
        <v>0</v>
      </c>
      <c r="AC1818" t="e">
        <f t="shared" ca="1" si="350"/>
        <v>#VALUE!</v>
      </c>
      <c r="AD1818" t="str">
        <f t="shared" ca="1" si="351"/>
        <v>0</v>
      </c>
      <c r="AE1818" t="str">
        <f t="shared" ca="1" si="352"/>
        <v/>
      </c>
      <c r="AF1818" s="6">
        <f t="shared" ca="1" si="353"/>
        <v>0</v>
      </c>
      <c r="AG1818">
        <f t="shared" ca="1" si="348"/>
        <v>0</v>
      </c>
      <c r="AH1818">
        <f t="shared" ca="1" si="354"/>
        <v>0</v>
      </c>
      <c r="AI1818">
        <f t="shared" ca="1" si="355"/>
        <v>0</v>
      </c>
      <c r="AJ1818">
        <f t="shared" ca="1" si="356"/>
        <v>0</v>
      </c>
      <c r="AK1818">
        <f t="shared" ca="1" si="357"/>
        <v>0</v>
      </c>
      <c r="AL1818">
        <f t="shared" ca="1" si="358"/>
        <v>0</v>
      </c>
    </row>
    <row r="1819" spans="1:38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#N/A, OFFSET(data!$A$1, ROW()-1, AA$1-1))</f>
        <v>0</v>
      </c>
      <c r="AB1819">
        <f t="shared" ca="1" si="349"/>
        <v>0</v>
      </c>
      <c r="AC1819" t="e">
        <f t="shared" ca="1" si="350"/>
        <v>#VALUE!</v>
      </c>
      <c r="AD1819" t="str">
        <f t="shared" ca="1" si="351"/>
        <v>0</v>
      </c>
      <c r="AE1819" t="str">
        <f t="shared" ca="1" si="352"/>
        <v/>
      </c>
      <c r="AF1819" s="6">
        <f t="shared" ca="1" si="353"/>
        <v>0</v>
      </c>
      <c r="AG1819">
        <f t="shared" ca="1" si="348"/>
        <v>0</v>
      </c>
      <c r="AH1819">
        <f t="shared" ca="1" si="354"/>
        <v>0</v>
      </c>
      <c r="AI1819">
        <f t="shared" ca="1" si="355"/>
        <v>0</v>
      </c>
      <c r="AJ1819">
        <f t="shared" ca="1" si="356"/>
        <v>0</v>
      </c>
      <c r="AK1819">
        <f t="shared" ca="1" si="357"/>
        <v>0</v>
      </c>
      <c r="AL1819">
        <f t="shared" ca="1" si="358"/>
        <v>0</v>
      </c>
    </row>
    <row r="1820" spans="1:38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#N/A, OFFSET(data!$A$1, ROW()-1, AA$1-1))</f>
        <v>0</v>
      </c>
      <c r="AB1820">
        <f t="shared" ca="1" si="349"/>
        <v>0</v>
      </c>
      <c r="AC1820" t="e">
        <f t="shared" ca="1" si="350"/>
        <v>#VALUE!</v>
      </c>
      <c r="AD1820" t="str">
        <f t="shared" ca="1" si="351"/>
        <v>0</v>
      </c>
      <c r="AE1820" t="str">
        <f t="shared" ca="1" si="352"/>
        <v/>
      </c>
      <c r="AF1820" s="6">
        <f t="shared" ca="1" si="353"/>
        <v>0</v>
      </c>
      <c r="AG1820">
        <f t="shared" ca="1" si="348"/>
        <v>0</v>
      </c>
      <c r="AH1820">
        <f t="shared" ca="1" si="354"/>
        <v>0</v>
      </c>
      <c r="AI1820">
        <f t="shared" ca="1" si="355"/>
        <v>0</v>
      </c>
      <c r="AJ1820">
        <f t="shared" ca="1" si="356"/>
        <v>0</v>
      </c>
      <c r="AK1820">
        <f t="shared" ca="1" si="357"/>
        <v>0</v>
      </c>
      <c r="AL1820">
        <f t="shared" ca="1" si="358"/>
        <v>0</v>
      </c>
    </row>
    <row r="1821" spans="1:38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#N/A, OFFSET(data!$A$1, ROW()-1, AA$1-1))</f>
        <v>0</v>
      </c>
      <c r="AB1821">
        <f t="shared" ca="1" si="349"/>
        <v>0</v>
      </c>
      <c r="AC1821" t="e">
        <f t="shared" ca="1" si="350"/>
        <v>#VALUE!</v>
      </c>
      <c r="AD1821" t="str">
        <f t="shared" ca="1" si="351"/>
        <v>0</v>
      </c>
      <c r="AE1821" t="str">
        <f t="shared" ca="1" si="352"/>
        <v/>
      </c>
      <c r="AF1821" s="6">
        <f t="shared" ca="1" si="353"/>
        <v>0</v>
      </c>
      <c r="AG1821">
        <f t="shared" ca="1" si="348"/>
        <v>0</v>
      </c>
      <c r="AH1821">
        <f t="shared" ca="1" si="354"/>
        <v>0</v>
      </c>
      <c r="AI1821">
        <f t="shared" ca="1" si="355"/>
        <v>0</v>
      </c>
      <c r="AJ1821">
        <f t="shared" ca="1" si="356"/>
        <v>0</v>
      </c>
      <c r="AK1821">
        <f t="shared" ca="1" si="357"/>
        <v>0</v>
      </c>
      <c r="AL1821">
        <f t="shared" ca="1" si="358"/>
        <v>0</v>
      </c>
    </row>
    <row r="1822" spans="1:38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#N/A, OFFSET(data!$A$1, ROW()-1, AA$1-1))</f>
        <v>0</v>
      </c>
      <c r="AB1822">
        <f t="shared" ca="1" si="349"/>
        <v>0</v>
      </c>
      <c r="AC1822" t="e">
        <f t="shared" ca="1" si="350"/>
        <v>#VALUE!</v>
      </c>
      <c r="AD1822" t="str">
        <f t="shared" ca="1" si="351"/>
        <v>0</v>
      </c>
      <c r="AE1822" t="str">
        <f t="shared" ca="1" si="352"/>
        <v/>
      </c>
      <c r="AF1822" s="6">
        <f t="shared" ca="1" si="353"/>
        <v>0</v>
      </c>
      <c r="AG1822">
        <f t="shared" ca="1" si="348"/>
        <v>0</v>
      </c>
      <c r="AH1822">
        <f t="shared" ca="1" si="354"/>
        <v>0</v>
      </c>
      <c r="AI1822">
        <f t="shared" ca="1" si="355"/>
        <v>0</v>
      </c>
      <c r="AJ1822">
        <f t="shared" ca="1" si="356"/>
        <v>0</v>
      </c>
      <c r="AK1822">
        <f t="shared" ca="1" si="357"/>
        <v>0</v>
      </c>
      <c r="AL1822">
        <f t="shared" ca="1" si="358"/>
        <v>0</v>
      </c>
    </row>
    <row r="1823" spans="1:38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#N/A, OFFSET(data!$A$1, ROW()-1, AA$1-1))</f>
        <v>0</v>
      </c>
      <c r="AB1823">
        <f t="shared" ca="1" si="349"/>
        <v>0</v>
      </c>
      <c r="AC1823" t="e">
        <f t="shared" ca="1" si="350"/>
        <v>#VALUE!</v>
      </c>
      <c r="AD1823" t="str">
        <f t="shared" ca="1" si="351"/>
        <v>0</v>
      </c>
      <c r="AE1823" t="str">
        <f t="shared" ca="1" si="352"/>
        <v/>
      </c>
      <c r="AF1823" s="6">
        <f t="shared" ca="1" si="353"/>
        <v>0</v>
      </c>
      <c r="AG1823">
        <f t="shared" ca="1" si="348"/>
        <v>0</v>
      </c>
      <c r="AH1823">
        <f t="shared" ca="1" si="354"/>
        <v>0</v>
      </c>
      <c r="AI1823">
        <f t="shared" ca="1" si="355"/>
        <v>0</v>
      </c>
      <c r="AJ1823">
        <f t="shared" ca="1" si="356"/>
        <v>0</v>
      </c>
      <c r="AK1823">
        <f t="shared" ca="1" si="357"/>
        <v>0</v>
      </c>
      <c r="AL1823">
        <f t="shared" ca="1" si="358"/>
        <v>0</v>
      </c>
    </row>
    <row r="1824" spans="1:38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#N/A, OFFSET(data!$A$1, ROW()-1, AA$1-1))</f>
        <v>0</v>
      </c>
      <c r="AB1824">
        <f t="shared" ca="1" si="349"/>
        <v>0</v>
      </c>
      <c r="AC1824" t="e">
        <f t="shared" ca="1" si="350"/>
        <v>#VALUE!</v>
      </c>
      <c r="AD1824" t="str">
        <f t="shared" ca="1" si="351"/>
        <v>0</v>
      </c>
      <c r="AE1824" t="str">
        <f t="shared" ca="1" si="352"/>
        <v/>
      </c>
      <c r="AF1824" s="6">
        <f t="shared" ca="1" si="353"/>
        <v>0</v>
      </c>
      <c r="AG1824">
        <f t="shared" ca="1" si="348"/>
        <v>0</v>
      </c>
      <c r="AH1824">
        <f t="shared" ca="1" si="354"/>
        <v>0</v>
      </c>
      <c r="AI1824">
        <f t="shared" ca="1" si="355"/>
        <v>0</v>
      </c>
      <c r="AJ1824">
        <f t="shared" ca="1" si="356"/>
        <v>0</v>
      </c>
      <c r="AK1824">
        <f t="shared" ca="1" si="357"/>
        <v>0</v>
      </c>
      <c r="AL1824">
        <f t="shared" ca="1" si="358"/>
        <v>0</v>
      </c>
    </row>
    <row r="1825" spans="1:38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#N/A, OFFSET(data!$A$1, ROW()-1, AA$1-1))</f>
        <v>0</v>
      </c>
      <c r="AB1825">
        <f t="shared" ca="1" si="349"/>
        <v>0</v>
      </c>
      <c r="AC1825" t="e">
        <f t="shared" ca="1" si="350"/>
        <v>#VALUE!</v>
      </c>
      <c r="AD1825" t="str">
        <f t="shared" ca="1" si="351"/>
        <v>0</v>
      </c>
      <c r="AE1825" t="str">
        <f t="shared" ca="1" si="352"/>
        <v/>
      </c>
      <c r="AF1825" s="6">
        <f t="shared" ca="1" si="353"/>
        <v>0</v>
      </c>
      <c r="AG1825">
        <f t="shared" ca="1" si="348"/>
        <v>0</v>
      </c>
      <c r="AH1825">
        <f t="shared" ca="1" si="354"/>
        <v>0</v>
      </c>
      <c r="AI1825">
        <f t="shared" ca="1" si="355"/>
        <v>0</v>
      </c>
      <c r="AJ1825">
        <f t="shared" ca="1" si="356"/>
        <v>0</v>
      </c>
      <c r="AK1825">
        <f t="shared" ca="1" si="357"/>
        <v>0</v>
      </c>
      <c r="AL1825">
        <f t="shared" ca="1" si="358"/>
        <v>0</v>
      </c>
    </row>
    <row r="1826" spans="1:38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#N/A, OFFSET(data!$A$1, ROW()-1, AA$1-1))</f>
        <v>0</v>
      </c>
      <c r="AB1826">
        <f t="shared" ca="1" si="349"/>
        <v>0</v>
      </c>
      <c r="AC1826" t="e">
        <f t="shared" ca="1" si="350"/>
        <v>#VALUE!</v>
      </c>
      <c r="AD1826" t="str">
        <f t="shared" ca="1" si="351"/>
        <v>0</v>
      </c>
      <c r="AE1826" t="str">
        <f t="shared" ca="1" si="352"/>
        <v/>
      </c>
      <c r="AF1826" s="6">
        <f t="shared" ca="1" si="353"/>
        <v>0</v>
      </c>
      <c r="AG1826">
        <f t="shared" ca="1" si="348"/>
        <v>0</v>
      </c>
      <c r="AH1826">
        <f t="shared" ca="1" si="354"/>
        <v>0</v>
      </c>
      <c r="AI1826">
        <f t="shared" ca="1" si="355"/>
        <v>0</v>
      </c>
      <c r="AJ1826">
        <f t="shared" ca="1" si="356"/>
        <v>0</v>
      </c>
      <c r="AK1826">
        <f t="shared" ca="1" si="357"/>
        <v>0</v>
      </c>
      <c r="AL1826">
        <f t="shared" ca="1" si="358"/>
        <v>0</v>
      </c>
    </row>
    <row r="1827" spans="1:38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#N/A, OFFSET(data!$A$1, ROW()-1, AA$1-1))</f>
        <v>0</v>
      </c>
      <c r="AB1827">
        <f t="shared" ca="1" si="349"/>
        <v>0</v>
      </c>
      <c r="AC1827" t="e">
        <f t="shared" ca="1" si="350"/>
        <v>#VALUE!</v>
      </c>
      <c r="AD1827" t="str">
        <f t="shared" ca="1" si="351"/>
        <v>0</v>
      </c>
      <c r="AE1827" t="str">
        <f t="shared" ca="1" si="352"/>
        <v/>
      </c>
      <c r="AF1827" s="6">
        <f t="shared" ca="1" si="353"/>
        <v>0</v>
      </c>
      <c r="AG1827">
        <f t="shared" ca="1" si="348"/>
        <v>0</v>
      </c>
      <c r="AH1827">
        <f t="shared" ca="1" si="354"/>
        <v>0</v>
      </c>
      <c r="AI1827">
        <f t="shared" ca="1" si="355"/>
        <v>0</v>
      </c>
      <c r="AJ1827">
        <f t="shared" ca="1" si="356"/>
        <v>0</v>
      </c>
      <c r="AK1827">
        <f t="shared" ca="1" si="357"/>
        <v>0</v>
      </c>
      <c r="AL1827">
        <f t="shared" ca="1" si="358"/>
        <v>0</v>
      </c>
    </row>
    <row r="1828" spans="1:38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#N/A, OFFSET(data!$A$1, ROW()-1, AA$1-1))</f>
        <v>0</v>
      </c>
      <c r="AB1828">
        <f t="shared" ca="1" si="349"/>
        <v>0</v>
      </c>
      <c r="AC1828" t="e">
        <f t="shared" ca="1" si="350"/>
        <v>#VALUE!</v>
      </c>
      <c r="AD1828" t="str">
        <f t="shared" ca="1" si="351"/>
        <v>0</v>
      </c>
      <c r="AE1828" t="str">
        <f t="shared" ca="1" si="352"/>
        <v/>
      </c>
      <c r="AF1828" s="6">
        <f t="shared" ca="1" si="353"/>
        <v>0</v>
      </c>
      <c r="AG1828">
        <f t="shared" ca="1" si="348"/>
        <v>0</v>
      </c>
      <c r="AH1828">
        <f t="shared" ca="1" si="354"/>
        <v>0</v>
      </c>
      <c r="AI1828">
        <f t="shared" ca="1" si="355"/>
        <v>0</v>
      </c>
      <c r="AJ1828">
        <f t="shared" ca="1" si="356"/>
        <v>0</v>
      </c>
      <c r="AK1828">
        <f t="shared" ca="1" si="357"/>
        <v>0</v>
      </c>
      <c r="AL1828">
        <f t="shared" ca="1" si="358"/>
        <v>0</v>
      </c>
    </row>
    <row r="1829" spans="1:38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#N/A, OFFSET(data!$A$1, ROW()-1, AA$1-1))</f>
        <v>0</v>
      </c>
      <c r="AB1829">
        <f t="shared" ca="1" si="349"/>
        <v>0</v>
      </c>
      <c r="AC1829" t="e">
        <f t="shared" ca="1" si="350"/>
        <v>#VALUE!</v>
      </c>
      <c r="AD1829" t="str">
        <f t="shared" ca="1" si="351"/>
        <v>0</v>
      </c>
      <c r="AE1829" t="str">
        <f t="shared" ca="1" si="352"/>
        <v/>
      </c>
      <c r="AF1829" s="6">
        <f t="shared" ca="1" si="353"/>
        <v>0</v>
      </c>
      <c r="AG1829">
        <f t="shared" ca="1" si="348"/>
        <v>0</v>
      </c>
      <c r="AH1829">
        <f t="shared" ca="1" si="354"/>
        <v>0</v>
      </c>
      <c r="AI1829">
        <f t="shared" ca="1" si="355"/>
        <v>0</v>
      </c>
      <c r="AJ1829">
        <f t="shared" ca="1" si="356"/>
        <v>0</v>
      </c>
      <c r="AK1829">
        <f t="shared" ca="1" si="357"/>
        <v>0</v>
      </c>
      <c r="AL1829">
        <f t="shared" ca="1" si="358"/>
        <v>0</v>
      </c>
    </row>
    <row r="1830" spans="1:38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#N/A, OFFSET(data!$A$1, ROW()-1, AA$1-1))</f>
        <v>0</v>
      </c>
      <c r="AB1830">
        <f t="shared" ca="1" si="349"/>
        <v>0</v>
      </c>
      <c r="AC1830" t="e">
        <f t="shared" ca="1" si="350"/>
        <v>#VALUE!</v>
      </c>
      <c r="AD1830" t="str">
        <f t="shared" ca="1" si="351"/>
        <v>0</v>
      </c>
      <c r="AE1830" t="str">
        <f t="shared" ca="1" si="352"/>
        <v/>
      </c>
      <c r="AF1830" s="6">
        <f t="shared" ca="1" si="353"/>
        <v>0</v>
      </c>
      <c r="AG1830">
        <f t="shared" ca="1" si="348"/>
        <v>0</v>
      </c>
      <c r="AH1830">
        <f t="shared" ca="1" si="354"/>
        <v>0</v>
      </c>
      <c r="AI1830">
        <f t="shared" ca="1" si="355"/>
        <v>0</v>
      </c>
      <c r="AJ1830">
        <f t="shared" ca="1" si="356"/>
        <v>0</v>
      </c>
      <c r="AK1830">
        <f t="shared" ca="1" si="357"/>
        <v>0</v>
      </c>
      <c r="AL1830">
        <f t="shared" ca="1" si="358"/>
        <v>0</v>
      </c>
    </row>
    <row r="1831" spans="1:38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#N/A, OFFSET(data!$A$1, ROW()-1, AA$1-1))</f>
        <v>0</v>
      </c>
      <c r="AB1831">
        <f t="shared" ca="1" si="349"/>
        <v>0</v>
      </c>
      <c r="AC1831" t="e">
        <f t="shared" ca="1" si="350"/>
        <v>#VALUE!</v>
      </c>
      <c r="AD1831" t="str">
        <f t="shared" ca="1" si="351"/>
        <v>0</v>
      </c>
      <c r="AE1831" t="str">
        <f t="shared" ca="1" si="352"/>
        <v/>
      </c>
      <c r="AF1831" s="6">
        <f t="shared" ca="1" si="353"/>
        <v>0</v>
      </c>
      <c r="AG1831">
        <f t="shared" ca="1" si="348"/>
        <v>0</v>
      </c>
      <c r="AH1831">
        <f t="shared" ca="1" si="354"/>
        <v>0</v>
      </c>
      <c r="AI1831">
        <f t="shared" ca="1" si="355"/>
        <v>0</v>
      </c>
      <c r="AJ1831">
        <f t="shared" ca="1" si="356"/>
        <v>0</v>
      </c>
      <c r="AK1831">
        <f t="shared" ca="1" si="357"/>
        <v>0</v>
      </c>
      <c r="AL1831">
        <f t="shared" ca="1" si="358"/>
        <v>0</v>
      </c>
    </row>
    <row r="1832" spans="1:38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#N/A, OFFSET(data!$A$1, ROW()-1, AA$1-1))</f>
        <v>0</v>
      </c>
      <c r="AB1832">
        <f t="shared" ca="1" si="349"/>
        <v>0</v>
      </c>
      <c r="AC1832" t="e">
        <f t="shared" ca="1" si="350"/>
        <v>#VALUE!</v>
      </c>
      <c r="AD1832" t="str">
        <f t="shared" ca="1" si="351"/>
        <v>0</v>
      </c>
      <c r="AE1832" t="str">
        <f t="shared" ca="1" si="352"/>
        <v/>
      </c>
      <c r="AF1832" s="6">
        <f t="shared" ca="1" si="353"/>
        <v>0</v>
      </c>
      <c r="AG1832">
        <f t="shared" ca="1" si="348"/>
        <v>0</v>
      </c>
      <c r="AH1832">
        <f t="shared" ca="1" si="354"/>
        <v>0</v>
      </c>
      <c r="AI1832">
        <f t="shared" ca="1" si="355"/>
        <v>0</v>
      </c>
      <c r="AJ1832">
        <f t="shared" ca="1" si="356"/>
        <v>0</v>
      </c>
      <c r="AK1832">
        <f t="shared" ca="1" si="357"/>
        <v>0</v>
      </c>
      <c r="AL1832">
        <f t="shared" ca="1" si="358"/>
        <v>0</v>
      </c>
    </row>
    <row r="1833" spans="1:38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#N/A, OFFSET(data!$A$1, ROW()-1, AA$1-1))</f>
        <v>0</v>
      </c>
      <c r="AB1833">
        <f t="shared" ca="1" si="349"/>
        <v>0</v>
      </c>
      <c r="AC1833" t="e">
        <f t="shared" ca="1" si="350"/>
        <v>#VALUE!</v>
      </c>
      <c r="AD1833" t="str">
        <f t="shared" ca="1" si="351"/>
        <v>0</v>
      </c>
      <c r="AE1833" t="str">
        <f t="shared" ca="1" si="352"/>
        <v/>
      </c>
      <c r="AF1833" s="6">
        <f t="shared" ca="1" si="353"/>
        <v>0</v>
      </c>
      <c r="AG1833">
        <f t="shared" ca="1" si="348"/>
        <v>0</v>
      </c>
      <c r="AH1833">
        <f t="shared" ca="1" si="354"/>
        <v>0</v>
      </c>
      <c r="AI1833">
        <f t="shared" ca="1" si="355"/>
        <v>0</v>
      </c>
      <c r="AJ1833">
        <f t="shared" ca="1" si="356"/>
        <v>0</v>
      </c>
      <c r="AK1833">
        <f t="shared" ca="1" si="357"/>
        <v>0</v>
      </c>
      <c r="AL1833">
        <f t="shared" ca="1" si="358"/>
        <v>0</v>
      </c>
    </row>
    <row r="1834" spans="1:38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#N/A, OFFSET(data!$A$1, ROW()-1, AA$1-1))</f>
        <v>0</v>
      </c>
      <c r="AB1834">
        <f t="shared" ca="1" si="349"/>
        <v>0</v>
      </c>
      <c r="AC1834" t="e">
        <f t="shared" ca="1" si="350"/>
        <v>#VALUE!</v>
      </c>
      <c r="AD1834" t="str">
        <f t="shared" ca="1" si="351"/>
        <v>0</v>
      </c>
      <c r="AE1834" t="str">
        <f t="shared" ca="1" si="352"/>
        <v/>
      </c>
      <c r="AF1834" s="6">
        <f t="shared" ca="1" si="353"/>
        <v>0</v>
      </c>
      <c r="AG1834">
        <f t="shared" ca="1" si="348"/>
        <v>0</v>
      </c>
      <c r="AH1834">
        <f t="shared" ca="1" si="354"/>
        <v>0</v>
      </c>
      <c r="AI1834">
        <f t="shared" ca="1" si="355"/>
        <v>0</v>
      </c>
      <c r="AJ1834">
        <f t="shared" ca="1" si="356"/>
        <v>0</v>
      </c>
      <c r="AK1834">
        <f t="shared" ca="1" si="357"/>
        <v>0</v>
      </c>
      <c r="AL1834">
        <f t="shared" ca="1" si="358"/>
        <v>0</v>
      </c>
    </row>
    <row r="1835" spans="1:38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#N/A, OFFSET(data!$A$1, ROW()-1, AA$1-1))</f>
        <v>0</v>
      </c>
      <c r="AB1835">
        <f t="shared" ca="1" si="349"/>
        <v>0</v>
      </c>
      <c r="AC1835" t="e">
        <f t="shared" ca="1" si="350"/>
        <v>#VALUE!</v>
      </c>
      <c r="AD1835" t="str">
        <f t="shared" ca="1" si="351"/>
        <v>0</v>
      </c>
      <c r="AE1835" t="str">
        <f t="shared" ca="1" si="352"/>
        <v/>
      </c>
      <c r="AF1835" s="6">
        <f t="shared" ca="1" si="353"/>
        <v>0</v>
      </c>
      <c r="AG1835">
        <f t="shared" ca="1" si="348"/>
        <v>0</v>
      </c>
      <c r="AH1835">
        <f t="shared" ca="1" si="354"/>
        <v>0</v>
      </c>
      <c r="AI1835">
        <f t="shared" ca="1" si="355"/>
        <v>0</v>
      </c>
      <c r="AJ1835">
        <f t="shared" ca="1" si="356"/>
        <v>0</v>
      </c>
      <c r="AK1835">
        <f t="shared" ca="1" si="357"/>
        <v>0</v>
      </c>
      <c r="AL1835">
        <f t="shared" ca="1" si="358"/>
        <v>0</v>
      </c>
    </row>
    <row r="1836" spans="1:38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#N/A, OFFSET(data!$A$1, ROW()-1, AA$1-1))</f>
        <v>0</v>
      </c>
      <c r="AB1836">
        <f t="shared" ca="1" si="349"/>
        <v>0</v>
      </c>
      <c r="AC1836" t="e">
        <f t="shared" ca="1" si="350"/>
        <v>#VALUE!</v>
      </c>
      <c r="AD1836" t="str">
        <f t="shared" ca="1" si="351"/>
        <v>0</v>
      </c>
      <c r="AE1836" t="str">
        <f t="shared" ca="1" si="352"/>
        <v/>
      </c>
      <c r="AF1836" s="6">
        <f t="shared" ca="1" si="353"/>
        <v>0</v>
      </c>
      <c r="AG1836">
        <f t="shared" ca="1" si="348"/>
        <v>0</v>
      </c>
      <c r="AH1836">
        <f t="shared" ca="1" si="354"/>
        <v>0</v>
      </c>
      <c r="AI1836">
        <f t="shared" ca="1" si="355"/>
        <v>0</v>
      </c>
      <c r="AJ1836">
        <f t="shared" ca="1" si="356"/>
        <v>0</v>
      </c>
      <c r="AK1836">
        <f t="shared" ca="1" si="357"/>
        <v>0</v>
      </c>
      <c r="AL1836">
        <f t="shared" ca="1" si="358"/>
        <v>0</v>
      </c>
    </row>
    <row r="1837" spans="1:38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#N/A, OFFSET(data!$A$1, ROW()-1, AA$1-1))</f>
        <v>0</v>
      </c>
      <c r="AB1837">
        <f t="shared" ca="1" si="349"/>
        <v>0</v>
      </c>
      <c r="AC1837" t="e">
        <f t="shared" ca="1" si="350"/>
        <v>#VALUE!</v>
      </c>
      <c r="AD1837" t="str">
        <f t="shared" ca="1" si="351"/>
        <v>0</v>
      </c>
      <c r="AE1837" t="str">
        <f t="shared" ca="1" si="352"/>
        <v/>
      </c>
      <c r="AF1837" s="6">
        <f t="shared" ca="1" si="353"/>
        <v>0</v>
      </c>
      <c r="AG1837">
        <f t="shared" ca="1" si="348"/>
        <v>0</v>
      </c>
      <c r="AH1837">
        <f t="shared" ca="1" si="354"/>
        <v>0</v>
      </c>
      <c r="AI1837">
        <f t="shared" ca="1" si="355"/>
        <v>0</v>
      </c>
      <c r="AJ1837">
        <f t="shared" ca="1" si="356"/>
        <v>0</v>
      </c>
      <c r="AK1837">
        <f t="shared" ca="1" si="357"/>
        <v>0</v>
      </c>
      <c r="AL1837">
        <f t="shared" ca="1" si="358"/>
        <v>0</v>
      </c>
    </row>
    <row r="1838" spans="1:38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#N/A, OFFSET(data!$A$1, ROW()-1, AA$1-1))</f>
        <v>0</v>
      </c>
      <c r="AB1838">
        <f t="shared" ca="1" si="349"/>
        <v>0</v>
      </c>
      <c r="AC1838" t="e">
        <f t="shared" ca="1" si="350"/>
        <v>#VALUE!</v>
      </c>
      <c r="AD1838" t="str">
        <f t="shared" ca="1" si="351"/>
        <v>0</v>
      </c>
      <c r="AE1838" t="str">
        <f t="shared" ca="1" si="352"/>
        <v/>
      </c>
      <c r="AF1838" s="6">
        <f t="shared" ca="1" si="353"/>
        <v>0</v>
      </c>
      <c r="AG1838">
        <f t="shared" ca="1" si="348"/>
        <v>0</v>
      </c>
      <c r="AH1838">
        <f t="shared" ca="1" si="354"/>
        <v>0</v>
      </c>
      <c r="AI1838">
        <f t="shared" ca="1" si="355"/>
        <v>0</v>
      </c>
      <c r="AJ1838">
        <f t="shared" ca="1" si="356"/>
        <v>0</v>
      </c>
      <c r="AK1838">
        <f t="shared" ca="1" si="357"/>
        <v>0</v>
      </c>
      <c r="AL1838">
        <f t="shared" ca="1" si="358"/>
        <v>0</v>
      </c>
    </row>
    <row r="1839" spans="1:38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#N/A, OFFSET(data!$A$1, ROW()-1, AA$1-1))</f>
        <v>0</v>
      </c>
      <c r="AB1839">
        <f t="shared" ca="1" si="349"/>
        <v>0</v>
      </c>
      <c r="AC1839" t="e">
        <f t="shared" ca="1" si="350"/>
        <v>#VALUE!</v>
      </c>
      <c r="AD1839" t="str">
        <f t="shared" ca="1" si="351"/>
        <v>0</v>
      </c>
      <c r="AE1839" t="str">
        <f t="shared" ca="1" si="352"/>
        <v/>
      </c>
      <c r="AF1839" s="6">
        <f t="shared" ca="1" si="353"/>
        <v>0</v>
      </c>
      <c r="AG1839">
        <f t="shared" ca="1" si="348"/>
        <v>0</v>
      </c>
      <c r="AH1839">
        <f t="shared" ca="1" si="354"/>
        <v>0</v>
      </c>
      <c r="AI1839">
        <f t="shared" ca="1" si="355"/>
        <v>0</v>
      </c>
      <c r="AJ1839">
        <f t="shared" ca="1" si="356"/>
        <v>0</v>
      </c>
      <c r="AK1839">
        <f t="shared" ca="1" si="357"/>
        <v>0</v>
      </c>
      <c r="AL1839">
        <f t="shared" ca="1" si="358"/>
        <v>0</v>
      </c>
    </row>
    <row r="1840" spans="1:38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#N/A, OFFSET(data!$A$1, ROW()-1, AA$1-1))</f>
        <v>0</v>
      </c>
      <c r="AB1840">
        <f t="shared" ca="1" si="349"/>
        <v>0</v>
      </c>
      <c r="AC1840" t="e">
        <f t="shared" ca="1" si="350"/>
        <v>#VALUE!</v>
      </c>
      <c r="AD1840" t="str">
        <f t="shared" ca="1" si="351"/>
        <v>0</v>
      </c>
      <c r="AE1840" t="str">
        <f t="shared" ca="1" si="352"/>
        <v/>
      </c>
      <c r="AF1840" s="6">
        <f t="shared" ca="1" si="353"/>
        <v>0</v>
      </c>
      <c r="AG1840">
        <f t="shared" ca="1" si="348"/>
        <v>0</v>
      </c>
      <c r="AH1840">
        <f t="shared" ca="1" si="354"/>
        <v>0</v>
      </c>
      <c r="AI1840">
        <f t="shared" ca="1" si="355"/>
        <v>0</v>
      </c>
      <c r="AJ1840">
        <f t="shared" ca="1" si="356"/>
        <v>0</v>
      </c>
      <c r="AK1840">
        <f t="shared" ca="1" si="357"/>
        <v>0</v>
      </c>
      <c r="AL1840">
        <f t="shared" ca="1" si="358"/>
        <v>0</v>
      </c>
    </row>
    <row r="1841" spans="1:38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#N/A, OFFSET(data!$A$1, ROW()-1, AA$1-1))</f>
        <v>0</v>
      </c>
      <c r="AB1841">
        <f t="shared" ca="1" si="349"/>
        <v>0</v>
      </c>
      <c r="AC1841" t="e">
        <f t="shared" ca="1" si="350"/>
        <v>#VALUE!</v>
      </c>
      <c r="AD1841" t="str">
        <f t="shared" ca="1" si="351"/>
        <v>0</v>
      </c>
      <c r="AE1841" t="str">
        <f t="shared" ca="1" si="352"/>
        <v/>
      </c>
      <c r="AF1841" s="6">
        <f t="shared" ca="1" si="353"/>
        <v>0</v>
      </c>
      <c r="AG1841">
        <f t="shared" ca="1" si="348"/>
        <v>0</v>
      </c>
      <c r="AH1841">
        <f t="shared" ca="1" si="354"/>
        <v>0</v>
      </c>
      <c r="AI1841">
        <f t="shared" ca="1" si="355"/>
        <v>0</v>
      </c>
      <c r="AJ1841">
        <f t="shared" ca="1" si="356"/>
        <v>0</v>
      </c>
      <c r="AK1841">
        <f t="shared" ca="1" si="357"/>
        <v>0</v>
      </c>
      <c r="AL1841">
        <f t="shared" ca="1" si="358"/>
        <v>0</v>
      </c>
    </row>
    <row r="1842" spans="1:38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#N/A, OFFSET(data!$A$1, ROW()-1, AA$1-1))</f>
        <v>0</v>
      </c>
      <c r="AB1842">
        <f t="shared" ca="1" si="349"/>
        <v>0</v>
      </c>
      <c r="AC1842" t="e">
        <f t="shared" ca="1" si="350"/>
        <v>#VALUE!</v>
      </c>
      <c r="AD1842" t="str">
        <f t="shared" ca="1" si="351"/>
        <v>0</v>
      </c>
      <c r="AE1842" t="str">
        <f t="shared" ca="1" si="352"/>
        <v/>
      </c>
      <c r="AF1842" s="6">
        <f t="shared" ca="1" si="353"/>
        <v>0</v>
      </c>
      <c r="AG1842">
        <f t="shared" ca="1" si="348"/>
        <v>0</v>
      </c>
      <c r="AH1842">
        <f t="shared" ca="1" si="354"/>
        <v>0</v>
      </c>
      <c r="AI1842">
        <f t="shared" ca="1" si="355"/>
        <v>0</v>
      </c>
      <c r="AJ1842">
        <f t="shared" ca="1" si="356"/>
        <v>0</v>
      </c>
      <c r="AK1842">
        <f t="shared" ca="1" si="357"/>
        <v>0</v>
      </c>
      <c r="AL1842">
        <f t="shared" ca="1" si="358"/>
        <v>0</v>
      </c>
    </row>
    <row r="1843" spans="1:38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#N/A, OFFSET(data!$A$1, ROW()-1, AA$1-1))</f>
        <v>0</v>
      </c>
      <c r="AB1843">
        <f t="shared" ca="1" si="349"/>
        <v>0</v>
      </c>
      <c r="AC1843" t="e">
        <f t="shared" ca="1" si="350"/>
        <v>#VALUE!</v>
      </c>
      <c r="AD1843" t="str">
        <f t="shared" ca="1" si="351"/>
        <v>0</v>
      </c>
      <c r="AE1843" t="str">
        <f t="shared" ca="1" si="352"/>
        <v/>
      </c>
      <c r="AF1843" s="6">
        <f t="shared" ca="1" si="353"/>
        <v>0</v>
      </c>
      <c r="AG1843">
        <f t="shared" ca="1" si="348"/>
        <v>0</v>
      </c>
      <c r="AH1843">
        <f t="shared" ca="1" si="354"/>
        <v>0</v>
      </c>
      <c r="AI1843">
        <f t="shared" ca="1" si="355"/>
        <v>0</v>
      </c>
      <c r="AJ1843">
        <f t="shared" ca="1" si="356"/>
        <v>0</v>
      </c>
      <c r="AK1843">
        <f t="shared" ca="1" si="357"/>
        <v>0</v>
      </c>
      <c r="AL1843">
        <f t="shared" ca="1" si="358"/>
        <v>0</v>
      </c>
    </row>
    <row r="1844" spans="1:38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#N/A, OFFSET(data!$A$1, ROW()-1, AA$1-1))</f>
        <v>0</v>
      </c>
      <c r="AB1844">
        <f t="shared" ca="1" si="349"/>
        <v>0</v>
      </c>
      <c r="AC1844" t="e">
        <f t="shared" ca="1" si="350"/>
        <v>#VALUE!</v>
      </c>
      <c r="AD1844" t="str">
        <f t="shared" ca="1" si="351"/>
        <v>0</v>
      </c>
      <c r="AE1844" t="str">
        <f t="shared" ca="1" si="352"/>
        <v/>
      </c>
      <c r="AF1844" s="6">
        <f t="shared" ca="1" si="353"/>
        <v>0</v>
      </c>
      <c r="AG1844">
        <f t="shared" ref="AG1844:AG1907" ca="1" si="359">T1844+W1844</f>
        <v>0</v>
      </c>
      <c r="AH1844">
        <f t="shared" ca="1" si="354"/>
        <v>0</v>
      </c>
      <c r="AI1844">
        <f t="shared" ca="1" si="355"/>
        <v>0</v>
      </c>
      <c r="AJ1844">
        <f t="shared" ca="1" si="356"/>
        <v>0</v>
      </c>
      <c r="AK1844">
        <f t="shared" ca="1" si="357"/>
        <v>0</v>
      </c>
      <c r="AL1844">
        <f t="shared" ca="1" si="358"/>
        <v>0</v>
      </c>
    </row>
    <row r="1845" spans="1:38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#N/A, OFFSET(data!$A$1, ROW()-1, AA$1-1))</f>
        <v>0</v>
      </c>
      <c r="AB1845">
        <f t="shared" ca="1" si="349"/>
        <v>0</v>
      </c>
      <c r="AC1845" t="e">
        <f t="shared" ca="1" si="350"/>
        <v>#VALUE!</v>
      </c>
      <c r="AD1845" t="str">
        <f t="shared" ca="1" si="351"/>
        <v>0</v>
      </c>
      <c r="AE1845" t="str">
        <f t="shared" ca="1" si="352"/>
        <v/>
      </c>
      <c r="AF1845" s="6">
        <f t="shared" ca="1" si="353"/>
        <v>0</v>
      </c>
      <c r="AG1845">
        <f t="shared" ca="1" si="359"/>
        <v>0</v>
      </c>
      <c r="AH1845">
        <f t="shared" ca="1" si="354"/>
        <v>0</v>
      </c>
      <c r="AI1845">
        <f t="shared" ca="1" si="355"/>
        <v>0</v>
      </c>
      <c r="AJ1845">
        <f t="shared" ca="1" si="356"/>
        <v>0</v>
      </c>
      <c r="AK1845">
        <f t="shared" ca="1" si="357"/>
        <v>0</v>
      </c>
      <c r="AL1845">
        <f t="shared" ca="1" si="358"/>
        <v>0</v>
      </c>
    </row>
    <row r="1846" spans="1:38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#N/A, OFFSET(data!$A$1, ROW()-1, AA$1-1))</f>
        <v>0</v>
      </c>
      <c r="AB1846">
        <f t="shared" ca="1" si="349"/>
        <v>0</v>
      </c>
      <c r="AC1846" t="e">
        <f t="shared" ca="1" si="350"/>
        <v>#VALUE!</v>
      </c>
      <c r="AD1846" t="str">
        <f t="shared" ca="1" si="351"/>
        <v>0</v>
      </c>
      <c r="AE1846" t="str">
        <f t="shared" ca="1" si="352"/>
        <v/>
      </c>
      <c r="AF1846" s="6">
        <f t="shared" ca="1" si="353"/>
        <v>0</v>
      </c>
      <c r="AG1846">
        <f t="shared" ca="1" si="359"/>
        <v>0</v>
      </c>
      <c r="AH1846">
        <f t="shared" ca="1" si="354"/>
        <v>0</v>
      </c>
      <c r="AI1846">
        <f t="shared" ca="1" si="355"/>
        <v>0</v>
      </c>
      <c r="AJ1846">
        <f t="shared" ca="1" si="356"/>
        <v>0</v>
      </c>
      <c r="AK1846">
        <f t="shared" ca="1" si="357"/>
        <v>0</v>
      </c>
      <c r="AL1846">
        <f t="shared" ca="1" si="358"/>
        <v>0</v>
      </c>
    </row>
    <row r="1847" spans="1:38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#N/A, OFFSET(data!$A$1, ROW()-1, AA$1-1))</f>
        <v>0</v>
      </c>
      <c r="AB1847">
        <f t="shared" ca="1" si="349"/>
        <v>0</v>
      </c>
      <c r="AC1847" t="e">
        <f t="shared" ca="1" si="350"/>
        <v>#VALUE!</v>
      </c>
      <c r="AD1847" t="str">
        <f t="shared" ca="1" si="351"/>
        <v>0</v>
      </c>
      <c r="AE1847" t="str">
        <f t="shared" ca="1" si="352"/>
        <v/>
      </c>
      <c r="AF1847" s="6">
        <f t="shared" ca="1" si="353"/>
        <v>0</v>
      </c>
      <c r="AG1847">
        <f t="shared" ca="1" si="359"/>
        <v>0</v>
      </c>
      <c r="AH1847">
        <f t="shared" ca="1" si="354"/>
        <v>0</v>
      </c>
      <c r="AI1847">
        <f t="shared" ca="1" si="355"/>
        <v>0</v>
      </c>
      <c r="AJ1847">
        <f t="shared" ca="1" si="356"/>
        <v>0</v>
      </c>
      <c r="AK1847">
        <f t="shared" ca="1" si="357"/>
        <v>0</v>
      </c>
      <c r="AL1847">
        <f t="shared" ca="1" si="358"/>
        <v>0</v>
      </c>
    </row>
    <row r="1848" spans="1:38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#N/A, OFFSET(data!$A$1, ROW()-1, AA$1-1))</f>
        <v>0</v>
      </c>
      <c r="AB1848">
        <f t="shared" ca="1" si="349"/>
        <v>0</v>
      </c>
      <c r="AC1848" t="e">
        <f t="shared" ca="1" si="350"/>
        <v>#VALUE!</v>
      </c>
      <c r="AD1848" t="str">
        <f t="shared" ca="1" si="351"/>
        <v>0</v>
      </c>
      <c r="AE1848" t="str">
        <f t="shared" ca="1" si="352"/>
        <v/>
      </c>
      <c r="AF1848" s="6">
        <f t="shared" ca="1" si="353"/>
        <v>0</v>
      </c>
      <c r="AG1848">
        <f t="shared" ca="1" si="359"/>
        <v>0</v>
      </c>
      <c r="AH1848">
        <f t="shared" ca="1" si="354"/>
        <v>0</v>
      </c>
      <c r="AI1848">
        <f t="shared" ca="1" si="355"/>
        <v>0</v>
      </c>
      <c r="AJ1848">
        <f t="shared" ca="1" si="356"/>
        <v>0</v>
      </c>
      <c r="AK1848">
        <f t="shared" ca="1" si="357"/>
        <v>0</v>
      </c>
      <c r="AL1848">
        <f t="shared" ca="1" si="358"/>
        <v>0</v>
      </c>
    </row>
    <row r="1849" spans="1:38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#N/A, OFFSET(data!$A$1, ROW()-1, AA$1-1))</f>
        <v>0</v>
      </c>
      <c r="AB1849">
        <f t="shared" ca="1" si="349"/>
        <v>0</v>
      </c>
      <c r="AC1849" t="e">
        <f t="shared" ca="1" si="350"/>
        <v>#VALUE!</v>
      </c>
      <c r="AD1849" t="str">
        <f t="shared" ca="1" si="351"/>
        <v>0</v>
      </c>
      <c r="AE1849" t="str">
        <f t="shared" ca="1" si="352"/>
        <v/>
      </c>
      <c r="AF1849" s="6">
        <f t="shared" ca="1" si="353"/>
        <v>0</v>
      </c>
      <c r="AG1849">
        <f t="shared" ca="1" si="359"/>
        <v>0</v>
      </c>
      <c r="AH1849">
        <f t="shared" ca="1" si="354"/>
        <v>0</v>
      </c>
      <c r="AI1849">
        <f t="shared" ca="1" si="355"/>
        <v>0</v>
      </c>
      <c r="AJ1849">
        <f t="shared" ca="1" si="356"/>
        <v>0</v>
      </c>
      <c r="AK1849">
        <f t="shared" ca="1" si="357"/>
        <v>0</v>
      </c>
      <c r="AL1849">
        <f t="shared" ca="1" si="358"/>
        <v>0</v>
      </c>
    </row>
    <row r="1850" spans="1:38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#N/A, OFFSET(data!$A$1, ROW()-1, AA$1-1))</f>
        <v>0</v>
      </c>
      <c r="AB1850">
        <f t="shared" ca="1" si="349"/>
        <v>0</v>
      </c>
      <c r="AC1850" t="e">
        <f t="shared" ca="1" si="350"/>
        <v>#VALUE!</v>
      </c>
      <c r="AD1850" t="str">
        <f t="shared" ca="1" si="351"/>
        <v>0</v>
      </c>
      <c r="AE1850" t="str">
        <f t="shared" ca="1" si="352"/>
        <v/>
      </c>
      <c r="AF1850" s="6">
        <f t="shared" ca="1" si="353"/>
        <v>0</v>
      </c>
      <c r="AG1850">
        <f t="shared" ca="1" si="359"/>
        <v>0</v>
      </c>
      <c r="AH1850">
        <f t="shared" ca="1" si="354"/>
        <v>0</v>
      </c>
      <c r="AI1850">
        <f t="shared" ca="1" si="355"/>
        <v>0</v>
      </c>
      <c r="AJ1850">
        <f t="shared" ca="1" si="356"/>
        <v>0</v>
      </c>
      <c r="AK1850">
        <f t="shared" ca="1" si="357"/>
        <v>0</v>
      </c>
      <c r="AL1850">
        <f t="shared" ca="1" si="358"/>
        <v>0</v>
      </c>
    </row>
    <row r="1851" spans="1:38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#N/A, OFFSET(data!$A$1, ROW()-1, AA$1-1))</f>
        <v>0</v>
      </c>
      <c r="AB1851">
        <f t="shared" ca="1" si="349"/>
        <v>0</v>
      </c>
      <c r="AC1851" t="e">
        <f t="shared" ca="1" si="350"/>
        <v>#VALUE!</v>
      </c>
      <c r="AD1851" t="str">
        <f t="shared" ca="1" si="351"/>
        <v>0</v>
      </c>
      <c r="AE1851" t="str">
        <f t="shared" ca="1" si="352"/>
        <v/>
      </c>
      <c r="AF1851" s="6">
        <f t="shared" ca="1" si="353"/>
        <v>0</v>
      </c>
      <c r="AG1851">
        <f t="shared" ca="1" si="359"/>
        <v>0</v>
      </c>
      <c r="AH1851">
        <f t="shared" ca="1" si="354"/>
        <v>0</v>
      </c>
      <c r="AI1851">
        <f t="shared" ca="1" si="355"/>
        <v>0</v>
      </c>
      <c r="AJ1851">
        <f t="shared" ca="1" si="356"/>
        <v>0</v>
      </c>
      <c r="AK1851">
        <f t="shared" ca="1" si="357"/>
        <v>0</v>
      </c>
      <c r="AL1851">
        <f t="shared" ca="1" si="358"/>
        <v>0</v>
      </c>
    </row>
    <row r="1852" spans="1:38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#N/A, OFFSET(data!$A$1, ROW()-1, AA$1-1))</f>
        <v>0</v>
      </c>
      <c r="AB1852">
        <f t="shared" ca="1" si="349"/>
        <v>0</v>
      </c>
      <c r="AC1852" t="e">
        <f t="shared" ca="1" si="350"/>
        <v>#VALUE!</v>
      </c>
      <c r="AD1852" t="str">
        <f t="shared" ca="1" si="351"/>
        <v>0</v>
      </c>
      <c r="AE1852" t="str">
        <f t="shared" ca="1" si="352"/>
        <v/>
      </c>
      <c r="AF1852" s="6">
        <f t="shared" ca="1" si="353"/>
        <v>0</v>
      </c>
      <c r="AG1852">
        <f t="shared" ca="1" si="359"/>
        <v>0</v>
      </c>
      <c r="AH1852">
        <f t="shared" ca="1" si="354"/>
        <v>0</v>
      </c>
      <c r="AI1852">
        <f t="shared" ca="1" si="355"/>
        <v>0</v>
      </c>
      <c r="AJ1852">
        <f t="shared" ca="1" si="356"/>
        <v>0</v>
      </c>
      <c r="AK1852">
        <f t="shared" ca="1" si="357"/>
        <v>0</v>
      </c>
      <c r="AL1852">
        <f t="shared" ca="1" si="358"/>
        <v>0</v>
      </c>
    </row>
    <row r="1853" spans="1:38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#N/A, OFFSET(data!$A$1, ROW()-1, AA$1-1))</f>
        <v>0</v>
      </c>
      <c r="AB1853">
        <f t="shared" ca="1" si="349"/>
        <v>0</v>
      </c>
      <c r="AC1853" t="e">
        <f t="shared" ca="1" si="350"/>
        <v>#VALUE!</v>
      </c>
      <c r="AD1853" t="str">
        <f t="shared" ca="1" si="351"/>
        <v>0</v>
      </c>
      <c r="AE1853" t="str">
        <f t="shared" ca="1" si="352"/>
        <v/>
      </c>
      <c r="AF1853" s="6">
        <f t="shared" ca="1" si="353"/>
        <v>0</v>
      </c>
      <c r="AG1853">
        <f t="shared" ca="1" si="359"/>
        <v>0</v>
      </c>
      <c r="AH1853">
        <f t="shared" ca="1" si="354"/>
        <v>0</v>
      </c>
      <c r="AI1853">
        <f t="shared" ca="1" si="355"/>
        <v>0</v>
      </c>
      <c r="AJ1853">
        <f t="shared" ca="1" si="356"/>
        <v>0</v>
      </c>
      <c r="AK1853">
        <f t="shared" ca="1" si="357"/>
        <v>0</v>
      </c>
      <c r="AL1853">
        <f t="shared" ca="1" si="358"/>
        <v>0</v>
      </c>
    </row>
    <row r="1854" spans="1:38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#N/A, OFFSET(data!$A$1, ROW()-1, AA$1-1))</f>
        <v>0</v>
      </c>
      <c r="AB1854">
        <f t="shared" ca="1" si="349"/>
        <v>0</v>
      </c>
      <c r="AC1854" t="e">
        <f t="shared" ca="1" si="350"/>
        <v>#VALUE!</v>
      </c>
      <c r="AD1854" t="str">
        <f t="shared" ca="1" si="351"/>
        <v>0</v>
      </c>
      <c r="AE1854" t="str">
        <f t="shared" ca="1" si="352"/>
        <v/>
      </c>
      <c r="AF1854" s="6">
        <f t="shared" ca="1" si="353"/>
        <v>0</v>
      </c>
      <c r="AG1854">
        <f t="shared" ca="1" si="359"/>
        <v>0</v>
      </c>
      <c r="AH1854">
        <f t="shared" ca="1" si="354"/>
        <v>0</v>
      </c>
      <c r="AI1854">
        <f t="shared" ca="1" si="355"/>
        <v>0</v>
      </c>
      <c r="AJ1854">
        <f t="shared" ca="1" si="356"/>
        <v>0</v>
      </c>
      <c r="AK1854">
        <f t="shared" ca="1" si="357"/>
        <v>0</v>
      </c>
      <c r="AL1854">
        <f t="shared" ca="1" si="358"/>
        <v>0</v>
      </c>
    </row>
    <row r="1855" spans="1:38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#N/A, OFFSET(data!$A$1, ROW()-1, AA$1-1))</f>
        <v>0</v>
      </c>
      <c r="AB1855">
        <f t="shared" ca="1" si="349"/>
        <v>0</v>
      </c>
      <c r="AC1855" t="e">
        <f t="shared" ca="1" si="350"/>
        <v>#VALUE!</v>
      </c>
      <c r="AD1855" t="str">
        <f t="shared" ca="1" si="351"/>
        <v>0</v>
      </c>
      <c r="AE1855" t="str">
        <f t="shared" ca="1" si="352"/>
        <v/>
      </c>
      <c r="AF1855" s="6">
        <f t="shared" ca="1" si="353"/>
        <v>0</v>
      </c>
      <c r="AG1855">
        <f t="shared" ca="1" si="359"/>
        <v>0</v>
      </c>
      <c r="AH1855">
        <f t="shared" ca="1" si="354"/>
        <v>0</v>
      </c>
      <c r="AI1855">
        <f t="shared" ca="1" si="355"/>
        <v>0</v>
      </c>
      <c r="AJ1855">
        <f t="shared" ca="1" si="356"/>
        <v>0</v>
      </c>
      <c r="AK1855">
        <f t="shared" ca="1" si="357"/>
        <v>0</v>
      </c>
      <c r="AL1855">
        <f t="shared" ca="1" si="358"/>
        <v>0</v>
      </c>
    </row>
    <row r="1856" spans="1:38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#N/A, OFFSET(data!$A$1, ROW()-1, AA$1-1))</f>
        <v>0</v>
      </c>
      <c r="AB1856">
        <f t="shared" ca="1" si="349"/>
        <v>0</v>
      </c>
      <c r="AC1856" t="e">
        <f t="shared" ca="1" si="350"/>
        <v>#VALUE!</v>
      </c>
      <c r="AD1856" t="str">
        <f t="shared" ca="1" si="351"/>
        <v>0</v>
      </c>
      <c r="AE1856" t="str">
        <f t="shared" ca="1" si="352"/>
        <v/>
      </c>
      <c r="AF1856" s="6">
        <f t="shared" ca="1" si="353"/>
        <v>0</v>
      </c>
      <c r="AG1856">
        <f t="shared" ca="1" si="359"/>
        <v>0</v>
      </c>
      <c r="AH1856">
        <f t="shared" ca="1" si="354"/>
        <v>0</v>
      </c>
      <c r="AI1856">
        <f t="shared" ca="1" si="355"/>
        <v>0</v>
      </c>
      <c r="AJ1856">
        <f t="shared" ca="1" si="356"/>
        <v>0</v>
      </c>
      <c r="AK1856">
        <f t="shared" ca="1" si="357"/>
        <v>0</v>
      </c>
      <c r="AL1856">
        <f t="shared" ca="1" si="358"/>
        <v>0</v>
      </c>
    </row>
    <row r="1857" spans="1:38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#N/A, OFFSET(data!$A$1, ROW()-1, AA$1-1))</f>
        <v>0</v>
      </c>
      <c r="AB1857">
        <f t="shared" ca="1" si="349"/>
        <v>0</v>
      </c>
      <c r="AC1857" t="e">
        <f t="shared" ca="1" si="350"/>
        <v>#VALUE!</v>
      </c>
      <c r="AD1857" t="str">
        <f t="shared" ca="1" si="351"/>
        <v>0</v>
      </c>
      <c r="AE1857" t="str">
        <f t="shared" ca="1" si="352"/>
        <v/>
      </c>
      <c r="AF1857" s="6">
        <f t="shared" ca="1" si="353"/>
        <v>0</v>
      </c>
      <c r="AG1857">
        <f t="shared" ca="1" si="359"/>
        <v>0</v>
      </c>
      <c r="AH1857">
        <f t="shared" ca="1" si="354"/>
        <v>0</v>
      </c>
      <c r="AI1857">
        <f t="shared" ca="1" si="355"/>
        <v>0</v>
      </c>
      <c r="AJ1857">
        <f t="shared" ca="1" si="356"/>
        <v>0</v>
      </c>
      <c r="AK1857">
        <f t="shared" ca="1" si="357"/>
        <v>0</v>
      </c>
      <c r="AL1857">
        <f t="shared" ca="1" si="358"/>
        <v>0</v>
      </c>
    </row>
    <row r="1858" spans="1:38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#N/A, OFFSET(data!$A$1, ROW()-1, AA$1-1))</f>
        <v>0</v>
      </c>
      <c r="AB1858">
        <f t="shared" ca="1" si="349"/>
        <v>0</v>
      </c>
      <c r="AC1858" t="e">
        <f t="shared" ca="1" si="350"/>
        <v>#VALUE!</v>
      </c>
      <c r="AD1858" t="str">
        <f t="shared" ca="1" si="351"/>
        <v>0</v>
      </c>
      <c r="AE1858" t="str">
        <f t="shared" ca="1" si="352"/>
        <v/>
      </c>
      <c r="AF1858" s="6">
        <f t="shared" ca="1" si="353"/>
        <v>0</v>
      </c>
      <c r="AG1858">
        <f t="shared" ca="1" si="359"/>
        <v>0</v>
      </c>
      <c r="AH1858">
        <f t="shared" ca="1" si="354"/>
        <v>0</v>
      </c>
      <c r="AI1858">
        <f t="shared" ca="1" si="355"/>
        <v>0</v>
      </c>
      <c r="AJ1858">
        <f t="shared" ca="1" si="356"/>
        <v>0</v>
      </c>
      <c r="AK1858">
        <f t="shared" ca="1" si="357"/>
        <v>0</v>
      </c>
      <c r="AL1858">
        <f t="shared" ca="1" si="358"/>
        <v>0</v>
      </c>
    </row>
    <row r="1859" spans="1:38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#N/A, OFFSET(data!$A$1, ROW()-1, AA$1-1))</f>
        <v>0</v>
      </c>
      <c r="AB1859">
        <f t="shared" ref="AB1859:AB1922" ca="1" si="360">VALUE(LEFT(C1859, 4))</f>
        <v>0</v>
      </c>
      <c r="AC1859" t="e">
        <f t="shared" ref="AC1859:AC1922" ca="1" si="361">VALUE(MID(C1859, 6, 2))</f>
        <v>#VALUE!</v>
      </c>
      <c r="AD1859" t="str">
        <f t="shared" ref="AD1859:AD1922" ca="1" si="362">SUBSTITUTE(MID(C1859,6,6)&amp;LEFT(C1859,4), "-", "/")</f>
        <v>0</v>
      </c>
      <c r="AE1859" t="str">
        <f t="shared" ref="AE1859:AE1922" ca="1" si="363">IF(RIGHT(C1859, 5)="12:00", AD1859, "")</f>
        <v/>
      </c>
      <c r="AF1859" s="6">
        <f t="shared" ref="AF1859:AF1922" ca="1" si="364">Z1859/1000</f>
        <v>0</v>
      </c>
      <c r="AG1859">
        <f t="shared" ca="1" si="359"/>
        <v>0</v>
      </c>
      <c r="AH1859">
        <f t="shared" ca="1" si="354"/>
        <v>0</v>
      </c>
      <c r="AI1859">
        <f t="shared" ca="1" si="355"/>
        <v>0</v>
      </c>
      <c r="AJ1859">
        <f t="shared" ca="1" si="356"/>
        <v>0</v>
      </c>
      <c r="AK1859">
        <f t="shared" ca="1" si="357"/>
        <v>0</v>
      </c>
      <c r="AL1859">
        <f t="shared" ca="1" si="358"/>
        <v>0</v>
      </c>
    </row>
    <row r="1860" spans="1:38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#N/A, OFFSET(data!$A$1, ROW()-1, AA$1-1))</f>
        <v>0</v>
      </c>
      <c r="AB1860">
        <f t="shared" ca="1" si="360"/>
        <v>0</v>
      </c>
      <c r="AC1860" t="e">
        <f t="shared" ca="1" si="361"/>
        <v>#VALUE!</v>
      </c>
      <c r="AD1860" t="str">
        <f t="shared" ca="1" si="362"/>
        <v>0</v>
      </c>
      <c r="AE1860" t="str">
        <f t="shared" ca="1" si="363"/>
        <v/>
      </c>
      <c r="AF1860" s="6">
        <f t="shared" ca="1" si="364"/>
        <v>0</v>
      </c>
      <c r="AG1860">
        <f t="shared" ca="1" si="359"/>
        <v>0</v>
      </c>
      <c r="AH1860">
        <f t="shared" ref="AH1860:AH1923" ca="1" si="365">MAX(S1860,Y1860)</f>
        <v>0</v>
      </c>
      <c r="AI1860">
        <f t="shared" ref="AI1860:AI1923" ca="1" si="366">MAX(R1860,V1860)</f>
        <v>0</v>
      </c>
      <c r="AJ1860">
        <f t="shared" ref="AJ1860:AJ1923" ca="1" si="367">K1860+N1860</f>
        <v>0</v>
      </c>
      <c r="AK1860">
        <f t="shared" ref="AK1860:AK1923" ca="1" si="368">L1860+O1860</f>
        <v>0</v>
      </c>
      <c r="AL1860">
        <f t="shared" ref="AL1860:AL1923" ca="1" si="369">M1860+P1860</f>
        <v>0</v>
      </c>
    </row>
    <row r="1861" spans="1:38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#N/A, OFFSET(data!$A$1, ROW()-1, AA$1-1))</f>
        <v>0</v>
      </c>
      <c r="AB1861">
        <f t="shared" ca="1" si="360"/>
        <v>0</v>
      </c>
      <c r="AC1861" t="e">
        <f t="shared" ca="1" si="361"/>
        <v>#VALUE!</v>
      </c>
      <c r="AD1861" t="str">
        <f t="shared" ca="1" si="362"/>
        <v>0</v>
      </c>
      <c r="AE1861" t="str">
        <f t="shared" ca="1" si="363"/>
        <v/>
      </c>
      <c r="AF1861" s="6">
        <f t="shared" ca="1" si="364"/>
        <v>0</v>
      </c>
      <c r="AG1861">
        <f t="shared" ca="1" si="359"/>
        <v>0</v>
      </c>
      <c r="AH1861">
        <f t="shared" ca="1" si="365"/>
        <v>0</v>
      </c>
      <c r="AI1861">
        <f t="shared" ca="1" si="366"/>
        <v>0</v>
      </c>
      <c r="AJ1861">
        <f t="shared" ca="1" si="367"/>
        <v>0</v>
      </c>
      <c r="AK1861">
        <f t="shared" ca="1" si="368"/>
        <v>0</v>
      </c>
      <c r="AL1861">
        <f t="shared" ca="1" si="369"/>
        <v>0</v>
      </c>
    </row>
    <row r="1862" spans="1:38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#N/A, OFFSET(data!$A$1, ROW()-1, AA$1-1))</f>
        <v>0</v>
      </c>
      <c r="AB1862">
        <f t="shared" ca="1" si="360"/>
        <v>0</v>
      </c>
      <c r="AC1862" t="e">
        <f t="shared" ca="1" si="361"/>
        <v>#VALUE!</v>
      </c>
      <c r="AD1862" t="str">
        <f t="shared" ca="1" si="362"/>
        <v>0</v>
      </c>
      <c r="AE1862" t="str">
        <f t="shared" ca="1" si="363"/>
        <v/>
      </c>
      <c r="AF1862" s="6">
        <f t="shared" ca="1" si="364"/>
        <v>0</v>
      </c>
      <c r="AG1862">
        <f t="shared" ca="1" si="359"/>
        <v>0</v>
      </c>
      <c r="AH1862">
        <f t="shared" ca="1" si="365"/>
        <v>0</v>
      </c>
      <c r="AI1862">
        <f t="shared" ca="1" si="366"/>
        <v>0</v>
      </c>
      <c r="AJ1862">
        <f t="shared" ca="1" si="367"/>
        <v>0</v>
      </c>
      <c r="AK1862">
        <f t="shared" ca="1" si="368"/>
        <v>0</v>
      </c>
      <c r="AL1862">
        <f t="shared" ca="1" si="369"/>
        <v>0</v>
      </c>
    </row>
    <row r="1863" spans="1:38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#N/A, OFFSET(data!$A$1, ROW()-1, AA$1-1))</f>
        <v>0</v>
      </c>
      <c r="AB1863">
        <f t="shared" ca="1" si="360"/>
        <v>0</v>
      </c>
      <c r="AC1863" t="e">
        <f t="shared" ca="1" si="361"/>
        <v>#VALUE!</v>
      </c>
      <c r="AD1863" t="str">
        <f t="shared" ca="1" si="362"/>
        <v>0</v>
      </c>
      <c r="AE1863" t="str">
        <f t="shared" ca="1" si="363"/>
        <v/>
      </c>
      <c r="AF1863" s="6">
        <f t="shared" ca="1" si="364"/>
        <v>0</v>
      </c>
      <c r="AG1863">
        <f t="shared" ca="1" si="359"/>
        <v>0</v>
      </c>
      <c r="AH1863">
        <f t="shared" ca="1" si="365"/>
        <v>0</v>
      </c>
      <c r="AI1863">
        <f t="shared" ca="1" si="366"/>
        <v>0</v>
      </c>
      <c r="AJ1863">
        <f t="shared" ca="1" si="367"/>
        <v>0</v>
      </c>
      <c r="AK1863">
        <f t="shared" ca="1" si="368"/>
        <v>0</v>
      </c>
      <c r="AL1863">
        <f t="shared" ca="1" si="369"/>
        <v>0</v>
      </c>
    </row>
    <row r="1864" spans="1:38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#N/A, OFFSET(data!$A$1, ROW()-1, AA$1-1))</f>
        <v>0</v>
      </c>
      <c r="AB1864">
        <f t="shared" ca="1" si="360"/>
        <v>0</v>
      </c>
      <c r="AC1864" t="e">
        <f t="shared" ca="1" si="361"/>
        <v>#VALUE!</v>
      </c>
      <c r="AD1864" t="str">
        <f t="shared" ca="1" si="362"/>
        <v>0</v>
      </c>
      <c r="AE1864" t="str">
        <f t="shared" ca="1" si="363"/>
        <v/>
      </c>
      <c r="AF1864" s="6">
        <f t="shared" ca="1" si="364"/>
        <v>0</v>
      </c>
      <c r="AG1864">
        <f t="shared" ca="1" si="359"/>
        <v>0</v>
      </c>
      <c r="AH1864">
        <f t="shared" ca="1" si="365"/>
        <v>0</v>
      </c>
      <c r="AI1864">
        <f t="shared" ca="1" si="366"/>
        <v>0</v>
      </c>
      <c r="AJ1864">
        <f t="shared" ca="1" si="367"/>
        <v>0</v>
      </c>
      <c r="AK1864">
        <f t="shared" ca="1" si="368"/>
        <v>0</v>
      </c>
      <c r="AL1864">
        <f t="shared" ca="1" si="369"/>
        <v>0</v>
      </c>
    </row>
    <row r="1865" spans="1:38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#N/A, OFFSET(data!$A$1, ROW()-1, AA$1-1))</f>
        <v>0</v>
      </c>
      <c r="AB1865">
        <f t="shared" ca="1" si="360"/>
        <v>0</v>
      </c>
      <c r="AC1865" t="e">
        <f t="shared" ca="1" si="361"/>
        <v>#VALUE!</v>
      </c>
      <c r="AD1865" t="str">
        <f t="shared" ca="1" si="362"/>
        <v>0</v>
      </c>
      <c r="AE1865" t="str">
        <f t="shared" ca="1" si="363"/>
        <v/>
      </c>
      <c r="AF1865" s="6">
        <f t="shared" ca="1" si="364"/>
        <v>0</v>
      </c>
      <c r="AG1865">
        <f t="shared" ca="1" si="359"/>
        <v>0</v>
      </c>
      <c r="AH1865">
        <f t="shared" ca="1" si="365"/>
        <v>0</v>
      </c>
      <c r="AI1865">
        <f t="shared" ca="1" si="366"/>
        <v>0</v>
      </c>
      <c r="AJ1865">
        <f t="shared" ca="1" si="367"/>
        <v>0</v>
      </c>
      <c r="AK1865">
        <f t="shared" ca="1" si="368"/>
        <v>0</v>
      </c>
      <c r="AL1865">
        <f t="shared" ca="1" si="369"/>
        <v>0</v>
      </c>
    </row>
    <row r="1866" spans="1:38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#N/A, OFFSET(data!$A$1, ROW()-1, AA$1-1))</f>
        <v>0</v>
      </c>
      <c r="AB1866">
        <f t="shared" ca="1" si="360"/>
        <v>0</v>
      </c>
      <c r="AC1866" t="e">
        <f t="shared" ca="1" si="361"/>
        <v>#VALUE!</v>
      </c>
      <c r="AD1866" t="str">
        <f t="shared" ca="1" si="362"/>
        <v>0</v>
      </c>
      <c r="AE1866" t="str">
        <f t="shared" ca="1" si="363"/>
        <v/>
      </c>
      <c r="AF1866" s="6">
        <f t="shared" ca="1" si="364"/>
        <v>0</v>
      </c>
      <c r="AG1866">
        <f t="shared" ca="1" si="359"/>
        <v>0</v>
      </c>
      <c r="AH1866">
        <f t="shared" ca="1" si="365"/>
        <v>0</v>
      </c>
      <c r="AI1866">
        <f t="shared" ca="1" si="366"/>
        <v>0</v>
      </c>
      <c r="AJ1866">
        <f t="shared" ca="1" si="367"/>
        <v>0</v>
      </c>
      <c r="AK1866">
        <f t="shared" ca="1" si="368"/>
        <v>0</v>
      </c>
      <c r="AL1866">
        <f t="shared" ca="1" si="369"/>
        <v>0</v>
      </c>
    </row>
    <row r="1867" spans="1:38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#N/A, OFFSET(data!$A$1, ROW()-1, AA$1-1))</f>
        <v>0</v>
      </c>
      <c r="AB1867">
        <f t="shared" ca="1" si="360"/>
        <v>0</v>
      </c>
      <c r="AC1867" t="e">
        <f t="shared" ca="1" si="361"/>
        <v>#VALUE!</v>
      </c>
      <c r="AD1867" t="str">
        <f t="shared" ca="1" si="362"/>
        <v>0</v>
      </c>
      <c r="AE1867" t="str">
        <f t="shared" ca="1" si="363"/>
        <v/>
      </c>
      <c r="AF1867" s="6">
        <f t="shared" ca="1" si="364"/>
        <v>0</v>
      </c>
      <c r="AG1867">
        <f t="shared" ca="1" si="359"/>
        <v>0</v>
      </c>
      <c r="AH1867">
        <f t="shared" ca="1" si="365"/>
        <v>0</v>
      </c>
      <c r="AI1867">
        <f t="shared" ca="1" si="366"/>
        <v>0</v>
      </c>
      <c r="AJ1867">
        <f t="shared" ca="1" si="367"/>
        <v>0</v>
      </c>
      <c r="AK1867">
        <f t="shared" ca="1" si="368"/>
        <v>0</v>
      </c>
      <c r="AL1867">
        <f t="shared" ca="1" si="369"/>
        <v>0</v>
      </c>
    </row>
    <row r="1868" spans="1:38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#N/A, OFFSET(data!$A$1, ROW()-1, AA$1-1))</f>
        <v>0</v>
      </c>
      <c r="AB1868">
        <f t="shared" ca="1" si="360"/>
        <v>0</v>
      </c>
      <c r="AC1868" t="e">
        <f t="shared" ca="1" si="361"/>
        <v>#VALUE!</v>
      </c>
      <c r="AD1868" t="str">
        <f t="shared" ca="1" si="362"/>
        <v>0</v>
      </c>
      <c r="AE1868" t="str">
        <f t="shared" ca="1" si="363"/>
        <v/>
      </c>
      <c r="AF1868" s="6">
        <f t="shared" ca="1" si="364"/>
        <v>0</v>
      </c>
      <c r="AG1868">
        <f t="shared" ca="1" si="359"/>
        <v>0</v>
      </c>
      <c r="AH1868">
        <f t="shared" ca="1" si="365"/>
        <v>0</v>
      </c>
      <c r="AI1868">
        <f t="shared" ca="1" si="366"/>
        <v>0</v>
      </c>
      <c r="AJ1868">
        <f t="shared" ca="1" si="367"/>
        <v>0</v>
      </c>
      <c r="AK1868">
        <f t="shared" ca="1" si="368"/>
        <v>0</v>
      </c>
      <c r="AL1868">
        <f t="shared" ca="1" si="369"/>
        <v>0</v>
      </c>
    </row>
    <row r="1869" spans="1:38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#N/A, OFFSET(data!$A$1, ROW()-1, AA$1-1))</f>
        <v>0</v>
      </c>
      <c r="AB1869">
        <f t="shared" ca="1" si="360"/>
        <v>0</v>
      </c>
      <c r="AC1869" t="e">
        <f t="shared" ca="1" si="361"/>
        <v>#VALUE!</v>
      </c>
      <c r="AD1869" t="str">
        <f t="shared" ca="1" si="362"/>
        <v>0</v>
      </c>
      <c r="AE1869" t="str">
        <f t="shared" ca="1" si="363"/>
        <v/>
      </c>
      <c r="AF1869" s="6">
        <f t="shared" ca="1" si="364"/>
        <v>0</v>
      </c>
      <c r="AG1869">
        <f t="shared" ca="1" si="359"/>
        <v>0</v>
      </c>
      <c r="AH1869">
        <f t="shared" ca="1" si="365"/>
        <v>0</v>
      </c>
      <c r="AI1869">
        <f t="shared" ca="1" si="366"/>
        <v>0</v>
      </c>
      <c r="AJ1869">
        <f t="shared" ca="1" si="367"/>
        <v>0</v>
      </c>
      <c r="AK1869">
        <f t="shared" ca="1" si="368"/>
        <v>0</v>
      </c>
      <c r="AL1869">
        <f t="shared" ca="1" si="369"/>
        <v>0</v>
      </c>
    </row>
    <row r="1870" spans="1:38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#N/A, OFFSET(data!$A$1, ROW()-1, AA$1-1))</f>
        <v>0</v>
      </c>
      <c r="AB1870">
        <f t="shared" ca="1" si="360"/>
        <v>0</v>
      </c>
      <c r="AC1870" t="e">
        <f t="shared" ca="1" si="361"/>
        <v>#VALUE!</v>
      </c>
      <c r="AD1870" t="str">
        <f t="shared" ca="1" si="362"/>
        <v>0</v>
      </c>
      <c r="AE1870" t="str">
        <f t="shared" ca="1" si="363"/>
        <v/>
      </c>
      <c r="AF1870" s="6">
        <f t="shared" ca="1" si="364"/>
        <v>0</v>
      </c>
      <c r="AG1870">
        <f t="shared" ca="1" si="359"/>
        <v>0</v>
      </c>
      <c r="AH1870">
        <f t="shared" ca="1" si="365"/>
        <v>0</v>
      </c>
      <c r="AI1870">
        <f t="shared" ca="1" si="366"/>
        <v>0</v>
      </c>
      <c r="AJ1870">
        <f t="shared" ca="1" si="367"/>
        <v>0</v>
      </c>
      <c r="AK1870">
        <f t="shared" ca="1" si="368"/>
        <v>0</v>
      </c>
      <c r="AL1870">
        <f t="shared" ca="1" si="369"/>
        <v>0</v>
      </c>
    </row>
    <row r="1871" spans="1:38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#N/A, OFFSET(data!$A$1, ROW()-1, AA$1-1))</f>
        <v>0</v>
      </c>
      <c r="AB1871">
        <f t="shared" ca="1" si="360"/>
        <v>0</v>
      </c>
      <c r="AC1871" t="e">
        <f t="shared" ca="1" si="361"/>
        <v>#VALUE!</v>
      </c>
      <c r="AD1871" t="str">
        <f t="shared" ca="1" si="362"/>
        <v>0</v>
      </c>
      <c r="AE1871" t="str">
        <f t="shared" ca="1" si="363"/>
        <v/>
      </c>
      <c r="AF1871" s="6">
        <f t="shared" ca="1" si="364"/>
        <v>0</v>
      </c>
      <c r="AG1871">
        <f t="shared" ca="1" si="359"/>
        <v>0</v>
      </c>
      <c r="AH1871">
        <f t="shared" ca="1" si="365"/>
        <v>0</v>
      </c>
      <c r="AI1871">
        <f t="shared" ca="1" si="366"/>
        <v>0</v>
      </c>
      <c r="AJ1871">
        <f t="shared" ca="1" si="367"/>
        <v>0</v>
      </c>
      <c r="AK1871">
        <f t="shared" ca="1" si="368"/>
        <v>0</v>
      </c>
      <c r="AL1871">
        <f t="shared" ca="1" si="369"/>
        <v>0</v>
      </c>
    </row>
    <row r="1872" spans="1:38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#N/A, OFFSET(data!$A$1, ROW()-1, AA$1-1))</f>
        <v>0</v>
      </c>
      <c r="AB1872">
        <f t="shared" ca="1" si="360"/>
        <v>0</v>
      </c>
      <c r="AC1872" t="e">
        <f t="shared" ca="1" si="361"/>
        <v>#VALUE!</v>
      </c>
      <c r="AD1872" t="str">
        <f t="shared" ca="1" si="362"/>
        <v>0</v>
      </c>
      <c r="AE1872" t="str">
        <f t="shared" ca="1" si="363"/>
        <v/>
      </c>
      <c r="AF1872" s="6">
        <f t="shared" ca="1" si="364"/>
        <v>0</v>
      </c>
      <c r="AG1872">
        <f t="shared" ca="1" si="359"/>
        <v>0</v>
      </c>
      <c r="AH1872">
        <f t="shared" ca="1" si="365"/>
        <v>0</v>
      </c>
      <c r="AI1872">
        <f t="shared" ca="1" si="366"/>
        <v>0</v>
      </c>
      <c r="AJ1872">
        <f t="shared" ca="1" si="367"/>
        <v>0</v>
      </c>
      <c r="AK1872">
        <f t="shared" ca="1" si="368"/>
        <v>0</v>
      </c>
      <c r="AL1872">
        <f t="shared" ca="1" si="369"/>
        <v>0</v>
      </c>
    </row>
    <row r="1873" spans="1:38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#N/A, OFFSET(data!$A$1, ROW()-1, AA$1-1))</f>
        <v>0</v>
      </c>
      <c r="AB1873">
        <f t="shared" ca="1" si="360"/>
        <v>0</v>
      </c>
      <c r="AC1873" t="e">
        <f t="shared" ca="1" si="361"/>
        <v>#VALUE!</v>
      </c>
      <c r="AD1873" t="str">
        <f t="shared" ca="1" si="362"/>
        <v>0</v>
      </c>
      <c r="AE1873" t="str">
        <f t="shared" ca="1" si="363"/>
        <v/>
      </c>
      <c r="AF1873" s="6">
        <f t="shared" ca="1" si="364"/>
        <v>0</v>
      </c>
      <c r="AG1873">
        <f t="shared" ca="1" si="359"/>
        <v>0</v>
      </c>
      <c r="AH1873">
        <f t="shared" ca="1" si="365"/>
        <v>0</v>
      </c>
      <c r="AI1873">
        <f t="shared" ca="1" si="366"/>
        <v>0</v>
      </c>
      <c r="AJ1873">
        <f t="shared" ca="1" si="367"/>
        <v>0</v>
      </c>
      <c r="AK1873">
        <f t="shared" ca="1" si="368"/>
        <v>0</v>
      </c>
      <c r="AL1873">
        <f t="shared" ca="1" si="369"/>
        <v>0</v>
      </c>
    </row>
    <row r="1874" spans="1:38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#N/A, OFFSET(data!$A$1, ROW()-1, AA$1-1))</f>
        <v>0</v>
      </c>
      <c r="AB1874">
        <f t="shared" ca="1" si="360"/>
        <v>0</v>
      </c>
      <c r="AC1874" t="e">
        <f t="shared" ca="1" si="361"/>
        <v>#VALUE!</v>
      </c>
      <c r="AD1874" t="str">
        <f t="shared" ca="1" si="362"/>
        <v>0</v>
      </c>
      <c r="AE1874" t="str">
        <f t="shared" ca="1" si="363"/>
        <v/>
      </c>
      <c r="AF1874" s="6">
        <f t="shared" ca="1" si="364"/>
        <v>0</v>
      </c>
      <c r="AG1874">
        <f t="shared" ca="1" si="359"/>
        <v>0</v>
      </c>
      <c r="AH1874">
        <f t="shared" ca="1" si="365"/>
        <v>0</v>
      </c>
      <c r="AI1874">
        <f t="shared" ca="1" si="366"/>
        <v>0</v>
      </c>
      <c r="AJ1874">
        <f t="shared" ca="1" si="367"/>
        <v>0</v>
      </c>
      <c r="AK1874">
        <f t="shared" ca="1" si="368"/>
        <v>0</v>
      </c>
      <c r="AL1874">
        <f t="shared" ca="1" si="369"/>
        <v>0</v>
      </c>
    </row>
    <row r="1875" spans="1:38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#N/A, OFFSET(data!$A$1, ROW()-1, AA$1-1))</f>
        <v>0</v>
      </c>
      <c r="AB1875">
        <f t="shared" ca="1" si="360"/>
        <v>0</v>
      </c>
      <c r="AC1875" t="e">
        <f t="shared" ca="1" si="361"/>
        <v>#VALUE!</v>
      </c>
      <c r="AD1875" t="str">
        <f t="shared" ca="1" si="362"/>
        <v>0</v>
      </c>
      <c r="AE1875" t="str">
        <f t="shared" ca="1" si="363"/>
        <v/>
      </c>
      <c r="AF1875" s="6">
        <f t="shared" ca="1" si="364"/>
        <v>0</v>
      </c>
      <c r="AG1875">
        <f t="shared" ca="1" si="359"/>
        <v>0</v>
      </c>
      <c r="AH1875">
        <f t="shared" ca="1" si="365"/>
        <v>0</v>
      </c>
      <c r="AI1875">
        <f t="shared" ca="1" si="366"/>
        <v>0</v>
      </c>
      <c r="AJ1875">
        <f t="shared" ca="1" si="367"/>
        <v>0</v>
      </c>
      <c r="AK1875">
        <f t="shared" ca="1" si="368"/>
        <v>0</v>
      </c>
      <c r="AL1875">
        <f t="shared" ca="1" si="369"/>
        <v>0</v>
      </c>
    </row>
    <row r="1876" spans="1:38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#N/A, OFFSET(data!$A$1, ROW()-1, AA$1-1))</f>
        <v>0</v>
      </c>
      <c r="AB1876">
        <f t="shared" ca="1" si="360"/>
        <v>0</v>
      </c>
      <c r="AC1876" t="e">
        <f t="shared" ca="1" si="361"/>
        <v>#VALUE!</v>
      </c>
      <c r="AD1876" t="str">
        <f t="shared" ca="1" si="362"/>
        <v>0</v>
      </c>
      <c r="AE1876" t="str">
        <f t="shared" ca="1" si="363"/>
        <v/>
      </c>
      <c r="AF1876" s="6">
        <f t="shared" ca="1" si="364"/>
        <v>0</v>
      </c>
      <c r="AG1876">
        <f t="shared" ca="1" si="359"/>
        <v>0</v>
      </c>
      <c r="AH1876">
        <f t="shared" ca="1" si="365"/>
        <v>0</v>
      </c>
      <c r="AI1876">
        <f t="shared" ca="1" si="366"/>
        <v>0</v>
      </c>
      <c r="AJ1876">
        <f t="shared" ca="1" si="367"/>
        <v>0</v>
      </c>
      <c r="AK1876">
        <f t="shared" ca="1" si="368"/>
        <v>0</v>
      </c>
      <c r="AL1876">
        <f t="shared" ca="1" si="369"/>
        <v>0</v>
      </c>
    </row>
    <row r="1877" spans="1:38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#N/A, OFFSET(data!$A$1, ROW()-1, AA$1-1))</f>
        <v>0</v>
      </c>
      <c r="AB1877">
        <f t="shared" ca="1" si="360"/>
        <v>0</v>
      </c>
      <c r="AC1877" t="e">
        <f t="shared" ca="1" si="361"/>
        <v>#VALUE!</v>
      </c>
      <c r="AD1877" t="str">
        <f t="shared" ca="1" si="362"/>
        <v>0</v>
      </c>
      <c r="AE1877" t="str">
        <f t="shared" ca="1" si="363"/>
        <v/>
      </c>
      <c r="AF1877" s="6">
        <f t="shared" ca="1" si="364"/>
        <v>0</v>
      </c>
      <c r="AG1877">
        <f t="shared" ca="1" si="359"/>
        <v>0</v>
      </c>
      <c r="AH1877">
        <f t="shared" ca="1" si="365"/>
        <v>0</v>
      </c>
      <c r="AI1877">
        <f t="shared" ca="1" si="366"/>
        <v>0</v>
      </c>
      <c r="AJ1877">
        <f t="shared" ca="1" si="367"/>
        <v>0</v>
      </c>
      <c r="AK1877">
        <f t="shared" ca="1" si="368"/>
        <v>0</v>
      </c>
      <c r="AL1877">
        <f t="shared" ca="1" si="369"/>
        <v>0</v>
      </c>
    </row>
    <row r="1878" spans="1:38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#N/A, OFFSET(data!$A$1, ROW()-1, AA$1-1))</f>
        <v>0</v>
      </c>
      <c r="AB1878">
        <f t="shared" ca="1" si="360"/>
        <v>0</v>
      </c>
      <c r="AC1878" t="e">
        <f t="shared" ca="1" si="361"/>
        <v>#VALUE!</v>
      </c>
      <c r="AD1878" t="str">
        <f t="shared" ca="1" si="362"/>
        <v>0</v>
      </c>
      <c r="AE1878" t="str">
        <f t="shared" ca="1" si="363"/>
        <v/>
      </c>
      <c r="AF1878" s="6">
        <f t="shared" ca="1" si="364"/>
        <v>0</v>
      </c>
      <c r="AG1878">
        <f t="shared" ca="1" si="359"/>
        <v>0</v>
      </c>
      <c r="AH1878">
        <f t="shared" ca="1" si="365"/>
        <v>0</v>
      </c>
      <c r="AI1878">
        <f t="shared" ca="1" si="366"/>
        <v>0</v>
      </c>
      <c r="AJ1878">
        <f t="shared" ca="1" si="367"/>
        <v>0</v>
      </c>
      <c r="AK1878">
        <f t="shared" ca="1" si="368"/>
        <v>0</v>
      </c>
      <c r="AL1878">
        <f t="shared" ca="1" si="369"/>
        <v>0</v>
      </c>
    </row>
    <row r="1879" spans="1:38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#N/A, OFFSET(data!$A$1, ROW()-1, AA$1-1))</f>
        <v>0</v>
      </c>
      <c r="AB1879">
        <f t="shared" ca="1" si="360"/>
        <v>0</v>
      </c>
      <c r="AC1879" t="e">
        <f t="shared" ca="1" si="361"/>
        <v>#VALUE!</v>
      </c>
      <c r="AD1879" t="str">
        <f t="shared" ca="1" si="362"/>
        <v>0</v>
      </c>
      <c r="AE1879" t="str">
        <f t="shared" ca="1" si="363"/>
        <v/>
      </c>
      <c r="AF1879" s="6">
        <f t="shared" ca="1" si="364"/>
        <v>0</v>
      </c>
      <c r="AG1879">
        <f t="shared" ca="1" si="359"/>
        <v>0</v>
      </c>
      <c r="AH1879">
        <f t="shared" ca="1" si="365"/>
        <v>0</v>
      </c>
      <c r="AI1879">
        <f t="shared" ca="1" si="366"/>
        <v>0</v>
      </c>
      <c r="AJ1879">
        <f t="shared" ca="1" si="367"/>
        <v>0</v>
      </c>
      <c r="AK1879">
        <f t="shared" ca="1" si="368"/>
        <v>0</v>
      </c>
      <c r="AL1879">
        <f t="shared" ca="1" si="369"/>
        <v>0</v>
      </c>
    </row>
    <row r="1880" spans="1:38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#N/A, OFFSET(data!$A$1, ROW()-1, AA$1-1))</f>
        <v>0</v>
      </c>
      <c r="AB1880">
        <f t="shared" ca="1" si="360"/>
        <v>0</v>
      </c>
      <c r="AC1880" t="e">
        <f t="shared" ca="1" si="361"/>
        <v>#VALUE!</v>
      </c>
      <c r="AD1880" t="str">
        <f t="shared" ca="1" si="362"/>
        <v>0</v>
      </c>
      <c r="AE1880" t="str">
        <f t="shared" ca="1" si="363"/>
        <v/>
      </c>
      <c r="AF1880" s="6">
        <f t="shared" ca="1" si="364"/>
        <v>0</v>
      </c>
      <c r="AG1880">
        <f t="shared" ca="1" si="359"/>
        <v>0</v>
      </c>
      <c r="AH1880">
        <f t="shared" ca="1" si="365"/>
        <v>0</v>
      </c>
      <c r="AI1880">
        <f t="shared" ca="1" si="366"/>
        <v>0</v>
      </c>
      <c r="AJ1880">
        <f t="shared" ca="1" si="367"/>
        <v>0</v>
      </c>
      <c r="AK1880">
        <f t="shared" ca="1" si="368"/>
        <v>0</v>
      </c>
      <c r="AL1880">
        <f t="shared" ca="1" si="369"/>
        <v>0</v>
      </c>
    </row>
    <row r="1881" spans="1:38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#N/A, OFFSET(data!$A$1, ROW()-1, AA$1-1))</f>
        <v>0</v>
      </c>
      <c r="AB1881">
        <f t="shared" ca="1" si="360"/>
        <v>0</v>
      </c>
      <c r="AC1881" t="e">
        <f t="shared" ca="1" si="361"/>
        <v>#VALUE!</v>
      </c>
      <c r="AD1881" t="str">
        <f t="shared" ca="1" si="362"/>
        <v>0</v>
      </c>
      <c r="AE1881" t="str">
        <f t="shared" ca="1" si="363"/>
        <v/>
      </c>
      <c r="AF1881" s="6">
        <f t="shared" ca="1" si="364"/>
        <v>0</v>
      </c>
      <c r="AG1881">
        <f t="shared" ca="1" si="359"/>
        <v>0</v>
      </c>
      <c r="AH1881">
        <f t="shared" ca="1" si="365"/>
        <v>0</v>
      </c>
      <c r="AI1881">
        <f t="shared" ca="1" si="366"/>
        <v>0</v>
      </c>
      <c r="AJ1881">
        <f t="shared" ca="1" si="367"/>
        <v>0</v>
      </c>
      <c r="AK1881">
        <f t="shared" ca="1" si="368"/>
        <v>0</v>
      </c>
      <c r="AL1881">
        <f t="shared" ca="1" si="369"/>
        <v>0</v>
      </c>
    </row>
    <row r="1882" spans="1:38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#N/A, OFFSET(data!$A$1, ROW()-1, AA$1-1))</f>
        <v>0</v>
      </c>
      <c r="AB1882">
        <f t="shared" ca="1" si="360"/>
        <v>0</v>
      </c>
      <c r="AC1882" t="e">
        <f t="shared" ca="1" si="361"/>
        <v>#VALUE!</v>
      </c>
      <c r="AD1882" t="str">
        <f t="shared" ca="1" si="362"/>
        <v>0</v>
      </c>
      <c r="AE1882" t="str">
        <f t="shared" ca="1" si="363"/>
        <v/>
      </c>
      <c r="AF1882" s="6">
        <f t="shared" ca="1" si="364"/>
        <v>0</v>
      </c>
      <c r="AG1882">
        <f t="shared" ca="1" si="359"/>
        <v>0</v>
      </c>
      <c r="AH1882">
        <f t="shared" ca="1" si="365"/>
        <v>0</v>
      </c>
      <c r="AI1882">
        <f t="shared" ca="1" si="366"/>
        <v>0</v>
      </c>
      <c r="AJ1882">
        <f t="shared" ca="1" si="367"/>
        <v>0</v>
      </c>
      <c r="AK1882">
        <f t="shared" ca="1" si="368"/>
        <v>0</v>
      </c>
      <c r="AL1882">
        <f t="shared" ca="1" si="369"/>
        <v>0</v>
      </c>
    </row>
    <row r="1883" spans="1:38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#N/A, OFFSET(data!$A$1, ROW()-1, AA$1-1))</f>
        <v>0</v>
      </c>
      <c r="AB1883">
        <f t="shared" ca="1" si="360"/>
        <v>0</v>
      </c>
      <c r="AC1883" t="e">
        <f t="shared" ca="1" si="361"/>
        <v>#VALUE!</v>
      </c>
      <c r="AD1883" t="str">
        <f t="shared" ca="1" si="362"/>
        <v>0</v>
      </c>
      <c r="AE1883" t="str">
        <f t="shared" ca="1" si="363"/>
        <v/>
      </c>
      <c r="AF1883" s="6">
        <f t="shared" ca="1" si="364"/>
        <v>0</v>
      </c>
      <c r="AG1883">
        <f t="shared" ca="1" si="359"/>
        <v>0</v>
      </c>
      <c r="AH1883">
        <f t="shared" ca="1" si="365"/>
        <v>0</v>
      </c>
      <c r="AI1883">
        <f t="shared" ca="1" si="366"/>
        <v>0</v>
      </c>
      <c r="AJ1883">
        <f t="shared" ca="1" si="367"/>
        <v>0</v>
      </c>
      <c r="AK1883">
        <f t="shared" ca="1" si="368"/>
        <v>0</v>
      </c>
      <c r="AL1883">
        <f t="shared" ca="1" si="369"/>
        <v>0</v>
      </c>
    </row>
    <row r="1884" spans="1:38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#N/A, OFFSET(data!$A$1, ROW()-1, AA$1-1))</f>
        <v>0</v>
      </c>
      <c r="AB1884">
        <f t="shared" ca="1" si="360"/>
        <v>0</v>
      </c>
      <c r="AC1884" t="e">
        <f t="shared" ca="1" si="361"/>
        <v>#VALUE!</v>
      </c>
      <c r="AD1884" t="str">
        <f t="shared" ca="1" si="362"/>
        <v>0</v>
      </c>
      <c r="AE1884" t="str">
        <f t="shared" ca="1" si="363"/>
        <v/>
      </c>
      <c r="AF1884" s="6">
        <f t="shared" ca="1" si="364"/>
        <v>0</v>
      </c>
      <c r="AG1884">
        <f t="shared" ca="1" si="359"/>
        <v>0</v>
      </c>
      <c r="AH1884">
        <f t="shared" ca="1" si="365"/>
        <v>0</v>
      </c>
      <c r="AI1884">
        <f t="shared" ca="1" si="366"/>
        <v>0</v>
      </c>
      <c r="AJ1884">
        <f t="shared" ca="1" si="367"/>
        <v>0</v>
      </c>
      <c r="AK1884">
        <f t="shared" ca="1" si="368"/>
        <v>0</v>
      </c>
      <c r="AL1884">
        <f t="shared" ca="1" si="369"/>
        <v>0</v>
      </c>
    </row>
    <row r="1885" spans="1:38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#N/A, OFFSET(data!$A$1, ROW()-1, AA$1-1))</f>
        <v>0</v>
      </c>
      <c r="AB1885">
        <f t="shared" ca="1" si="360"/>
        <v>0</v>
      </c>
      <c r="AC1885" t="e">
        <f t="shared" ca="1" si="361"/>
        <v>#VALUE!</v>
      </c>
      <c r="AD1885" t="str">
        <f t="shared" ca="1" si="362"/>
        <v>0</v>
      </c>
      <c r="AE1885" t="str">
        <f t="shared" ca="1" si="363"/>
        <v/>
      </c>
      <c r="AF1885" s="6">
        <f t="shared" ca="1" si="364"/>
        <v>0</v>
      </c>
      <c r="AG1885">
        <f t="shared" ca="1" si="359"/>
        <v>0</v>
      </c>
      <c r="AH1885">
        <f t="shared" ca="1" si="365"/>
        <v>0</v>
      </c>
      <c r="AI1885">
        <f t="shared" ca="1" si="366"/>
        <v>0</v>
      </c>
      <c r="AJ1885">
        <f t="shared" ca="1" si="367"/>
        <v>0</v>
      </c>
      <c r="AK1885">
        <f t="shared" ca="1" si="368"/>
        <v>0</v>
      </c>
      <c r="AL1885">
        <f t="shared" ca="1" si="369"/>
        <v>0</v>
      </c>
    </row>
    <row r="1886" spans="1:38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#N/A, OFFSET(data!$A$1, ROW()-1, AA$1-1))</f>
        <v>0</v>
      </c>
      <c r="AB1886">
        <f t="shared" ca="1" si="360"/>
        <v>0</v>
      </c>
      <c r="AC1886" t="e">
        <f t="shared" ca="1" si="361"/>
        <v>#VALUE!</v>
      </c>
      <c r="AD1886" t="str">
        <f t="shared" ca="1" si="362"/>
        <v>0</v>
      </c>
      <c r="AE1886" t="str">
        <f t="shared" ca="1" si="363"/>
        <v/>
      </c>
      <c r="AF1886" s="6">
        <f t="shared" ca="1" si="364"/>
        <v>0</v>
      </c>
      <c r="AG1886">
        <f t="shared" ca="1" si="359"/>
        <v>0</v>
      </c>
      <c r="AH1886">
        <f t="shared" ca="1" si="365"/>
        <v>0</v>
      </c>
      <c r="AI1886">
        <f t="shared" ca="1" si="366"/>
        <v>0</v>
      </c>
      <c r="AJ1886">
        <f t="shared" ca="1" si="367"/>
        <v>0</v>
      </c>
      <c r="AK1886">
        <f t="shared" ca="1" si="368"/>
        <v>0</v>
      </c>
      <c r="AL1886">
        <f t="shared" ca="1" si="369"/>
        <v>0</v>
      </c>
    </row>
    <row r="1887" spans="1:38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#N/A, OFFSET(data!$A$1, ROW()-1, AA$1-1))</f>
        <v>0</v>
      </c>
      <c r="AB1887">
        <f t="shared" ca="1" si="360"/>
        <v>0</v>
      </c>
      <c r="AC1887" t="e">
        <f t="shared" ca="1" si="361"/>
        <v>#VALUE!</v>
      </c>
      <c r="AD1887" t="str">
        <f t="shared" ca="1" si="362"/>
        <v>0</v>
      </c>
      <c r="AE1887" t="str">
        <f t="shared" ca="1" si="363"/>
        <v/>
      </c>
      <c r="AF1887" s="6">
        <f t="shared" ca="1" si="364"/>
        <v>0</v>
      </c>
      <c r="AG1887">
        <f t="shared" ca="1" si="359"/>
        <v>0</v>
      </c>
      <c r="AH1887">
        <f t="shared" ca="1" si="365"/>
        <v>0</v>
      </c>
      <c r="AI1887">
        <f t="shared" ca="1" si="366"/>
        <v>0</v>
      </c>
      <c r="AJ1887">
        <f t="shared" ca="1" si="367"/>
        <v>0</v>
      </c>
      <c r="AK1887">
        <f t="shared" ca="1" si="368"/>
        <v>0</v>
      </c>
      <c r="AL1887">
        <f t="shared" ca="1" si="369"/>
        <v>0</v>
      </c>
    </row>
    <row r="1888" spans="1:38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#N/A, OFFSET(data!$A$1, ROW()-1, AA$1-1))</f>
        <v>0</v>
      </c>
      <c r="AB1888">
        <f t="shared" ca="1" si="360"/>
        <v>0</v>
      </c>
      <c r="AC1888" t="e">
        <f t="shared" ca="1" si="361"/>
        <v>#VALUE!</v>
      </c>
      <c r="AD1888" t="str">
        <f t="shared" ca="1" si="362"/>
        <v>0</v>
      </c>
      <c r="AE1888" t="str">
        <f t="shared" ca="1" si="363"/>
        <v/>
      </c>
      <c r="AF1888" s="6">
        <f t="shared" ca="1" si="364"/>
        <v>0</v>
      </c>
      <c r="AG1888">
        <f t="shared" ca="1" si="359"/>
        <v>0</v>
      </c>
      <c r="AH1888">
        <f t="shared" ca="1" si="365"/>
        <v>0</v>
      </c>
      <c r="AI1888">
        <f t="shared" ca="1" si="366"/>
        <v>0</v>
      </c>
      <c r="AJ1888">
        <f t="shared" ca="1" si="367"/>
        <v>0</v>
      </c>
      <c r="AK1888">
        <f t="shared" ca="1" si="368"/>
        <v>0</v>
      </c>
      <c r="AL1888">
        <f t="shared" ca="1" si="369"/>
        <v>0</v>
      </c>
    </row>
    <row r="1889" spans="1:38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#N/A, OFFSET(data!$A$1, ROW()-1, AA$1-1))</f>
        <v>0</v>
      </c>
      <c r="AB1889">
        <f t="shared" ca="1" si="360"/>
        <v>0</v>
      </c>
      <c r="AC1889" t="e">
        <f t="shared" ca="1" si="361"/>
        <v>#VALUE!</v>
      </c>
      <c r="AD1889" t="str">
        <f t="shared" ca="1" si="362"/>
        <v>0</v>
      </c>
      <c r="AE1889" t="str">
        <f t="shared" ca="1" si="363"/>
        <v/>
      </c>
      <c r="AF1889" s="6">
        <f t="shared" ca="1" si="364"/>
        <v>0</v>
      </c>
      <c r="AG1889">
        <f t="shared" ca="1" si="359"/>
        <v>0</v>
      </c>
      <c r="AH1889">
        <f t="shared" ca="1" si="365"/>
        <v>0</v>
      </c>
      <c r="AI1889">
        <f t="shared" ca="1" si="366"/>
        <v>0</v>
      </c>
      <c r="AJ1889">
        <f t="shared" ca="1" si="367"/>
        <v>0</v>
      </c>
      <c r="AK1889">
        <f t="shared" ca="1" si="368"/>
        <v>0</v>
      </c>
      <c r="AL1889">
        <f t="shared" ca="1" si="369"/>
        <v>0</v>
      </c>
    </row>
    <row r="1890" spans="1:38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#N/A, OFFSET(data!$A$1, ROW()-1, AA$1-1))</f>
        <v>0</v>
      </c>
      <c r="AB1890">
        <f t="shared" ca="1" si="360"/>
        <v>0</v>
      </c>
      <c r="AC1890" t="e">
        <f t="shared" ca="1" si="361"/>
        <v>#VALUE!</v>
      </c>
      <c r="AD1890" t="str">
        <f t="shared" ca="1" si="362"/>
        <v>0</v>
      </c>
      <c r="AE1890" t="str">
        <f t="shared" ca="1" si="363"/>
        <v/>
      </c>
      <c r="AF1890" s="6">
        <f t="shared" ca="1" si="364"/>
        <v>0</v>
      </c>
      <c r="AG1890">
        <f t="shared" ca="1" si="359"/>
        <v>0</v>
      </c>
      <c r="AH1890">
        <f t="shared" ca="1" si="365"/>
        <v>0</v>
      </c>
      <c r="AI1890">
        <f t="shared" ca="1" si="366"/>
        <v>0</v>
      </c>
      <c r="AJ1890">
        <f t="shared" ca="1" si="367"/>
        <v>0</v>
      </c>
      <c r="AK1890">
        <f t="shared" ca="1" si="368"/>
        <v>0</v>
      </c>
      <c r="AL1890">
        <f t="shared" ca="1" si="369"/>
        <v>0</v>
      </c>
    </row>
    <row r="1891" spans="1:38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#N/A, OFFSET(data!$A$1, ROW()-1, AA$1-1))</f>
        <v>0</v>
      </c>
      <c r="AB1891">
        <f t="shared" ca="1" si="360"/>
        <v>0</v>
      </c>
      <c r="AC1891" t="e">
        <f t="shared" ca="1" si="361"/>
        <v>#VALUE!</v>
      </c>
      <c r="AD1891" t="str">
        <f t="shared" ca="1" si="362"/>
        <v>0</v>
      </c>
      <c r="AE1891" t="str">
        <f t="shared" ca="1" si="363"/>
        <v/>
      </c>
      <c r="AF1891" s="6">
        <f t="shared" ca="1" si="364"/>
        <v>0</v>
      </c>
      <c r="AG1891">
        <f t="shared" ca="1" si="359"/>
        <v>0</v>
      </c>
      <c r="AH1891">
        <f t="shared" ca="1" si="365"/>
        <v>0</v>
      </c>
      <c r="AI1891">
        <f t="shared" ca="1" si="366"/>
        <v>0</v>
      </c>
      <c r="AJ1891">
        <f t="shared" ca="1" si="367"/>
        <v>0</v>
      </c>
      <c r="AK1891">
        <f t="shared" ca="1" si="368"/>
        <v>0</v>
      </c>
      <c r="AL1891">
        <f t="shared" ca="1" si="369"/>
        <v>0</v>
      </c>
    </row>
    <row r="1892" spans="1:38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#N/A, OFFSET(data!$A$1, ROW()-1, AA$1-1))</f>
        <v>0</v>
      </c>
      <c r="AB1892">
        <f t="shared" ca="1" si="360"/>
        <v>0</v>
      </c>
      <c r="AC1892" t="e">
        <f t="shared" ca="1" si="361"/>
        <v>#VALUE!</v>
      </c>
      <c r="AD1892" t="str">
        <f t="shared" ca="1" si="362"/>
        <v>0</v>
      </c>
      <c r="AE1892" t="str">
        <f t="shared" ca="1" si="363"/>
        <v/>
      </c>
      <c r="AF1892" s="6">
        <f t="shared" ca="1" si="364"/>
        <v>0</v>
      </c>
      <c r="AG1892">
        <f t="shared" ca="1" si="359"/>
        <v>0</v>
      </c>
      <c r="AH1892">
        <f t="shared" ca="1" si="365"/>
        <v>0</v>
      </c>
      <c r="AI1892">
        <f t="shared" ca="1" si="366"/>
        <v>0</v>
      </c>
      <c r="AJ1892">
        <f t="shared" ca="1" si="367"/>
        <v>0</v>
      </c>
      <c r="AK1892">
        <f t="shared" ca="1" si="368"/>
        <v>0</v>
      </c>
      <c r="AL1892">
        <f t="shared" ca="1" si="369"/>
        <v>0</v>
      </c>
    </row>
    <row r="1893" spans="1:38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#N/A, OFFSET(data!$A$1, ROW()-1, AA$1-1))</f>
        <v>0</v>
      </c>
      <c r="AB1893">
        <f t="shared" ca="1" si="360"/>
        <v>0</v>
      </c>
      <c r="AC1893" t="e">
        <f t="shared" ca="1" si="361"/>
        <v>#VALUE!</v>
      </c>
      <c r="AD1893" t="str">
        <f t="shared" ca="1" si="362"/>
        <v>0</v>
      </c>
      <c r="AE1893" t="str">
        <f t="shared" ca="1" si="363"/>
        <v/>
      </c>
      <c r="AF1893" s="6">
        <f t="shared" ca="1" si="364"/>
        <v>0</v>
      </c>
      <c r="AG1893">
        <f t="shared" ca="1" si="359"/>
        <v>0</v>
      </c>
      <c r="AH1893">
        <f t="shared" ca="1" si="365"/>
        <v>0</v>
      </c>
      <c r="AI1893">
        <f t="shared" ca="1" si="366"/>
        <v>0</v>
      </c>
      <c r="AJ1893">
        <f t="shared" ca="1" si="367"/>
        <v>0</v>
      </c>
      <c r="AK1893">
        <f t="shared" ca="1" si="368"/>
        <v>0</v>
      </c>
      <c r="AL1893">
        <f t="shared" ca="1" si="369"/>
        <v>0</v>
      </c>
    </row>
    <row r="1894" spans="1:38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#N/A, OFFSET(data!$A$1, ROW()-1, AA$1-1))</f>
        <v>0</v>
      </c>
      <c r="AB1894">
        <f t="shared" ca="1" si="360"/>
        <v>0</v>
      </c>
      <c r="AC1894" t="e">
        <f t="shared" ca="1" si="361"/>
        <v>#VALUE!</v>
      </c>
      <c r="AD1894" t="str">
        <f t="shared" ca="1" si="362"/>
        <v>0</v>
      </c>
      <c r="AE1894" t="str">
        <f t="shared" ca="1" si="363"/>
        <v/>
      </c>
      <c r="AF1894" s="6">
        <f t="shared" ca="1" si="364"/>
        <v>0</v>
      </c>
      <c r="AG1894">
        <f t="shared" ca="1" si="359"/>
        <v>0</v>
      </c>
      <c r="AH1894">
        <f t="shared" ca="1" si="365"/>
        <v>0</v>
      </c>
      <c r="AI1894">
        <f t="shared" ca="1" si="366"/>
        <v>0</v>
      </c>
      <c r="AJ1894">
        <f t="shared" ca="1" si="367"/>
        <v>0</v>
      </c>
      <c r="AK1894">
        <f t="shared" ca="1" si="368"/>
        <v>0</v>
      </c>
      <c r="AL1894">
        <f t="shared" ca="1" si="369"/>
        <v>0</v>
      </c>
    </row>
    <row r="1895" spans="1:38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#N/A, OFFSET(data!$A$1, ROW()-1, AA$1-1))</f>
        <v>0</v>
      </c>
      <c r="AB1895">
        <f t="shared" ca="1" si="360"/>
        <v>0</v>
      </c>
      <c r="AC1895" t="e">
        <f t="shared" ca="1" si="361"/>
        <v>#VALUE!</v>
      </c>
      <c r="AD1895" t="str">
        <f t="shared" ca="1" si="362"/>
        <v>0</v>
      </c>
      <c r="AE1895" t="str">
        <f t="shared" ca="1" si="363"/>
        <v/>
      </c>
      <c r="AF1895" s="6">
        <f t="shared" ca="1" si="364"/>
        <v>0</v>
      </c>
      <c r="AG1895">
        <f t="shared" ca="1" si="359"/>
        <v>0</v>
      </c>
      <c r="AH1895">
        <f t="shared" ca="1" si="365"/>
        <v>0</v>
      </c>
      <c r="AI1895">
        <f t="shared" ca="1" si="366"/>
        <v>0</v>
      </c>
      <c r="AJ1895">
        <f t="shared" ca="1" si="367"/>
        <v>0</v>
      </c>
      <c r="AK1895">
        <f t="shared" ca="1" si="368"/>
        <v>0</v>
      </c>
      <c r="AL1895">
        <f t="shared" ca="1" si="369"/>
        <v>0</v>
      </c>
    </row>
    <row r="1896" spans="1:38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#N/A, OFFSET(data!$A$1, ROW()-1, AA$1-1))</f>
        <v>0</v>
      </c>
      <c r="AB1896">
        <f t="shared" ca="1" si="360"/>
        <v>0</v>
      </c>
      <c r="AC1896" t="e">
        <f t="shared" ca="1" si="361"/>
        <v>#VALUE!</v>
      </c>
      <c r="AD1896" t="str">
        <f t="shared" ca="1" si="362"/>
        <v>0</v>
      </c>
      <c r="AE1896" t="str">
        <f t="shared" ca="1" si="363"/>
        <v/>
      </c>
      <c r="AF1896" s="6">
        <f t="shared" ca="1" si="364"/>
        <v>0</v>
      </c>
      <c r="AG1896">
        <f t="shared" ca="1" si="359"/>
        <v>0</v>
      </c>
      <c r="AH1896">
        <f t="shared" ca="1" si="365"/>
        <v>0</v>
      </c>
      <c r="AI1896">
        <f t="shared" ca="1" si="366"/>
        <v>0</v>
      </c>
      <c r="AJ1896">
        <f t="shared" ca="1" si="367"/>
        <v>0</v>
      </c>
      <c r="AK1896">
        <f t="shared" ca="1" si="368"/>
        <v>0</v>
      </c>
      <c r="AL1896">
        <f t="shared" ca="1" si="369"/>
        <v>0</v>
      </c>
    </row>
    <row r="1897" spans="1:38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#N/A, OFFSET(data!$A$1, ROW()-1, AA$1-1))</f>
        <v>0</v>
      </c>
      <c r="AB1897">
        <f t="shared" ca="1" si="360"/>
        <v>0</v>
      </c>
      <c r="AC1897" t="e">
        <f t="shared" ca="1" si="361"/>
        <v>#VALUE!</v>
      </c>
      <c r="AD1897" t="str">
        <f t="shared" ca="1" si="362"/>
        <v>0</v>
      </c>
      <c r="AE1897" t="str">
        <f t="shared" ca="1" si="363"/>
        <v/>
      </c>
      <c r="AF1897" s="6">
        <f t="shared" ca="1" si="364"/>
        <v>0</v>
      </c>
      <c r="AG1897">
        <f t="shared" ca="1" si="359"/>
        <v>0</v>
      </c>
      <c r="AH1897">
        <f t="shared" ca="1" si="365"/>
        <v>0</v>
      </c>
      <c r="AI1897">
        <f t="shared" ca="1" si="366"/>
        <v>0</v>
      </c>
      <c r="AJ1897">
        <f t="shared" ca="1" si="367"/>
        <v>0</v>
      </c>
      <c r="AK1897">
        <f t="shared" ca="1" si="368"/>
        <v>0</v>
      </c>
      <c r="AL1897">
        <f t="shared" ca="1" si="369"/>
        <v>0</v>
      </c>
    </row>
    <row r="1898" spans="1:38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#N/A, OFFSET(data!$A$1, ROW()-1, AA$1-1))</f>
        <v>0</v>
      </c>
      <c r="AB1898">
        <f t="shared" ca="1" si="360"/>
        <v>0</v>
      </c>
      <c r="AC1898" t="e">
        <f t="shared" ca="1" si="361"/>
        <v>#VALUE!</v>
      </c>
      <c r="AD1898" t="str">
        <f t="shared" ca="1" si="362"/>
        <v>0</v>
      </c>
      <c r="AE1898" t="str">
        <f t="shared" ca="1" si="363"/>
        <v/>
      </c>
      <c r="AF1898" s="6">
        <f t="shared" ca="1" si="364"/>
        <v>0</v>
      </c>
      <c r="AG1898">
        <f t="shared" ca="1" si="359"/>
        <v>0</v>
      </c>
      <c r="AH1898">
        <f t="shared" ca="1" si="365"/>
        <v>0</v>
      </c>
      <c r="AI1898">
        <f t="shared" ca="1" si="366"/>
        <v>0</v>
      </c>
      <c r="AJ1898">
        <f t="shared" ca="1" si="367"/>
        <v>0</v>
      </c>
      <c r="AK1898">
        <f t="shared" ca="1" si="368"/>
        <v>0</v>
      </c>
      <c r="AL1898">
        <f t="shared" ca="1" si="369"/>
        <v>0</v>
      </c>
    </row>
    <row r="1899" spans="1:38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#N/A, OFFSET(data!$A$1, ROW()-1, AA$1-1))</f>
        <v>0</v>
      </c>
      <c r="AB1899">
        <f t="shared" ca="1" si="360"/>
        <v>0</v>
      </c>
      <c r="AC1899" t="e">
        <f t="shared" ca="1" si="361"/>
        <v>#VALUE!</v>
      </c>
      <c r="AD1899" t="str">
        <f t="shared" ca="1" si="362"/>
        <v>0</v>
      </c>
      <c r="AE1899" t="str">
        <f t="shared" ca="1" si="363"/>
        <v/>
      </c>
      <c r="AF1899" s="6">
        <f t="shared" ca="1" si="364"/>
        <v>0</v>
      </c>
      <c r="AG1899">
        <f t="shared" ca="1" si="359"/>
        <v>0</v>
      </c>
      <c r="AH1899">
        <f t="shared" ca="1" si="365"/>
        <v>0</v>
      </c>
      <c r="AI1899">
        <f t="shared" ca="1" si="366"/>
        <v>0</v>
      </c>
      <c r="AJ1899">
        <f t="shared" ca="1" si="367"/>
        <v>0</v>
      </c>
      <c r="AK1899">
        <f t="shared" ca="1" si="368"/>
        <v>0</v>
      </c>
      <c r="AL1899">
        <f t="shared" ca="1" si="369"/>
        <v>0</v>
      </c>
    </row>
    <row r="1900" spans="1:38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#N/A, OFFSET(data!$A$1, ROW()-1, AA$1-1))</f>
        <v>0</v>
      </c>
      <c r="AB1900">
        <f t="shared" ca="1" si="360"/>
        <v>0</v>
      </c>
      <c r="AC1900" t="e">
        <f t="shared" ca="1" si="361"/>
        <v>#VALUE!</v>
      </c>
      <c r="AD1900" t="str">
        <f t="shared" ca="1" si="362"/>
        <v>0</v>
      </c>
      <c r="AE1900" t="str">
        <f t="shared" ca="1" si="363"/>
        <v/>
      </c>
      <c r="AF1900" s="6">
        <f t="shared" ca="1" si="364"/>
        <v>0</v>
      </c>
      <c r="AG1900">
        <f t="shared" ca="1" si="359"/>
        <v>0</v>
      </c>
      <c r="AH1900">
        <f t="shared" ca="1" si="365"/>
        <v>0</v>
      </c>
      <c r="AI1900">
        <f t="shared" ca="1" si="366"/>
        <v>0</v>
      </c>
      <c r="AJ1900">
        <f t="shared" ca="1" si="367"/>
        <v>0</v>
      </c>
      <c r="AK1900">
        <f t="shared" ca="1" si="368"/>
        <v>0</v>
      </c>
      <c r="AL1900">
        <f t="shared" ca="1" si="369"/>
        <v>0</v>
      </c>
    </row>
    <row r="1901" spans="1:38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#N/A, OFFSET(data!$A$1, ROW()-1, AA$1-1))</f>
        <v>0</v>
      </c>
      <c r="AB1901">
        <f t="shared" ca="1" si="360"/>
        <v>0</v>
      </c>
      <c r="AC1901" t="e">
        <f t="shared" ca="1" si="361"/>
        <v>#VALUE!</v>
      </c>
      <c r="AD1901" t="str">
        <f t="shared" ca="1" si="362"/>
        <v>0</v>
      </c>
      <c r="AE1901" t="str">
        <f t="shared" ca="1" si="363"/>
        <v/>
      </c>
      <c r="AF1901" s="6">
        <f t="shared" ca="1" si="364"/>
        <v>0</v>
      </c>
      <c r="AG1901">
        <f t="shared" ca="1" si="359"/>
        <v>0</v>
      </c>
      <c r="AH1901">
        <f t="shared" ca="1" si="365"/>
        <v>0</v>
      </c>
      <c r="AI1901">
        <f t="shared" ca="1" si="366"/>
        <v>0</v>
      </c>
      <c r="AJ1901">
        <f t="shared" ca="1" si="367"/>
        <v>0</v>
      </c>
      <c r="AK1901">
        <f t="shared" ca="1" si="368"/>
        <v>0</v>
      </c>
      <c r="AL1901">
        <f t="shared" ca="1" si="369"/>
        <v>0</v>
      </c>
    </row>
    <row r="1902" spans="1:38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#N/A, OFFSET(data!$A$1, ROW()-1, AA$1-1))</f>
        <v>0</v>
      </c>
      <c r="AB1902">
        <f t="shared" ca="1" si="360"/>
        <v>0</v>
      </c>
      <c r="AC1902" t="e">
        <f t="shared" ca="1" si="361"/>
        <v>#VALUE!</v>
      </c>
      <c r="AD1902" t="str">
        <f t="shared" ca="1" si="362"/>
        <v>0</v>
      </c>
      <c r="AE1902" t="str">
        <f t="shared" ca="1" si="363"/>
        <v/>
      </c>
      <c r="AF1902" s="6">
        <f t="shared" ca="1" si="364"/>
        <v>0</v>
      </c>
      <c r="AG1902">
        <f t="shared" ca="1" si="359"/>
        <v>0</v>
      </c>
      <c r="AH1902">
        <f t="shared" ca="1" si="365"/>
        <v>0</v>
      </c>
      <c r="AI1902">
        <f t="shared" ca="1" si="366"/>
        <v>0</v>
      </c>
      <c r="AJ1902">
        <f t="shared" ca="1" si="367"/>
        <v>0</v>
      </c>
      <c r="AK1902">
        <f t="shared" ca="1" si="368"/>
        <v>0</v>
      </c>
      <c r="AL1902">
        <f t="shared" ca="1" si="369"/>
        <v>0</v>
      </c>
    </row>
    <row r="1903" spans="1:38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#N/A, OFFSET(data!$A$1, ROW()-1, AA$1-1))</f>
        <v>0</v>
      </c>
      <c r="AB1903">
        <f t="shared" ca="1" si="360"/>
        <v>0</v>
      </c>
      <c r="AC1903" t="e">
        <f t="shared" ca="1" si="361"/>
        <v>#VALUE!</v>
      </c>
      <c r="AD1903" t="str">
        <f t="shared" ca="1" si="362"/>
        <v>0</v>
      </c>
      <c r="AE1903" t="str">
        <f t="shared" ca="1" si="363"/>
        <v/>
      </c>
      <c r="AF1903" s="6">
        <f t="shared" ca="1" si="364"/>
        <v>0</v>
      </c>
      <c r="AG1903">
        <f t="shared" ca="1" si="359"/>
        <v>0</v>
      </c>
      <c r="AH1903">
        <f t="shared" ca="1" si="365"/>
        <v>0</v>
      </c>
      <c r="AI1903">
        <f t="shared" ca="1" si="366"/>
        <v>0</v>
      </c>
      <c r="AJ1903">
        <f t="shared" ca="1" si="367"/>
        <v>0</v>
      </c>
      <c r="AK1903">
        <f t="shared" ca="1" si="368"/>
        <v>0</v>
      </c>
      <c r="AL1903">
        <f t="shared" ca="1" si="369"/>
        <v>0</v>
      </c>
    </row>
    <row r="1904" spans="1:38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#N/A, OFFSET(data!$A$1, ROW()-1, AA$1-1))</f>
        <v>0</v>
      </c>
      <c r="AB1904">
        <f t="shared" ca="1" si="360"/>
        <v>0</v>
      </c>
      <c r="AC1904" t="e">
        <f t="shared" ca="1" si="361"/>
        <v>#VALUE!</v>
      </c>
      <c r="AD1904" t="str">
        <f t="shared" ca="1" si="362"/>
        <v>0</v>
      </c>
      <c r="AE1904" t="str">
        <f t="shared" ca="1" si="363"/>
        <v/>
      </c>
      <c r="AF1904" s="6">
        <f t="shared" ca="1" si="364"/>
        <v>0</v>
      </c>
      <c r="AG1904">
        <f t="shared" ca="1" si="359"/>
        <v>0</v>
      </c>
      <c r="AH1904">
        <f t="shared" ca="1" si="365"/>
        <v>0</v>
      </c>
      <c r="AI1904">
        <f t="shared" ca="1" si="366"/>
        <v>0</v>
      </c>
      <c r="AJ1904">
        <f t="shared" ca="1" si="367"/>
        <v>0</v>
      </c>
      <c r="AK1904">
        <f t="shared" ca="1" si="368"/>
        <v>0</v>
      </c>
      <c r="AL1904">
        <f t="shared" ca="1" si="369"/>
        <v>0</v>
      </c>
    </row>
    <row r="1905" spans="1:38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#N/A, OFFSET(data!$A$1, ROW()-1, AA$1-1))</f>
        <v>0</v>
      </c>
      <c r="AB1905">
        <f t="shared" ca="1" si="360"/>
        <v>0</v>
      </c>
      <c r="AC1905" t="e">
        <f t="shared" ca="1" si="361"/>
        <v>#VALUE!</v>
      </c>
      <c r="AD1905" t="str">
        <f t="shared" ca="1" si="362"/>
        <v>0</v>
      </c>
      <c r="AE1905" t="str">
        <f t="shared" ca="1" si="363"/>
        <v/>
      </c>
      <c r="AF1905" s="6">
        <f t="shared" ca="1" si="364"/>
        <v>0</v>
      </c>
      <c r="AG1905">
        <f t="shared" ca="1" si="359"/>
        <v>0</v>
      </c>
      <c r="AH1905">
        <f t="shared" ca="1" si="365"/>
        <v>0</v>
      </c>
      <c r="AI1905">
        <f t="shared" ca="1" si="366"/>
        <v>0</v>
      </c>
      <c r="AJ1905">
        <f t="shared" ca="1" si="367"/>
        <v>0</v>
      </c>
      <c r="AK1905">
        <f t="shared" ca="1" si="368"/>
        <v>0</v>
      </c>
      <c r="AL1905">
        <f t="shared" ca="1" si="369"/>
        <v>0</v>
      </c>
    </row>
    <row r="1906" spans="1:38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#N/A, OFFSET(data!$A$1, ROW()-1, AA$1-1))</f>
        <v>0</v>
      </c>
      <c r="AB1906">
        <f t="shared" ca="1" si="360"/>
        <v>0</v>
      </c>
      <c r="AC1906" t="e">
        <f t="shared" ca="1" si="361"/>
        <v>#VALUE!</v>
      </c>
      <c r="AD1906" t="str">
        <f t="shared" ca="1" si="362"/>
        <v>0</v>
      </c>
      <c r="AE1906" t="str">
        <f t="shared" ca="1" si="363"/>
        <v/>
      </c>
      <c r="AF1906" s="6">
        <f t="shared" ca="1" si="364"/>
        <v>0</v>
      </c>
      <c r="AG1906">
        <f t="shared" ca="1" si="359"/>
        <v>0</v>
      </c>
      <c r="AH1906">
        <f t="shared" ca="1" si="365"/>
        <v>0</v>
      </c>
      <c r="AI1906">
        <f t="shared" ca="1" si="366"/>
        <v>0</v>
      </c>
      <c r="AJ1906">
        <f t="shared" ca="1" si="367"/>
        <v>0</v>
      </c>
      <c r="AK1906">
        <f t="shared" ca="1" si="368"/>
        <v>0</v>
      </c>
      <c r="AL1906">
        <f t="shared" ca="1" si="369"/>
        <v>0</v>
      </c>
    </row>
    <row r="1907" spans="1:38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#N/A, OFFSET(data!$A$1, ROW()-1, AA$1-1))</f>
        <v>0</v>
      </c>
      <c r="AB1907">
        <f t="shared" ca="1" si="360"/>
        <v>0</v>
      </c>
      <c r="AC1907" t="e">
        <f t="shared" ca="1" si="361"/>
        <v>#VALUE!</v>
      </c>
      <c r="AD1907" t="str">
        <f t="shared" ca="1" si="362"/>
        <v>0</v>
      </c>
      <c r="AE1907" t="str">
        <f t="shared" ca="1" si="363"/>
        <v/>
      </c>
      <c r="AF1907" s="6">
        <f t="shared" ca="1" si="364"/>
        <v>0</v>
      </c>
      <c r="AG1907">
        <f t="shared" ca="1" si="359"/>
        <v>0</v>
      </c>
      <c r="AH1907">
        <f t="shared" ca="1" si="365"/>
        <v>0</v>
      </c>
      <c r="AI1907">
        <f t="shared" ca="1" si="366"/>
        <v>0</v>
      </c>
      <c r="AJ1907">
        <f t="shared" ca="1" si="367"/>
        <v>0</v>
      </c>
      <c r="AK1907">
        <f t="shared" ca="1" si="368"/>
        <v>0</v>
      </c>
      <c r="AL1907">
        <f t="shared" ca="1" si="369"/>
        <v>0</v>
      </c>
    </row>
    <row r="1908" spans="1:38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#N/A, OFFSET(data!$A$1, ROW()-1, AA$1-1))</f>
        <v>0</v>
      </c>
      <c r="AB1908">
        <f t="shared" ca="1" si="360"/>
        <v>0</v>
      </c>
      <c r="AC1908" t="e">
        <f t="shared" ca="1" si="361"/>
        <v>#VALUE!</v>
      </c>
      <c r="AD1908" t="str">
        <f t="shared" ca="1" si="362"/>
        <v>0</v>
      </c>
      <c r="AE1908" t="str">
        <f t="shared" ca="1" si="363"/>
        <v/>
      </c>
      <c r="AF1908" s="6">
        <f t="shared" ca="1" si="364"/>
        <v>0</v>
      </c>
      <c r="AG1908">
        <f t="shared" ref="AG1908:AG1971" ca="1" si="370">T1908+W1908</f>
        <v>0</v>
      </c>
      <c r="AH1908">
        <f t="shared" ca="1" si="365"/>
        <v>0</v>
      </c>
      <c r="AI1908">
        <f t="shared" ca="1" si="366"/>
        <v>0</v>
      </c>
      <c r="AJ1908">
        <f t="shared" ca="1" si="367"/>
        <v>0</v>
      </c>
      <c r="AK1908">
        <f t="shared" ca="1" si="368"/>
        <v>0</v>
      </c>
      <c r="AL1908">
        <f t="shared" ca="1" si="369"/>
        <v>0</v>
      </c>
    </row>
    <row r="1909" spans="1:38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#N/A, OFFSET(data!$A$1, ROW()-1, AA$1-1))</f>
        <v>0</v>
      </c>
      <c r="AB1909">
        <f t="shared" ca="1" si="360"/>
        <v>0</v>
      </c>
      <c r="AC1909" t="e">
        <f t="shared" ca="1" si="361"/>
        <v>#VALUE!</v>
      </c>
      <c r="AD1909" t="str">
        <f t="shared" ca="1" si="362"/>
        <v>0</v>
      </c>
      <c r="AE1909" t="str">
        <f t="shared" ca="1" si="363"/>
        <v/>
      </c>
      <c r="AF1909" s="6">
        <f t="shared" ca="1" si="364"/>
        <v>0</v>
      </c>
      <c r="AG1909">
        <f t="shared" ca="1" si="370"/>
        <v>0</v>
      </c>
      <c r="AH1909">
        <f t="shared" ca="1" si="365"/>
        <v>0</v>
      </c>
      <c r="AI1909">
        <f t="shared" ca="1" si="366"/>
        <v>0</v>
      </c>
      <c r="AJ1909">
        <f t="shared" ca="1" si="367"/>
        <v>0</v>
      </c>
      <c r="AK1909">
        <f t="shared" ca="1" si="368"/>
        <v>0</v>
      </c>
      <c r="AL1909">
        <f t="shared" ca="1" si="369"/>
        <v>0</v>
      </c>
    </row>
    <row r="1910" spans="1:38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#N/A, OFFSET(data!$A$1, ROW()-1, AA$1-1))</f>
        <v>0</v>
      </c>
      <c r="AB1910">
        <f t="shared" ca="1" si="360"/>
        <v>0</v>
      </c>
      <c r="AC1910" t="e">
        <f t="shared" ca="1" si="361"/>
        <v>#VALUE!</v>
      </c>
      <c r="AD1910" t="str">
        <f t="shared" ca="1" si="362"/>
        <v>0</v>
      </c>
      <c r="AE1910" t="str">
        <f t="shared" ca="1" si="363"/>
        <v/>
      </c>
      <c r="AF1910" s="6">
        <f t="shared" ca="1" si="364"/>
        <v>0</v>
      </c>
      <c r="AG1910">
        <f t="shared" ca="1" si="370"/>
        <v>0</v>
      </c>
      <c r="AH1910">
        <f t="shared" ca="1" si="365"/>
        <v>0</v>
      </c>
      <c r="AI1910">
        <f t="shared" ca="1" si="366"/>
        <v>0</v>
      </c>
      <c r="AJ1910">
        <f t="shared" ca="1" si="367"/>
        <v>0</v>
      </c>
      <c r="AK1910">
        <f t="shared" ca="1" si="368"/>
        <v>0</v>
      </c>
      <c r="AL1910">
        <f t="shared" ca="1" si="369"/>
        <v>0</v>
      </c>
    </row>
    <row r="1911" spans="1:38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#N/A, OFFSET(data!$A$1, ROW()-1, AA$1-1))</f>
        <v>0</v>
      </c>
      <c r="AB1911">
        <f t="shared" ca="1" si="360"/>
        <v>0</v>
      </c>
      <c r="AC1911" t="e">
        <f t="shared" ca="1" si="361"/>
        <v>#VALUE!</v>
      </c>
      <c r="AD1911" t="str">
        <f t="shared" ca="1" si="362"/>
        <v>0</v>
      </c>
      <c r="AE1911" t="str">
        <f t="shared" ca="1" si="363"/>
        <v/>
      </c>
      <c r="AF1911" s="6">
        <f t="shared" ca="1" si="364"/>
        <v>0</v>
      </c>
      <c r="AG1911">
        <f t="shared" ca="1" si="370"/>
        <v>0</v>
      </c>
      <c r="AH1911">
        <f t="shared" ca="1" si="365"/>
        <v>0</v>
      </c>
      <c r="AI1911">
        <f t="shared" ca="1" si="366"/>
        <v>0</v>
      </c>
      <c r="AJ1911">
        <f t="shared" ca="1" si="367"/>
        <v>0</v>
      </c>
      <c r="AK1911">
        <f t="shared" ca="1" si="368"/>
        <v>0</v>
      </c>
      <c r="AL1911">
        <f t="shared" ca="1" si="369"/>
        <v>0</v>
      </c>
    </row>
    <row r="1912" spans="1:38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#N/A, OFFSET(data!$A$1, ROW()-1, AA$1-1))</f>
        <v>0</v>
      </c>
      <c r="AB1912">
        <f t="shared" ca="1" si="360"/>
        <v>0</v>
      </c>
      <c r="AC1912" t="e">
        <f t="shared" ca="1" si="361"/>
        <v>#VALUE!</v>
      </c>
      <c r="AD1912" t="str">
        <f t="shared" ca="1" si="362"/>
        <v>0</v>
      </c>
      <c r="AE1912" t="str">
        <f t="shared" ca="1" si="363"/>
        <v/>
      </c>
      <c r="AF1912" s="6">
        <f t="shared" ca="1" si="364"/>
        <v>0</v>
      </c>
      <c r="AG1912">
        <f t="shared" ca="1" si="370"/>
        <v>0</v>
      </c>
      <c r="AH1912">
        <f t="shared" ca="1" si="365"/>
        <v>0</v>
      </c>
      <c r="AI1912">
        <f t="shared" ca="1" si="366"/>
        <v>0</v>
      </c>
      <c r="AJ1912">
        <f t="shared" ca="1" si="367"/>
        <v>0</v>
      </c>
      <c r="AK1912">
        <f t="shared" ca="1" si="368"/>
        <v>0</v>
      </c>
      <c r="AL1912">
        <f t="shared" ca="1" si="369"/>
        <v>0</v>
      </c>
    </row>
    <row r="1913" spans="1:38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#N/A, OFFSET(data!$A$1, ROW()-1, AA$1-1))</f>
        <v>0</v>
      </c>
      <c r="AB1913">
        <f t="shared" ca="1" si="360"/>
        <v>0</v>
      </c>
      <c r="AC1913" t="e">
        <f t="shared" ca="1" si="361"/>
        <v>#VALUE!</v>
      </c>
      <c r="AD1913" t="str">
        <f t="shared" ca="1" si="362"/>
        <v>0</v>
      </c>
      <c r="AE1913" t="str">
        <f t="shared" ca="1" si="363"/>
        <v/>
      </c>
      <c r="AF1913" s="6">
        <f t="shared" ca="1" si="364"/>
        <v>0</v>
      </c>
      <c r="AG1913">
        <f t="shared" ca="1" si="370"/>
        <v>0</v>
      </c>
      <c r="AH1913">
        <f t="shared" ca="1" si="365"/>
        <v>0</v>
      </c>
      <c r="AI1913">
        <f t="shared" ca="1" si="366"/>
        <v>0</v>
      </c>
      <c r="AJ1913">
        <f t="shared" ca="1" si="367"/>
        <v>0</v>
      </c>
      <c r="AK1913">
        <f t="shared" ca="1" si="368"/>
        <v>0</v>
      </c>
      <c r="AL1913">
        <f t="shared" ca="1" si="369"/>
        <v>0</v>
      </c>
    </row>
    <row r="1914" spans="1:38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#N/A, OFFSET(data!$A$1, ROW()-1, AA$1-1))</f>
        <v>0</v>
      </c>
      <c r="AB1914">
        <f t="shared" ca="1" si="360"/>
        <v>0</v>
      </c>
      <c r="AC1914" t="e">
        <f t="shared" ca="1" si="361"/>
        <v>#VALUE!</v>
      </c>
      <c r="AD1914" t="str">
        <f t="shared" ca="1" si="362"/>
        <v>0</v>
      </c>
      <c r="AE1914" t="str">
        <f t="shared" ca="1" si="363"/>
        <v/>
      </c>
      <c r="AF1914" s="6">
        <f t="shared" ca="1" si="364"/>
        <v>0</v>
      </c>
      <c r="AG1914">
        <f t="shared" ca="1" si="370"/>
        <v>0</v>
      </c>
      <c r="AH1914">
        <f t="shared" ca="1" si="365"/>
        <v>0</v>
      </c>
      <c r="AI1914">
        <f t="shared" ca="1" si="366"/>
        <v>0</v>
      </c>
      <c r="AJ1914">
        <f t="shared" ca="1" si="367"/>
        <v>0</v>
      </c>
      <c r="AK1914">
        <f t="shared" ca="1" si="368"/>
        <v>0</v>
      </c>
      <c r="AL1914">
        <f t="shared" ca="1" si="369"/>
        <v>0</v>
      </c>
    </row>
    <row r="1915" spans="1:38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#N/A, OFFSET(data!$A$1, ROW()-1, AA$1-1))</f>
        <v>0</v>
      </c>
      <c r="AB1915">
        <f t="shared" ca="1" si="360"/>
        <v>0</v>
      </c>
      <c r="AC1915" t="e">
        <f t="shared" ca="1" si="361"/>
        <v>#VALUE!</v>
      </c>
      <c r="AD1915" t="str">
        <f t="shared" ca="1" si="362"/>
        <v>0</v>
      </c>
      <c r="AE1915" t="str">
        <f t="shared" ca="1" si="363"/>
        <v/>
      </c>
      <c r="AF1915" s="6">
        <f t="shared" ca="1" si="364"/>
        <v>0</v>
      </c>
      <c r="AG1915">
        <f t="shared" ca="1" si="370"/>
        <v>0</v>
      </c>
      <c r="AH1915">
        <f t="shared" ca="1" si="365"/>
        <v>0</v>
      </c>
      <c r="AI1915">
        <f t="shared" ca="1" si="366"/>
        <v>0</v>
      </c>
      <c r="AJ1915">
        <f t="shared" ca="1" si="367"/>
        <v>0</v>
      </c>
      <c r="AK1915">
        <f t="shared" ca="1" si="368"/>
        <v>0</v>
      </c>
      <c r="AL1915">
        <f t="shared" ca="1" si="369"/>
        <v>0</v>
      </c>
    </row>
    <row r="1916" spans="1:38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#N/A, OFFSET(data!$A$1, ROW()-1, AA$1-1))</f>
        <v>0</v>
      </c>
      <c r="AB1916">
        <f t="shared" ca="1" si="360"/>
        <v>0</v>
      </c>
      <c r="AC1916" t="e">
        <f t="shared" ca="1" si="361"/>
        <v>#VALUE!</v>
      </c>
      <c r="AD1916" t="str">
        <f t="shared" ca="1" si="362"/>
        <v>0</v>
      </c>
      <c r="AE1916" t="str">
        <f t="shared" ca="1" si="363"/>
        <v/>
      </c>
      <c r="AF1916" s="6">
        <f t="shared" ca="1" si="364"/>
        <v>0</v>
      </c>
      <c r="AG1916">
        <f t="shared" ca="1" si="370"/>
        <v>0</v>
      </c>
      <c r="AH1916">
        <f t="shared" ca="1" si="365"/>
        <v>0</v>
      </c>
      <c r="AI1916">
        <f t="shared" ca="1" si="366"/>
        <v>0</v>
      </c>
      <c r="AJ1916">
        <f t="shared" ca="1" si="367"/>
        <v>0</v>
      </c>
      <c r="AK1916">
        <f t="shared" ca="1" si="368"/>
        <v>0</v>
      </c>
      <c r="AL1916">
        <f t="shared" ca="1" si="369"/>
        <v>0</v>
      </c>
    </row>
    <row r="1917" spans="1:38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#N/A, OFFSET(data!$A$1, ROW()-1, AA$1-1))</f>
        <v>0</v>
      </c>
      <c r="AB1917">
        <f t="shared" ca="1" si="360"/>
        <v>0</v>
      </c>
      <c r="AC1917" t="e">
        <f t="shared" ca="1" si="361"/>
        <v>#VALUE!</v>
      </c>
      <c r="AD1917" t="str">
        <f t="shared" ca="1" si="362"/>
        <v>0</v>
      </c>
      <c r="AE1917" t="str">
        <f t="shared" ca="1" si="363"/>
        <v/>
      </c>
      <c r="AF1917" s="6">
        <f t="shared" ca="1" si="364"/>
        <v>0</v>
      </c>
      <c r="AG1917">
        <f t="shared" ca="1" si="370"/>
        <v>0</v>
      </c>
      <c r="AH1917">
        <f t="shared" ca="1" si="365"/>
        <v>0</v>
      </c>
      <c r="AI1917">
        <f t="shared" ca="1" si="366"/>
        <v>0</v>
      </c>
      <c r="AJ1917">
        <f t="shared" ca="1" si="367"/>
        <v>0</v>
      </c>
      <c r="AK1917">
        <f t="shared" ca="1" si="368"/>
        <v>0</v>
      </c>
      <c r="AL1917">
        <f t="shared" ca="1" si="369"/>
        <v>0</v>
      </c>
    </row>
    <row r="1918" spans="1:38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#N/A, OFFSET(data!$A$1, ROW()-1, AA$1-1))</f>
        <v>0</v>
      </c>
      <c r="AB1918">
        <f t="shared" ca="1" si="360"/>
        <v>0</v>
      </c>
      <c r="AC1918" t="e">
        <f t="shared" ca="1" si="361"/>
        <v>#VALUE!</v>
      </c>
      <c r="AD1918" t="str">
        <f t="shared" ca="1" si="362"/>
        <v>0</v>
      </c>
      <c r="AE1918" t="str">
        <f t="shared" ca="1" si="363"/>
        <v/>
      </c>
      <c r="AF1918" s="6">
        <f t="shared" ca="1" si="364"/>
        <v>0</v>
      </c>
      <c r="AG1918">
        <f t="shared" ca="1" si="370"/>
        <v>0</v>
      </c>
      <c r="AH1918">
        <f t="shared" ca="1" si="365"/>
        <v>0</v>
      </c>
      <c r="AI1918">
        <f t="shared" ca="1" si="366"/>
        <v>0</v>
      </c>
      <c r="AJ1918">
        <f t="shared" ca="1" si="367"/>
        <v>0</v>
      </c>
      <c r="AK1918">
        <f t="shared" ca="1" si="368"/>
        <v>0</v>
      </c>
      <c r="AL1918">
        <f t="shared" ca="1" si="369"/>
        <v>0</v>
      </c>
    </row>
    <row r="1919" spans="1:38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#N/A, OFFSET(data!$A$1, ROW()-1, AA$1-1))</f>
        <v>0</v>
      </c>
      <c r="AB1919">
        <f t="shared" ca="1" si="360"/>
        <v>0</v>
      </c>
      <c r="AC1919" t="e">
        <f t="shared" ca="1" si="361"/>
        <v>#VALUE!</v>
      </c>
      <c r="AD1919" t="str">
        <f t="shared" ca="1" si="362"/>
        <v>0</v>
      </c>
      <c r="AE1919" t="str">
        <f t="shared" ca="1" si="363"/>
        <v/>
      </c>
      <c r="AF1919" s="6">
        <f t="shared" ca="1" si="364"/>
        <v>0</v>
      </c>
      <c r="AG1919">
        <f t="shared" ca="1" si="370"/>
        <v>0</v>
      </c>
      <c r="AH1919">
        <f t="shared" ca="1" si="365"/>
        <v>0</v>
      </c>
      <c r="AI1919">
        <f t="shared" ca="1" si="366"/>
        <v>0</v>
      </c>
      <c r="AJ1919">
        <f t="shared" ca="1" si="367"/>
        <v>0</v>
      </c>
      <c r="AK1919">
        <f t="shared" ca="1" si="368"/>
        <v>0</v>
      </c>
      <c r="AL1919">
        <f t="shared" ca="1" si="369"/>
        <v>0</v>
      </c>
    </row>
    <row r="1920" spans="1:38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#N/A, OFFSET(data!$A$1, ROW()-1, AA$1-1))</f>
        <v>0</v>
      </c>
      <c r="AB1920">
        <f t="shared" ca="1" si="360"/>
        <v>0</v>
      </c>
      <c r="AC1920" t="e">
        <f t="shared" ca="1" si="361"/>
        <v>#VALUE!</v>
      </c>
      <c r="AD1920" t="str">
        <f t="shared" ca="1" si="362"/>
        <v>0</v>
      </c>
      <c r="AE1920" t="str">
        <f t="shared" ca="1" si="363"/>
        <v/>
      </c>
      <c r="AF1920" s="6">
        <f t="shared" ca="1" si="364"/>
        <v>0</v>
      </c>
      <c r="AG1920">
        <f t="shared" ca="1" si="370"/>
        <v>0</v>
      </c>
      <c r="AH1920">
        <f t="shared" ca="1" si="365"/>
        <v>0</v>
      </c>
      <c r="AI1920">
        <f t="shared" ca="1" si="366"/>
        <v>0</v>
      </c>
      <c r="AJ1920">
        <f t="shared" ca="1" si="367"/>
        <v>0</v>
      </c>
      <c r="AK1920">
        <f t="shared" ca="1" si="368"/>
        <v>0</v>
      </c>
      <c r="AL1920">
        <f t="shared" ca="1" si="369"/>
        <v>0</v>
      </c>
    </row>
    <row r="1921" spans="1:38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#N/A, OFFSET(data!$A$1, ROW()-1, AA$1-1))</f>
        <v>0</v>
      </c>
      <c r="AB1921">
        <f t="shared" ca="1" si="360"/>
        <v>0</v>
      </c>
      <c r="AC1921" t="e">
        <f t="shared" ca="1" si="361"/>
        <v>#VALUE!</v>
      </c>
      <c r="AD1921" t="str">
        <f t="shared" ca="1" si="362"/>
        <v>0</v>
      </c>
      <c r="AE1921" t="str">
        <f t="shared" ca="1" si="363"/>
        <v/>
      </c>
      <c r="AF1921" s="6">
        <f t="shared" ca="1" si="364"/>
        <v>0</v>
      </c>
      <c r="AG1921">
        <f t="shared" ca="1" si="370"/>
        <v>0</v>
      </c>
      <c r="AH1921">
        <f t="shared" ca="1" si="365"/>
        <v>0</v>
      </c>
      <c r="AI1921">
        <f t="shared" ca="1" si="366"/>
        <v>0</v>
      </c>
      <c r="AJ1921">
        <f t="shared" ca="1" si="367"/>
        <v>0</v>
      </c>
      <c r="AK1921">
        <f t="shared" ca="1" si="368"/>
        <v>0</v>
      </c>
      <c r="AL1921">
        <f t="shared" ca="1" si="369"/>
        <v>0</v>
      </c>
    </row>
    <row r="1922" spans="1:38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#N/A, OFFSET(data!$A$1, ROW()-1, AA$1-1))</f>
        <v>0</v>
      </c>
      <c r="AB1922">
        <f t="shared" ca="1" si="360"/>
        <v>0</v>
      </c>
      <c r="AC1922" t="e">
        <f t="shared" ca="1" si="361"/>
        <v>#VALUE!</v>
      </c>
      <c r="AD1922" t="str">
        <f t="shared" ca="1" si="362"/>
        <v>0</v>
      </c>
      <c r="AE1922" t="str">
        <f t="shared" ca="1" si="363"/>
        <v/>
      </c>
      <c r="AF1922" s="6">
        <f t="shared" ca="1" si="364"/>
        <v>0</v>
      </c>
      <c r="AG1922">
        <f t="shared" ca="1" si="370"/>
        <v>0</v>
      </c>
      <c r="AH1922">
        <f t="shared" ca="1" si="365"/>
        <v>0</v>
      </c>
      <c r="AI1922">
        <f t="shared" ca="1" si="366"/>
        <v>0</v>
      </c>
      <c r="AJ1922">
        <f t="shared" ca="1" si="367"/>
        <v>0</v>
      </c>
      <c r="AK1922">
        <f t="shared" ca="1" si="368"/>
        <v>0</v>
      </c>
      <c r="AL1922">
        <f t="shared" ca="1" si="369"/>
        <v>0</v>
      </c>
    </row>
    <row r="1923" spans="1:38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#N/A, OFFSET(data!$A$1, ROW()-1, AA$1-1))</f>
        <v>0</v>
      </c>
      <c r="AB1923">
        <f t="shared" ref="AB1923:AB1986" ca="1" si="371">VALUE(LEFT(C1923, 4))</f>
        <v>0</v>
      </c>
      <c r="AC1923" t="e">
        <f t="shared" ref="AC1923:AC1986" ca="1" si="372">VALUE(MID(C1923, 6, 2))</f>
        <v>#VALUE!</v>
      </c>
      <c r="AD1923" t="str">
        <f t="shared" ref="AD1923:AD1986" ca="1" si="373">SUBSTITUTE(MID(C1923,6,6)&amp;LEFT(C1923,4), "-", "/")</f>
        <v>0</v>
      </c>
      <c r="AE1923" t="str">
        <f t="shared" ref="AE1923:AE1986" ca="1" si="374">IF(RIGHT(C1923, 5)="12:00", AD1923, "")</f>
        <v/>
      </c>
      <c r="AF1923" s="6">
        <f t="shared" ref="AF1923:AF1986" ca="1" si="375">Z1923/1000</f>
        <v>0</v>
      </c>
      <c r="AG1923">
        <f t="shared" ca="1" si="370"/>
        <v>0</v>
      </c>
      <c r="AH1923">
        <f t="shared" ca="1" si="365"/>
        <v>0</v>
      </c>
      <c r="AI1923">
        <f t="shared" ca="1" si="366"/>
        <v>0</v>
      </c>
      <c r="AJ1923">
        <f t="shared" ca="1" si="367"/>
        <v>0</v>
      </c>
      <c r="AK1923">
        <f t="shared" ca="1" si="368"/>
        <v>0</v>
      </c>
      <c r="AL1923">
        <f t="shared" ca="1" si="369"/>
        <v>0</v>
      </c>
    </row>
    <row r="1924" spans="1:38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#N/A, OFFSET(data!$A$1, ROW()-1, AA$1-1))</f>
        <v>0</v>
      </c>
      <c r="AB1924">
        <f t="shared" ca="1" si="371"/>
        <v>0</v>
      </c>
      <c r="AC1924" t="e">
        <f t="shared" ca="1" si="372"/>
        <v>#VALUE!</v>
      </c>
      <c r="AD1924" t="str">
        <f t="shared" ca="1" si="373"/>
        <v>0</v>
      </c>
      <c r="AE1924" t="str">
        <f t="shared" ca="1" si="374"/>
        <v/>
      </c>
      <c r="AF1924" s="6">
        <f t="shared" ca="1" si="375"/>
        <v>0</v>
      </c>
      <c r="AG1924">
        <f t="shared" ca="1" si="370"/>
        <v>0</v>
      </c>
      <c r="AH1924">
        <f t="shared" ref="AH1924:AH1987" ca="1" si="376">MAX(S1924,Y1924)</f>
        <v>0</v>
      </c>
      <c r="AI1924">
        <f t="shared" ref="AI1924:AI1987" ca="1" si="377">MAX(R1924,V1924)</f>
        <v>0</v>
      </c>
      <c r="AJ1924">
        <f t="shared" ref="AJ1924:AJ1987" ca="1" si="378">K1924+N1924</f>
        <v>0</v>
      </c>
      <c r="AK1924">
        <f t="shared" ref="AK1924:AK1987" ca="1" si="379">L1924+O1924</f>
        <v>0</v>
      </c>
      <c r="AL1924">
        <f t="shared" ref="AL1924:AL1987" ca="1" si="380">M1924+P1924</f>
        <v>0</v>
      </c>
    </row>
    <row r="1925" spans="1:38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#N/A, OFFSET(data!$A$1, ROW()-1, AA$1-1))</f>
        <v>0</v>
      </c>
      <c r="AB1925">
        <f t="shared" ca="1" si="371"/>
        <v>0</v>
      </c>
      <c r="AC1925" t="e">
        <f t="shared" ca="1" si="372"/>
        <v>#VALUE!</v>
      </c>
      <c r="AD1925" t="str">
        <f t="shared" ca="1" si="373"/>
        <v>0</v>
      </c>
      <c r="AE1925" t="str">
        <f t="shared" ca="1" si="374"/>
        <v/>
      </c>
      <c r="AF1925" s="6">
        <f t="shared" ca="1" si="375"/>
        <v>0</v>
      </c>
      <c r="AG1925">
        <f t="shared" ca="1" si="370"/>
        <v>0</v>
      </c>
      <c r="AH1925">
        <f t="shared" ca="1" si="376"/>
        <v>0</v>
      </c>
      <c r="AI1925">
        <f t="shared" ca="1" si="377"/>
        <v>0</v>
      </c>
      <c r="AJ1925">
        <f t="shared" ca="1" si="378"/>
        <v>0</v>
      </c>
      <c r="AK1925">
        <f t="shared" ca="1" si="379"/>
        <v>0</v>
      </c>
      <c r="AL1925">
        <f t="shared" ca="1" si="380"/>
        <v>0</v>
      </c>
    </row>
    <row r="1926" spans="1:38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#N/A, OFFSET(data!$A$1, ROW()-1, AA$1-1))</f>
        <v>0</v>
      </c>
      <c r="AB1926">
        <f t="shared" ca="1" si="371"/>
        <v>0</v>
      </c>
      <c r="AC1926" t="e">
        <f t="shared" ca="1" si="372"/>
        <v>#VALUE!</v>
      </c>
      <c r="AD1926" t="str">
        <f t="shared" ca="1" si="373"/>
        <v>0</v>
      </c>
      <c r="AE1926" t="str">
        <f t="shared" ca="1" si="374"/>
        <v/>
      </c>
      <c r="AF1926" s="6">
        <f t="shared" ca="1" si="375"/>
        <v>0</v>
      </c>
      <c r="AG1926">
        <f t="shared" ca="1" si="370"/>
        <v>0</v>
      </c>
      <c r="AH1926">
        <f t="shared" ca="1" si="376"/>
        <v>0</v>
      </c>
      <c r="AI1926">
        <f t="shared" ca="1" si="377"/>
        <v>0</v>
      </c>
      <c r="AJ1926">
        <f t="shared" ca="1" si="378"/>
        <v>0</v>
      </c>
      <c r="AK1926">
        <f t="shared" ca="1" si="379"/>
        <v>0</v>
      </c>
      <c r="AL1926">
        <f t="shared" ca="1" si="380"/>
        <v>0</v>
      </c>
    </row>
    <row r="1927" spans="1:38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#N/A, OFFSET(data!$A$1, ROW()-1, AA$1-1))</f>
        <v>0</v>
      </c>
      <c r="AB1927">
        <f t="shared" ca="1" si="371"/>
        <v>0</v>
      </c>
      <c r="AC1927" t="e">
        <f t="shared" ca="1" si="372"/>
        <v>#VALUE!</v>
      </c>
      <c r="AD1927" t="str">
        <f t="shared" ca="1" si="373"/>
        <v>0</v>
      </c>
      <c r="AE1927" t="str">
        <f t="shared" ca="1" si="374"/>
        <v/>
      </c>
      <c r="AF1927" s="6">
        <f t="shared" ca="1" si="375"/>
        <v>0</v>
      </c>
      <c r="AG1927">
        <f t="shared" ca="1" si="370"/>
        <v>0</v>
      </c>
      <c r="AH1927">
        <f t="shared" ca="1" si="376"/>
        <v>0</v>
      </c>
      <c r="AI1927">
        <f t="shared" ca="1" si="377"/>
        <v>0</v>
      </c>
      <c r="AJ1927">
        <f t="shared" ca="1" si="378"/>
        <v>0</v>
      </c>
      <c r="AK1927">
        <f t="shared" ca="1" si="379"/>
        <v>0</v>
      </c>
      <c r="AL1927">
        <f t="shared" ca="1" si="380"/>
        <v>0</v>
      </c>
    </row>
    <row r="1928" spans="1:38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#N/A, OFFSET(data!$A$1, ROW()-1, AA$1-1))</f>
        <v>0</v>
      </c>
      <c r="AB1928">
        <f t="shared" ca="1" si="371"/>
        <v>0</v>
      </c>
      <c r="AC1928" t="e">
        <f t="shared" ca="1" si="372"/>
        <v>#VALUE!</v>
      </c>
      <c r="AD1928" t="str">
        <f t="shared" ca="1" si="373"/>
        <v>0</v>
      </c>
      <c r="AE1928" t="str">
        <f t="shared" ca="1" si="374"/>
        <v/>
      </c>
      <c r="AF1928" s="6">
        <f t="shared" ca="1" si="375"/>
        <v>0</v>
      </c>
      <c r="AG1928">
        <f t="shared" ca="1" si="370"/>
        <v>0</v>
      </c>
      <c r="AH1928">
        <f t="shared" ca="1" si="376"/>
        <v>0</v>
      </c>
      <c r="AI1928">
        <f t="shared" ca="1" si="377"/>
        <v>0</v>
      </c>
      <c r="AJ1928">
        <f t="shared" ca="1" si="378"/>
        <v>0</v>
      </c>
      <c r="AK1928">
        <f t="shared" ca="1" si="379"/>
        <v>0</v>
      </c>
      <c r="AL1928">
        <f t="shared" ca="1" si="380"/>
        <v>0</v>
      </c>
    </row>
    <row r="1929" spans="1:38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#N/A, OFFSET(data!$A$1, ROW()-1, AA$1-1))</f>
        <v>0</v>
      </c>
      <c r="AB1929">
        <f t="shared" ca="1" si="371"/>
        <v>0</v>
      </c>
      <c r="AC1929" t="e">
        <f t="shared" ca="1" si="372"/>
        <v>#VALUE!</v>
      </c>
      <c r="AD1929" t="str">
        <f t="shared" ca="1" si="373"/>
        <v>0</v>
      </c>
      <c r="AE1929" t="str">
        <f t="shared" ca="1" si="374"/>
        <v/>
      </c>
      <c r="AF1929" s="6">
        <f t="shared" ca="1" si="375"/>
        <v>0</v>
      </c>
      <c r="AG1929">
        <f t="shared" ca="1" si="370"/>
        <v>0</v>
      </c>
      <c r="AH1929">
        <f t="shared" ca="1" si="376"/>
        <v>0</v>
      </c>
      <c r="AI1929">
        <f t="shared" ca="1" si="377"/>
        <v>0</v>
      </c>
      <c r="AJ1929">
        <f t="shared" ca="1" si="378"/>
        <v>0</v>
      </c>
      <c r="AK1929">
        <f t="shared" ca="1" si="379"/>
        <v>0</v>
      </c>
      <c r="AL1929">
        <f t="shared" ca="1" si="380"/>
        <v>0</v>
      </c>
    </row>
    <row r="1930" spans="1:38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#N/A, OFFSET(data!$A$1, ROW()-1, AA$1-1))</f>
        <v>0</v>
      </c>
      <c r="AB1930">
        <f t="shared" ca="1" si="371"/>
        <v>0</v>
      </c>
      <c r="AC1930" t="e">
        <f t="shared" ca="1" si="372"/>
        <v>#VALUE!</v>
      </c>
      <c r="AD1930" t="str">
        <f t="shared" ca="1" si="373"/>
        <v>0</v>
      </c>
      <c r="AE1930" t="str">
        <f t="shared" ca="1" si="374"/>
        <v/>
      </c>
      <c r="AF1930" s="6">
        <f t="shared" ca="1" si="375"/>
        <v>0</v>
      </c>
      <c r="AG1930">
        <f t="shared" ca="1" si="370"/>
        <v>0</v>
      </c>
      <c r="AH1930">
        <f t="shared" ca="1" si="376"/>
        <v>0</v>
      </c>
      <c r="AI1930">
        <f t="shared" ca="1" si="377"/>
        <v>0</v>
      </c>
      <c r="AJ1930">
        <f t="shared" ca="1" si="378"/>
        <v>0</v>
      </c>
      <c r="AK1930">
        <f t="shared" ca="1" si="379"/>
        <v>0</v>
      </c>
      <c r="AL1930">
        <f t="shared" ca="1" si="380"/>
        <v>0</v>
      </c>
    </row>
    <row r="1931" spans="1:38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#N/A, OFFSET(data!$A$1, ROW()-1, AA$1-1))</f>
        <v>0</v>
      </c>
      <c r="AB1931">
        <f t="shared" ca="1" si="371"/>
        <v>0</v>
      </c>
      <c r="AC1931" t="e">
        <f t="shared" ca="1" si="372"/>
        <v>#VALUE!</v>
      </c>
      <c r="AD1931" t="str">
        <f t="shared" ca="1" si="373"/>
        <v>0</v>
      </c>
      <c r="AE1931" t="str">
        <f t="shared" ca="1" si="374"/>
        <v/>
      </c>
      <c r="AF1931" s="6">
        <f t="shared" ca="1" si="375"/>
        <v>0</v>
      </c>
      <c r="AG1931">
        <f t="shared" ca="1" si="370"/>
        <v>0</v>
      </c>
      <c r="AH1931">
        <f t="shared" ca="1" si="376"/>
        <v>0</v>
      </c>
      <c r="AI1931">
        <f t="shared" ca="1" si="377"/>
        <v>0</v>
      </c>
      <c r="AJ1931">
        <f t="shared" ca="1" si="378"/>
        <v>0</v>
      </c>
      <c r="AK1931">
        <f t="shared" ca="1" si="379"/>
        <v>0</v>
      </c>
      <c r="AL1931">
        <f t="shared" ca="1" si="380"/>
        <v>0</v>
      </c>
    </row>
    <row r="1932" spans="1:38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#N/A, OFFSET(data!$A$1, ROW()-1, AA$1-1))</f>
        <v>0</v>
      </c>
      <c r="AB1932">
        <f t="shared" ca="1" si="371"/>
        <v>0</v>
      </c>
      <c r="AC1932" t="e">
        <f t="shared" ca="1" si="372"/>
        <v>#VALUE!</v>
      </c>
      <c r="AD1932" t="str">
        <f t="shared" ca="1" si="373"/>
        <v>0</v>
      </c>
      <c r="AE1932" t="str">
        <f t="shared" ca="1" si="374"/>
        <v/>
      </c>
      <c r="AF1932" s="6">
        <f t="shared" ca="1" si="375"/>
        <v>0</v>
      </c>
      <c r="AG1932">
        <f t="shared" ca="1" si="370"/>
        <v>0</v>
      </c>
      <c r="AH1932">
        <f t="shared" ca="1" si="376"/>
        <v>0</v>
      </c>
      <c r="AI1932">
        <f t="shared" ca="1" si="377"/>
        <v>0</v>
      </c>
      <c r="AJ1932">
        <f t="shared" ca="1" si="378"/>
        <v>0</v>
      </c>
      <c r="AK1932">
        <f t="shared" ca="1" si="379"/>
        <v>0</v>
      </c>
      <c r="AL1932">
        <f t="shared" ca="1" si="380"/>
        <v>0</v>
      </c>
    </row>
    <row r="1933" spans="1:38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#N/A, OFFSET(data!$A$1, ROW()-1, AA$1-1))</f>
        <v>0</v>
      </c>
      <c r="AB1933">
        <f t="shared" ca="1" si="371"/>
        <v>0</v>
      </c>
      <c r="AC1933" t="e">
        <f t="shared" ca="1" si="372"/>
        <v>#VALUE!</v>
      </c>
      <c r="AD1933" t="str">
        <f t="shared" ca="1" si="373"/>
        <v>0</v>
      </c>
      <c r="AE1933" t="str">
        <f t="shared" ca="1" si="374"/>
        <v/>
      </c>
      <c r="AF1933" s="6">
        <f t="shared" ca="1" si="375"/>
        <v>0</v>
      </c>
      <c r="AG1933">
        <f t="shared" ca="1" si="370"/>
        <v>0</v>
      </c>
      <c r="AH1933">
        <f t="shared" ca="1" si="376"/>
        <v>0</v>
      </c>
      <c r="AI1933">
        <f t="shared" ca="1" si="377"/>
        <v>0</v>
      </c>
      <c r="AJ1933">
        <f t="shared" ca="1" si="378"/>
        <v>0</v>
      </c>
      <c r="AK1933">
        <f t="shared" ca="1" si="379"/>
        <v>0</v>
      </c>
      <c r="AL1933">
        <f t="shared" ca="1" si="380"/>
        <v>0</v>
      </c>
    </row>
    <row r="1934" spans="1:38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#N/A, OFFSET(data!$A$1, ROW()-1, AA$1-1))</f>
        <v>0</v>
      </c>
      <c r="AB1934">
        <f t="shared" ca="1" si="371"/>
        <v>0</v>
      </c>
      <c r="AC1934" t="e">
        <f t="shared" ca="1" si="372"/>
        <v>#VALUE!</v>
      </c>
      <c r="AD1934" t="str">
        <f t="shared" ca="1" si="373"/>
        <v>0</v>
      </c>
      <c r="AE1934" t="str">
        <f t="shared" ca="1" si="374"/>
        <v/>
      </c>
      <c r="AF1934" s="6">
        <f t="shared" ca="1" si="375"/>
        <v>0</v>
      </c>
      <c r="AG1934">
        <f t="shared" ca="1" si="370"/>
        <v>0</v>
      </c>
      <c r="AH1934">
        <f t="shared" ca="1" si="376"/>
        <v>0</v>
      </c>
      <c r="AI1934">
        <f t="shared" ca="1" si="377"/>
        <v>0</v>
      </c>
      <c r="AJ1934">
        <f t="shared" ca="1" si="378"/>
        <v>0</v>
      </c>
      <c r="AK1934">
        <f t="shared" ca="1" si="379"/>
        <v>0</v>
      </c>
      <c r="AL1934">
        <f t="shared" ca="1" si="380"/>
        <v>0</v>
      </c>
    </row>
    <row r="1935" spans="1:38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#N/A, OFFSET(data!$A$1, ROW()-1, AA$1-1))</f>
        <v>0</v>
      </c>
      <c r="AB1935">
        <f t="shared" ca="1" si="371"/>
        <v>0</v>
      </c>
      <c r="AC1935" t="e">
        <f t="shared" ca="1" si="372"/>
        <v>#VALUE!</v>
      </c>
      <c r="AD1935" t="str">
        <f t="shared" ca="1" si="373"/>
        <v>0</v>
      </c>
      <c r="AE1935" t="str">
        <f t="shared" ca="1" si="374"/>
        <v/>
      </c>
      <c r="AF1935" s="6">
        <f t="shared" ca="1" si="375"/>
        <v>0</v>
      </c>
      <c r="AG1935">
        <f t="shared" ca="1" si="370"/>
        <v>0</v>
      </c>
      <c r="AH1935">
        <f t="shared" ca="1" si="376"/>
        <v>0</v>
      </c>
      <c r="AI1935">
        <f t="shared" ca="1" si="377"/>
        <v>0</v>
      </c>
      <c r="AJ1935">
        <f t="shared" ca="1" si="378"/>
        <v>0</v>
      </c>
      <c r="AK1935">
        <f t="shared" ca="1" si="379"/>
        <v>0</v>
      </c>
      <c r="AL1935">
        <f t="shared" ca="1" si="380"/>
        <v>0</v>
      </c>
    </row>
    <row r="1936" spans="1:38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#N/A, OFFSET(data!$A$1, ROW()-1, AA$1-1))</f>
        <v>0</v>
      </c>
      <c r="AB1936">
        <f t="shared" ca="1" si="371"/>
        <v>0</v>
      </c>
      <c r="AC1936" t="e">
        <f t="shared" ca="1" si="372"/>
        <v>#VALUE!</v>
      </c>
      <c r="AD1936" t="str">
        <f t="shared" ca="1" si="373"/>
        <v>0</v>
      </c>
      <c r="AE1936" t="str">
        <f t="shared" ca="1" si="374"/>
        <v/>
      </c>
      <c r="AF1936" s="6">
        <f t="shared" ca="1" si="375"/>
        <v>0</v>
      </c>
      <c r="AG1936">
        <f t="shared" ca="1" si="370"/>
        <v>0</v>
      </c>
      <c r="AH1936">
        <f t="shared" ca="1" si="376"/>
        <v>0</v>
      </c>
      <c r="AI1936">
        <f t="shared" ca="1" si="377"/>
        <v>0</v>
      </c>
      <c r="AJ1936">
        <f t="shared" ca="1" si="378"/>
        <v>0</v>
      </c>
      <c r="AK1936">
        <f t="shared" ca="1" si="379"/>
        <v>0</v>
      </c>
      <c r="AL1936">
        <f t="shared" ca="1" si="380"/>
        <v>0</v>
      </c>
    </row>
    <row r="1937" spans="1:38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#N/A, OFFSET(data!$A$1, ROW()-1, AA$1-1))</f>
        <v>0</v>
      </c>
      <c r="AB1937">
        <f t="shared" ca="1" si="371"/>
        <v>0</v>
      </c>
      <c r="AC1937" t="e">
        <f t="shared" ca="1" si="372"/>
        <v>#VALUE!</v>
      </c>
      <c r="AD1937" t="str">
        <f t="shared" ca="1" si="373"/>
        <v>0</v>
      </c>
      <c r="AE1937" t="str">
        <f t="shared" ca="1" si="374"/>
        <v/>
      </c>
      <c r="AF1937" s="6">
        <f t="shared" ca="1" si="375"/>
        <v>0</v>
      </c>
      <c r="AG1937">
        <f t="shared" ca="1" si="370"/>
        <v>0</v>
      </c>
      <c r="AH1937">
        <f t="shared" ca="1" si="376"/>
        <v>0</v>
      </c>
      <c r="AI1937">
        <f t="shared" ca="1" si="377"/>
        <v>0</v>
      </c>
      <c r="AJ1937">
        <f t="shared" ca="1" si="378"/>
        <v>0</v>
      </c>
      <c r="AK1937">
        <f t="shared" ca="1" si="379"/>
        <v>0</v>
      </c>
      <c r="AL1937">
        <f t="shared" ca="1" si="380"/>
        <v>0</v>
      </c>
    </row>
    <row r="1938" spans="1:38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#N/A, OFFSET(data!$A$1, ROW()-1, AA$1-1))</f>
        <v>0</v>
      </c>
      <c r="AB1938">
        <f t="shared" ca="1" si="371"/>
        <v>0</v>
      </c>
      <c r="AC1938" t="e">
        <f t="shared" ca="1" si="372"/>
        <v>#VALUE!</v>
      </c>
      <c r="AD1938" t="str">
        <f t="shared" ca="1" si="373"/>
        <v>0</v>
      </c>
      <c r="AE1938" t="str">
        <f t="shared" ca="1" si="374"/>
        <v/>
      </c>
      <c r="AF1938" s="6">
        <f t="shared" ca="1" si="375"/>
        <v>0</v>
      </c>
      <c r="AG1938">
        <f t="shared" ca="1" si="370"/>
        <v>0</v>
      </c>
      <c r="AH1938">
        <f t="shared" ca="1" si="376"/>
        <v>0</v>
      </c>
      <c r="AI1938">
        <f t="shared" ca="1" si="377"/>
        <v>0</v>
      </c>
      <c r="AJ1938">
        <f t="shared" ca="1" si="378"/>
        <v>0</v>
      </c>
      <c r="AK1938">
        <f t="shared" ca="1" si="379"/>
        <v>0</v>
      </c>
      <c r="AL1938">
        <f t="shared" ca="1" si="380"/>
        <v>0</v>
      </c>
    </row>
    <row r="1939" spans="1:38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#N/A, OFFSET(data!$A$1, ROW()-1, AA$1-1))</f>
        <v>0</v>
      </c>
      <c r="AB1939">
        <f t="shared" ca="1" si="371"/>
        <v>0</v>
      </c>
      <c r="AC1939" t="e">
        <f t="shared" ca="1" si="372"/>
        <v>#VALUE!</v>
      </c>
      <c r="AD1939" t="str">
        <f t="shared" ca="1" si="373"/>
        <v>0</v>
      </c>
      <c r="AE1939" t="str">
        <f t="shared" ca="1" si="374"/>
        <v/>
      </c>
      <c r="AF1939" s="6">
        <f t="shared" ca="1" si="375"/>
        <v>0</v>
      </c>
      <c r="AG1939">
        <f t="shared" ca="1" si="370"/>
        <v>0</v>
      </c>
      <c r="AH1939">
        <f t="shared" ca="1" si="376"/>
        <v>0</v>
      </c>
      <c r="AI1939">
        <f t="shared" ca="1" si="377"/>
        <v>0</v>
      </c>
      <c r="AJ1939">
        <f t="shared" ca="1" si="378"/>
        <v>0</v>
      </c>
      <c r="AK1939">
        <f t="shared" ca="1" si="379"/>
        <v>0</v>
      </c>
      <c r="AL1939">
        <f t="shared" ca="1" si="380"/>
        <v>0</v>
      </c>
    </row>
    <row r="1940" spans="1:38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#N/A, OFFSET(data!$A$1, ROW()-1, AA$1-1))</f>
        <v>0</v>
      </c>
      <c r="AB1940">
        <f t="shared" ca="1" si="371"/>
        <v>0</v>
      </c>
      <c r="AC1940" t="e">
        <f t="shared" ca="1" si="372"/>
        <v>#VALUE!</v>
      </c>
      <c r="AD1940" t="str">
        <f t="shared" ca="1" si="373"/>
        <v>0</v>
      </c>
      <c r="AE1940" t="str">
        <f t="shared" ca="1" si="374"/>
        <v/>
      </c>
      <c r="AF1940" s="6">
        <f t="shared" ca="1" si="375"/>
        <v>0</v>
      </c>
      <c r="AG1940">
        <f t="shared" ca="1" si="370"/>
        <v>0</v>
      </c>
      <c r="AH1940">
        <f t="shared" ca="1" si="376"/>
        <v>0</v>
      </c>
      <c r="AI1940">
        <f t="shared" ca="1" si="377"/>
        <v>0</v>
      </c>
      <c r="AJ1940">
        <f t="shared" ca="1" si="378"/>
        <v>0</v>
      </c>
      <c r="AK1940">
        <f t="shared" ca="1" si="379"/>
        <v>0</v>
      </c>
      <c r="AL1940">
        <f t="shared" ca="1" si="380"/>
        <v>0</v>
      </c>
    </row>
    <row r="1941" spans="1:38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#N/A, OFFSET(data!$A$1, ROW()-1, AA$1-1))</f>
        <v>0</v>
      </c>
      <c r="AB1941">
        <f t="shared" ca="1" si="371"/>
        <v>0</v>
      </c>
      <c r="AC1941" t="e">
        <f t="shared" ca="1" si="372"/>
        <v>#VALUE!</v>
      </c>
      <c r="AD1941" t="str">
        <f t="shared" ca="1" si="373"/>
        <v>0</v>
      </c>
      <c r="AE1941" t="str">
        <f t="shared" ca="1" si="374"/>
        <v/>
      </c>
      <c r="AF1941" s="6">
        <f t="shared" ca="1" si="375"/>
        <v>0</v>
      </c>
      <c r="AG1941">
        <f t="shared" ca="1" si="370"/>
        <v>0</v>
      </c>
      <c r="AH1941">
        <f t="shared" ca="1" si="376"/>
        <v>0</v>
      </c>
      <c r="AI1941">
        <f t="shared" ca="1" si="377"/>
        <v>0</v>
      </c>
      <c r="AJ1941">
        <f t="shared" ca="1" si="378"/>
        <v>0</v>
      </c>
      <c r="AK1941">
        <f t="shared" ca="1" si="379"/>
        <v>0</v>
      </c>
      <c r="AL1941">
        <f t="shared" ca="1" si="380"/>
        <v>0</v>
      </c>
    </row>
    <row r="1942" spans="1:38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#N/A, OFFSET(data!$A$1, ROW()-1, AA$1-1))</f>
        <v>0</v>
      </c>
      <c r="AB1942">
        <f t="shared" ca="1" si="371"/>
        <v>0</v>
      </c>
      <c r="AC1942" t="e">
        <f t="shared" ca="1" si="372"/>
        <v>#VALUE!</v>
      </c>
      <c r="AD1942" t="str">
        <f t="shared" ca="1" si="373"/>
        <v>0</v>
      </c>
      <c r="AE1942" t="str">
        <f t="shared" ca="1" si="374"/>
        <v/>
      </c>
      <c r="AF1942" s="6">
        <f t="shared" ca="1" si="375"/>
        <v>0</v>
      </c>
      <c r="AG1942">
        <f t="shared" ca="1" si="370"/>
        <v>0</v>
      </c>
      <c r="AH1942">
        <f t="shared" ca="1" si="376"/>
        <v>0</v>
      </c>
      <c r="AI1942">
        <f t="shared" ca="1" si="377"/>
        <v>0</v>
      </c>
      <c r="AJ1942">
        <f t="shared" ca="1" si="378"/>
        <v>0</v>
      </c>
      <c r="AK1942">
        <f t="shared" ca="1" si="379"/>
        <v>0</v>
      </c>
      <c r="AL1942">
        <f t="shared" ca="1" si="380"/>
        <v>0</v>
      </c>
    </row>
    <row r="1943" spans="1:38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#N/A, OFFSET(data!$A$1, ROW()-1, AA$1-1))</f>
        <v>0</v>
      </c>
      <c r="AB1943">
        <f t="shared" ca="1" si="371"/>
        <v>0</v>
      </c>
      <c r="AC1943" t="e">
        <f t="shared" ca="1" si="372"/>
        <v>#VALUE!</v>
      </c>
      <c r="AD1943" t="str">
        <f t="shared" ca="1" si="373"/>
        <v>0</v>
      </c>
      <c r="AE1943" t="str">
        <f t="shared" ca="1" si="374"/>
        <v/>
      </c>
      <c r="AF1943" s="6">
        <f t="shared" ca="1" si="375"/>
        <v>0</v>
      </c>
      <c r="AG1943">
        <f t="shared" ca="1" si="370"/>
        <v>0</v>
      </c>
      <c r="AH1943">
        <f t="shared" ca="1" si="376"/>
        <v>0</v>
      </c>
      <c r="AI1943">
        <f t="shared" ca="1" si="377"/>
        <v>0</v>
      </c>
      <c r="AJ1943">
        <f t="shared" ca="1" si="378"/>
        <v>0</v>
      </c>
      <c r="AK1943">
        <f t="shared" ca="1" si="379"/>
        <v>0</v>
      </c>
      <c r="AL1943">
        <f t="shared" ca="1" si="380"/>
        <v>0</v>
      </c>
    </row>
    <row r="1944" spans="1:38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#N/A, OFFSET(data!$A$1, ROW()-1, AA$1-1))</f>
        <v>0</v>
      </c>
      <c r="AB1944">
        <f t="shared" ca="1" si="371"/>
        <v>0</v>
      </c>
      <c r="AC1944" t="e">
        <f t="shared" ca="1" si="372"/>
        <v>#VALUE!</v>
      </c>
      <c r="AD1944" t="str">
        <f t="shared" ca="1" si="373"/>
        <v>0</v>
      </c>
      <c r="AE1944" t="str">
        <f t="shared" ca="1" si="374"/>
        <v/>
      </c>
      <c r="AF1944" s="6">
        <f t="shared" ca="1" si="375"/>
        <v>0</v>
      </c>
      <c r="AG1944">
        <f t="shared" ca="1" si="370"/>
        <v>0</v>
      </c>
      <c r="AH1944">
        <f t="shared" ca="1" si="376"/>
        <v>0</v>
      </c>
      <c r="AI1944">
        <f t="shared" ca="1" si="377"/>
        <v>0</v>
      </c>
      <c r="AJ1944">
        <f t="shared" ca="1" si="378"/>
        <v>0</v>
      </c>
      <c r="AK1944">
        <f t="shared" ca="1" si="379"/>
        <v>0</v>
      </c>
      <c r="AL1944">
        <f t="shared" ca="1" si="380"/>
        <v>0</v>
      </c>
    </row>
    <row r="1945" spans="1:38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#N/A, OFFSET(data!$A$1, ROW()-1, AA$1-1))</f>
        <v>0</v>
      </c>
      <c r="AB1945">
        <f t="shared" ca="1" si="371"/>
        <v>0</v>
      </c>
      <c r="AC1945" t="e">
        <f t="shared" ca="1" si="372"/>
        <v>#VALUE!</v>
      </c>
      <c r="AD1945" t="str">
        <f t="shared" ca="1" si="373"/>
        <v>0</v>
      </c>
      <c r="AE1945" t="str">
        <f t="shared" ca="1" si="374"/>
        <v/>
      </c>
      <c r="AF1945" s="6">
        <f t="shared" ca="1" si="375"/>
        <v>0</v>
      </c>
      <c r="AG1945">
        <f t="shared" ca="1" si="370"/>
        <v>0</v>
      </c>
      <c r="AH1945">
        <f t="shared" ca="1" si="376"/>
        <v>0</v>
      </c>
      <c r="AI1945">
        <f t="shared" ca="1" si="377"/>
        <v>0</v>
      </c>
      <c r="AJ1945">
        <f t="shared" ca="1" si="378"/>
        <v>0</v>
      </c>
      <c r="AK1945">
        <f t="shared" ca="1" si="379"/>
        <v>0</v>
      </c>
      <c r="AL1945">
        <f t="shared" ca="1" si="380"/>
        <v>0</v>
      </c>
    </row>
    <row r="1946" spans="1:38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#N/A, OFFSET(data!$A$1, ROW()-1, AA$1-1))</f>
        <v>0</v>
      </c>
      <c r="AB1946">
        <f t="shared" ca="1" si="371"/>
        <v>0</v>
      </c>
      <c r="AC1946" t="e">
        <f t="shared" ca="1" si="372"/>
        <v>#VALUE!</v>
      </c>
      <c r="AD1946" t="str">
        <f t="shared" ca="1" si="373"/>
        <v>0</v>
      </c>
      <c r="AE1946" t="str">
        <f t="shared" ca="1" si="374"/>
        <v/>
      </c>
      <c r="AF1946" s="6">
        <f t="shared" ca="1" si="375"/>
        <v>0</v>
      </c>
      <c r="AG1946">
        <f t="shared" ca="1" si="370"/>
        <v>0</v>
      </c>
      <c r="AH1946">
        <f t="shared" ca="1" si="376"/>
        <v>0</v>
      </c>
      <c r="AI1946">
        <f t="shared" ca="1" si="377"/>
        <v>0</v>
      </c>
      <c r="AJ1946">
        <f t="shared" ca="1" si="378"/>
        <v>0</v>
      </c>
      <c r="AK1946">
        <f t="shared" ca="1" si="379"/>
        <v>0</v>
      </c>
      <c r="AL1946">
        <f t="shared" ca="1" si="380"/>
        <v>0</v>
      </c>
    </row>
    <row r="1947" spans="1:38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#N/A, OFFSET(data!$A$1, ROW()-1, AA$1-1))</f>
        <v>0</v>
      </c>
      <c r="AB1947">
        <f t="shared" ca="1" si="371"/>
        <v>0</v>
      </c>
      <c r="AC1947" t="e">
        <f t="shared" ca="1" si="372"/>
        <v>#VALUE!</v>
      </c>
      <c r="AD1947" t="str">
        <f t="shared" ca="1" si="373"/>
        <v>0</v>
      </c>
      <c r="AE1947" t="str">
        <f t="shared" ca="1" si="374"/>
        <v/>
      </c>
      <c r="AF1947" s="6">
        <f t="shared" ca="1" si="375"/>
        <v>0</v>
      </c>
      <c r="AG1947">
        <f t="shared" ca="1" si="370"/>
        <v>0</v>
      </c>
      <c r="AH1947">
        <f t="shared" ca="1" si="376"/>
        <v>0</v>
      </c>
      <c r="AI1947">
        <f t="shared" ca="1" si="377"/>
        <v>0</v>
      </c>
      <c r="AJ1947">
        <f t="shared" ca="1" si="378"/>
        <v>0</v>
      </c>
      <c r="AK1947">
        <f t="shared" ca="1" si="379"/>
        <v>0</v>
      </c>
      <c r="AL1947">
        <f t="shared" ca="1" si="380"/>
        <v>0</v>
      </c>
    </row>
    <row r="1948" spans="1:38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#N/A, OFFSET(data!$A$1, ROW()-1, AA$1-1))</f>
        <v>0</v>
      </c>
      <c r="AB1948">
        <f t="shared" ca="1" si="371"/>
        <v>0</v>
      </c>
      <c r="AC1948" t="e">
        <f t="shared" ca="1" si="372"/>
        <v>#VALUE!</v>
      </c>
      <c r="AD1948" t="str">
        <f t="shared" ca="1" si="373"/>
        <v>0</v>
      </c>
      <c r="AE1948" t="str">
        <f t="shared" ca="1" si="374"/>
        <v/>
      </c>
      <c r="AF1948" s="6">
        <f t="shared" ca="1" si="375"/>
        <v>0</v>
      </c>
      <c r="AG1948">
        <f t="shared" ca="1" si="370"/>
        <v>0</v>
      </c>
      <c r="AH1948">
        <f t="shared" ca="1" si="376"/>
        <v>0</v>
      </c>
      <c r="AI1948">
        <f t="shared" ca="1" si="377"/>
        <v>0</v>
      </c>
      <c r="AJ1948">
        <f t="shared" ca="1" si="378"/>
        <v>0</v>
      </c>
      <c r="AK1948">
        <f t="shared" ca="1" si="379"/>
        <v>0</v>
      </c>
      <c r="AL1948">
        <f t="shared" ca="1" si="380"/>
        <v>0</v>
      </c>
    </row>
    <row r="1949" spans="1:38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#N/A, OFFSET(data!$A$1, ROW()-1, AA$1-1))</f>
        <v>0</v>
      </c>
      <c r="AB1949">
        <f t="shared" ca="1" si="371"/>
        <v>0</v>
      </c>
      <c r="AC1949" t="e">
        <f t="shared" ca="1" si="372"/>
        <v>#VALUE!</v>
      </c>
      <c r="AD1949" t="str">
        <f t="shared" ca="1" si="373"/>
        <v>0</v>
      </c>
      <c r="AE1949" t="str">
        <f t="shared" ca="1" si="374"/>
        <v/>
      </c>
      <c r="AF1949" s="6">
        <f t="shared" ca="1" si="375"/>
        <v>0</v>
      </c>
      <c r="AG1949">
        <f t="shared" ca="1" si="370"/>
        <v>0</v>
      </c>
      <c r="AH1949">
        <f t="shared" ca="1" si="376"/>
        <v>0</v>
      </c>
      <c r="AI1949">
        <f t="shared" ca="1" si="377"/>
        <v>0</v>
      </c>
      <c r="AJ1949">
        <f t="shared" ca="1" si="378"/>
        <v>0</v>
      </c>
      <c r="AK1949">
        <f t="shared" ca="1" si="379"/>
        <v>0</v>
      </c>
      <c r="AL1949">
        <f t="shared" ca="1" si="380"/>
        <v>0</v>
      </c>
    </row>
    <row r="1950" spans="1:38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#N/A, OFFSET(data!$A$1, ROW()-1, AA$1-1))</f>
        <v>0</v>
      </c>
      <c r="AB1950">
        <f t="shared" ca="1" si="371"/>
        <v>0</v>
      </c>
      <c r="AC1950" t="e">
        <f t="shared" ca="1" si="372"/>
        <v>#VALUE!</v>
      </c>
      <c r="AD1950" t="str">
        <f t="shared" ca="1" si="373"/>
        <v>0</v>
      </c>
      <c r="AE1950" t="str">
        <f t="shared" ca="1" si="374"/>
        <v/>
      </c>
      <c r="AF1950" s="6">
        <f t="shared" ca="1" si="375"/>
        <v>0</v>
      </c>
      <c r="AG1950">
        <f t="shared" ca="1" si="370"/>
        <v>0</v>
      </c>
      <c r="AH1950">
        <f t="shared" ca="1" si="376"/>
        <v>0</v>
      </c>
      <c r="AI1950">
        <f t="shared" ca="1" si="377"/>
        <v>0</v>
      </c>
      <c r="AJ1950">
        <f t="shared" ca="1" si="378"/>
        <v>0</v>
      </c>
      <c r="AK1950">
        <f t="shared" ca="1" si="379"/>
        <v>0</v>
      </c>
      <c r="AL1950">
        <f t="shared" ca="1" si="380"/>
        <v>0</v>
      </c>
    </row>
    <row r="1951" spans="1:38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#N/A, OFFSET(data!$A$1, ROW()-1, AA$1-1))</f>
        <v>0</v>
      </c>
      <c r="AB1951">
        <f t="shared" ca="1" si="371"/>
        <v>0</v>
      </c>
      <c r="AC1951" t="e">
        <f t="shared" ca="1" si="372"/>
        <v>#VALUE!</v>
      </c>
      <c r="AD1951" t="str">
        <f t="shared" ca="1" si="373"/>
        <v>0</v>
      </c>
      <c r="AE1951" t="str">
        <f t="shared" ca="1" si="374"/>
        <v/>
      </c>
      <c r="AF1951" s="6">
        <f t="shared" ca="1" si="375"/>
        <v>0</v>
      </c>
      <c r="AG1951">
        <f t="shared" ca="1" si="370"/>
        <v>0</v>
      </c>
      <c r="AH1951">
        <f t="shared" ca="1" si="376"/>
        <v>0</v>
      </c>
      <c r="AI1951">
        <f t="shared" ca="1" si="377"/>
        <v>0</v>
      </c>
      <c r="AJ1951">
        <f t="shared" ca="1" si="378"/>
        <v>0</v>
      </c>
      <c r="AK1951">
        <f t="shared" ca="1" si="379"/>
        <v>0</v>
      </c>
      <c r="AL1951">
        <f t="shared" ca="1" si="380"/>
        <v>0</v>
      </c>
    </row>
    <row r="1952" spans="1:38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#N/A, OFFSET(data!$A$1, ROW()-1, AA$1-1))</f>
        <v>0</v>
      </c>
      <c r="AB1952">
        <f t="shared" ca="1" si="371"/>
        <v>0</v>
      </c>
      <c r="AC1952" t="e">
        <f t="shared" ca="1" si="372"/>
        <v>#VALUE!</v>
      </c>
      <c r="AD1952" t="str">
        <f t="shared" ca="1" si="373"/>
        <v>0</v>
      </c>
      <c r="AE1952" t="str">
        <f t="shared" ca="1" si="374"/>
        <v/>
      </c>
      <c r="AF1952" s="6">
        <f t="shared" ca="1" si="375"/>
        <v>0</v>
      </c>
      <c r="AG1952">
        <f t="shared" ca="1" si="370"/>
        <v>0</v>
      </c>
      <c r="AH1952">
        <f t="shared" ca="1" si="376"/>
        <v>0</v>
      </c>
      <c r="AI1952">
        <f t="shared" ca="1" si="377"/>
        <v>0</v>
      </c>
      <c r="AJ1952">
        <f t="shared" ca="1" si="378"/>
        <v>0</v>
      </c>
      <c r="AK1952">
        <f t="shared" ca="1" si="379"/>
        <v>0</v>
      </c>
      <c r="AL1952">
        <f t="shared" ca="1" si="380"/>
        <v>0</v>
      </c>
    </row>
    <row r="1953" spans="1:38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#N/A, OFFSET(data!$A$1, ROW()-1, AA$1-1))</f>
        <v>0</v>
      </c>
      <c r="AB1953">
        <f t="shared" ca="1" si="371"/>
        <v>0</v>
      </c>
      <c r="AC1953" t="e">
        <f t="shared" ca="1" si="372"/>
        <v>#VALUE!</v>
      </c>
      <c r="AD1953" t="str">
        <f t="shared" ca="1" si="373"/>
        <v>0</v>
      </c>
      <c r="AE1953" t="str">
        <f t="shared" ca="1" si="374"/>
        <v/>
      </c>
      <c r="AF1953" s="6">
        <f t="shared" ca="1" si="375"/>
        <v>0</v>
      </c>
      <c r="AG1953">
        <f t="shared" ca="1" si="370"/>
        <v>0</v>
      </c>
      <c r="AH1953">
        <f t="shared" ca="1" si="376"/>
        <v>0</v>
      </c>
      <c r="AI1953">
        <f t="shared" ca="1" si="377"/>
        <v>0</v>
      </c>
      <c r="AJ1953">
        <f t="shared" ca="1" si="378"/>
        <v>0</v>
      </c>
      <c r="AK1953">
        <f t="shared" ca="1" si="379"/>
        <v>0</v>
      </c>
      <c r="AL1953">
        <f t="shared" ca="1" si="380"/>
        <v>0</v>
      </c>
    </row>
    <row r="1954" spans="1:38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#N/A, OFFSET(data!$A$1, ROW()-1, AA$1-1))</f>
        <v>0</v>
      </c>
      <c r="AB1954">
        <f t="shared" ca="1" si="371"/>
        <v>0</v>
      </c>
      <c r="AC1954" t="e">
        <f t="shared" ca="1" si="372"/>
        <v>#VALUE!</v>
      </c>
      <c r="AD1954" t="str">
        <f t="shared" ca="1" si="373"/>
        <v>0</v>
      </c>
      <c r="AE1954" t="str">
        <f t="shared" ca="1" si="374"/>
        <v/>
      </c>
      <c r="AF1954" s="6">
        <f t="shared" ca="1" si="375"/>
        <v>0</v>
      </c>
      <c r="AG1954">
        <f t="shared" ca="1" si="370"/>
        <v>0</v>
      </c>
      <c r="AH1954">
        <f t="shared" ca="1" si="376"/>
        <v>0</v>
      </c>
      <c r="AI1954">
        <f t="shared" ca="1" si="377"/>
        <v>0</v>
      </c>
      <c r="AJ1954">
        <f t="shared" ca="1" si="378"/>
        <v>0</v>
      </c>
      <c r="AK1954">
        <f t="shared" ca="1" si="379"/>
        <v>0</v>
      </c>
      <c r="AL1954">
        <f t="shared" ca="1" si="380"/>
        <v>0</v>
      </c>
    </row>
    <row r="1955" spans="1:38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#N/A, OFFSET(data!$A$1, ROW()-1, AA$1-1))</f>
        <v>0</v>
      </c>
      <c r="AB1955">
        <f t="shared" ca="1" si="371"/>
        <v>0</v>
      </c>
      <c r="AC1955" t="e">
        <f t="shared" ca="1" si="372"/>
        <v>#VALUE!</v>
      </c>
      <c r="AD1955" t="str">
        <f t="shared" ca="1" si="373"/>
        <v>0</v>
      </c>
      <c r="AE1955" t="str">
        <f t="shared" ca="1" si="374"/>
        <v/>
      </c>
      <c r="AF1955" s="6">
        <f t="shared" ca="1" si="375"/>
        <v>0</v>
      </c>
      <c r="AG1955">
        <f t="shared" ca="1" si="370"/>
        <v>0</v>
      </c>
      <c r="AH1955">
        <f t="shared" ca="1" si="376"/>
        <v>0</v>
      </c>
      <c r="AI1955">
        <f t="shared" ca="1" si="377"/>
        <v>0</v>
      </c>
      <c r="AJ1955">
        <f t="shared" ca="1" si="378"/>
        <v>0</v>
      </c>
      <c r="AK1955">
        <f t="shared" ca="1" si="379"/>
        <v>0</v>
      </c>
      <c r="AL1955">
        <f t="shared" ca="1" si="380"/>
        <v>0</v>
      </c>
    </row>
    <row r="1956" spans="1:38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#N/A, OFFSET(data!$A$1, ROW()-1, AA$1-1))</f>
        <v>0</v>
      </c>
      <c r="AB1956">
        <f t="shared" ca="1" si="371"/>
        <v>0</v>
      </c>
      <c r="AC1956" t="e">
        <f t="shared" ca="1" si="372"/>
        <v>#VALUE!</v>
      </c>
      <c r="AD1956" t="str">
        <f t="shared" ca="1" si="373"/>
        <v>0</v>
      </c>
      <c r="AE1956" t="str">
        <f t="shared" ca="1" si="374"/>
        <v/>
      </c>
      <c r="AF1956" s="6">
        <f t="shared" ca="1" si="375"/>
        <v>0</v>
      </c>
      <c r="AG1956">
        <f t="shared" ca="1" si="370"/>
        <v>0</v>
      </c>
      <c r="AH1956">
        <f t="shared" ca="1" si="376"/>
        <v>0</v>
      </c>
      <c r="AI1956">
        <f t="shared" ca="1" si="377"/>
        <v>0</v>
      </c>
      <c r="AJ1956">
        <f t="shared" ca="1" si="378"/>
        <v>0</v>
      </c>
      <c r="AK1956">
        <f t="shared" ca="1" si="379"/>
        <v>0</v>
      </c>
      <c r="AL1956">
        <f t="shared" ca="1" si="380"/>
        <v>0</v>
      </c>
    </row>
    <row r="1957" spans="1:38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#N/A, OFFSET(data!$A$1, ROW()-1, AA$1-1))</f>
        <v>0</v>
      </c>
      <c r="AB1957">
        <f t="shared" ca="1" si="371"/>
        <v>0</v>
      </c>
      <c r="AC1957" t="e">
        <f t="shared" ca="1" si="372"/>
        <v>#VALUE!</v>
      </c>
      <c r="AD1957" t="str">
        <f t="shared" ca="1" si="373"/>
        <v>0</v>
      </c>
      <c r="AE1957" t="str">
        <f t="shared" ca="1" si="374"/>
        <v/>
      </c>
      <c r="AF1957" s="6">
        <f t="shared" ca="1" si="375"/>
        <v>0</v>
      </c>
      <c r="AG1957">
        <f t="shared" ca="1" si="370"/>
        <v>0</v>
      </c>
      <c r="AH1957">
        <f t="shared" ca="1" si="376"/>
        <v>0</v>
      </c>
      <c r="AI1957">
        <f t="shared" ca="1" si="377"/>
        <v>0</v>
      </c>
      <c r="AJ1957">
        <f t="shared" ca="1" si="378"/>
        <v>0</v>
      </c>
      <c r="AK1957">
        <f t="shared" ca="1" si="379"/>
        <v>0</v>
      </c>
      <c r="AL1957">
        <f t="shared" ca="1" si="380"/>
        <v>0</v>
      </c>
    </row>
    <row r="1958" spans="1:38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#N/A, OFFSET(data!$A$1, ROW()-1, AA$1-1))</f>
        <v>0</v>
      </c>
      <c r="AB1958">
        <f t="shared" ca="1" si="371"/>
        <v>0</v>
      </c>
      <c r="AC1958" t="e">
        <f t="shared" ca="1" si="372"/>
        <v>#VALUE!</v>
      </c>
      <c r="AD1958" t="str">
        <f t="shared" ca="1" si="373"/>
        <v>0</v>
      </c>
      <c r="AE1958" t="str">
        <f t="shared" ca="1" si="374"/>
        <v/>
      </c>
      <c r="AF1958" s="6">
        <f t="shared" ca="1" si="375"/>
        <v>0</v>
      </c>
      <c r="AG1958">
        <f t="shared" ca="1" si="370"/>
        <v>0</v>
      </c>
      <c r="AH1958">
        <f t="shared" ca="1" si="376"/>
        <v>0</v>
      </c>
      <c r="AI1958">
        <f t="shared" ca="1" si="377"/>
        <v>0</v>
      </c>
      <c r="AJ1958">
        <f t="shared" ca="1" si="378"/>
        <v>0</v>
      </c>
      <c r="AK1958">
        <f t="shared" ca="1" si="379"/>
        <v>0</v>
      </c>
      <c r="AL1958">
        <f t="shared" ca="1" si="380"/>
        <v>0</v>
      </c>
    </row>
    <row r="1959" spans="1:38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#N/A, OFFSET(data!$A$1, ROW()-1, AA$1-1))</f>
        <v>0</v>
      </c>
      <c r="AB1959">
        <f t="shared" ca="1" si="371"/>
        <v>0</v>
      </c>
      <c r="AC1959" t="e">
        <f t="shared" ca="1" si="372"/>
        <v>#VALUE!</v>
      </c>
      <c r="AD1959" t="str">
        <f t="shared" ca="1" si="373"/>
        <v>0</v>
      </c>
      <c r="AE1959" t="str">
        <f t="shared" ca="1" si="374"/>
        <v/>
      </c>
      <c r="AF1959" s="6">
        <f t="shared" ca="1" si="375"/>
        <v>0</v>
      </c>
      <c r="AG1959">
        <f t="shared" ca="1" si="370"/>
        <v>0</v>
      </c>
      <c r="AH1959">
        <f t="shared" ca="1" si="376"/>
        <v>0</v>
      </c>
      <c r="AI1959">
        <f t="shared" ca="1" si="377"/>
        <v>0</v>
      </c>
      <c r="AJ1959">
        <f t="shared" ca="1" si="378"/>
        <v>0</v>
      </c>
      <c r="AK1959">
        <f t="shared" ca="1" si="379"/>
        <v>0</v>
      </c>
      <c r="AL1959">
        <f t="shared" ca="1" si="380"/>
        <v>0</v>
      </c>
    </row>
    <row r="1960" spans="1:38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#N/A, OFFSET(data!$A$1, ROW()-1, AA$1-1))</f>
        <v>0</v>
      </c>
      <c r="AB1960">
        <f t="shared" ca="1" si="371"/>
        <v>0</v>
      </c>
      <c r="AC1960" t="e">
        <f t="shared" ca="1" si="372"/>
        <v>#VALUE!</v>
      </c>
      <c r="AD1960" t="str">
        <f t="shared" ca="1" si="373"/>
        <v>0</v>
      </c>
      <c r="AE1960" t="str">
        <f t="shared" ca="1" si="374"/>
        <v/>
      </c>
      <c r="AF1960" s="6">
        <f t="shared" ca="1" si="375"/>
        <v>0</v>
      </c>
      <c r="AG1960">
        <f t="shared" ca="1" si="370"/>
        <v>0</v>
      </c>
      <c r="AH1960">
        <f t="shared" ca="1" si="376"/>
        <v>0</v>
      </c>
      <c r="AI1960">
        <f t="shared" ca="1" si="377"/>
        <v>0</v>
      </c>
      <c r="AJ1960">
        <f t="shared" ca="1" si="378"/>
        <v>0</v>
      </c>
      <c r="AK1960">
        <f t="shared" ca="1" si="379"/>
        <v>0</v>
      </c>
      <c r="AL1960">
        <f t="shared" ca="1" si="380"/>
        <v>0</v>
      </c>
    </row>
    <row r="1961" spans="1:38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#N/A, OFFSET(data!$A$1, ROW()-1, AA$1-1))</f>
        <v>0</v>
      </c>
      <c r="AB1961">
        <f t="shared" ca="1" si="371"/>
        <v>0</v>
      </c>
      <c r="AC1961" t="e">
        <f t="shared" ca="1" si="372"/>
        <v>#VALUE!</v>
      </c>
      <c r="AD1961" t="str">
        <f t="shared" ca="1" si="373"/>
        <v>0</v>
      </c>
      <c r="AE1961" t="str">
        <f t="shared" ca="1" si="374"/>
        <v/>
      </c>
      <c r="AF1961" s="6">
        <f t="shared" ca="1" si="375"/>
        <v>0</v>
      </c>
      <c r="AG1961">
        <f t="shared" ca="1" si="370"/>
        <v>0</v>
      </c>
      <c r="AH1961">
        <f t="shared" ca="1" si="376"/>
        <v>0</v>
      </c>
      <c r="AI1961">
        <f t="shared" ca="1" si="377"/>
        <v>0</v>
      </c>
      <c r="AJ1961">
        <f t="shared" ca="1" si="378"/>
        <v>0</v>
      </c>
      <c r="AK1961">
        <f t="shared" ca="1" si="379"/>
        <v>0</v>
      </c>
      <c r="AL1961">
        <f t="shared" ca="1" si="380"/>
        <v>0</v>
      </c>
    </row>
    <row r="1962" spans="1:38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#N/A, OFFSET(data!$A$1, ROW()-1, AA$1-1))</f>
        <v>0</v>
      </c>
      <c r="AB1962">
        <f t="shared" ca="1" si="371"/>
        <v>0</v>
      </c>
      <c r="AC1962" t="e">
        <f t="shared" ca="1" si="372"/>
        <v>#VALUE!</v>
      </c>
      <c r="AD1962" t="str">
        <f t="shared" ca="1" si="373"/>
        <v>0</v>
      </c>
      <c r="AE1962" t="str">
        <f t="shared" ca="1" si="374"/>
        <v/>
      </c>
      <c r="AF1962" s="6">
        <f t="shared" ca="1" si="375"/>
        <v>0</v>
      </c>
      <c r="AG1962">
        <f t="shared" ca="1" si="370"/>
        <v>0</v>
      </c>
      <c r="AH1962">
        <f t="shared" ca="1" si="376"/>
        <v>0</v>
      </c>
      <c r="AI1962">
        <f t="shared" ca="1" si="377"/>
        <v>0</v>
      </c>
      <c r="AJ1962">
        <f t="shared" ca="1" si="378"/>
        <v>0</v>
      </c>
      <c r="AK1962">
        <f t="shared" ca="1" si="379"/>
        <v>0</v>
      </c>
      <c r="AL1962">
        <f t="shared" ca="1" si="380"/>
        <v>0</v>
      </c>
    </row>
    <row r="1963" spans="1:38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#N/A, OFFSET(data!$A$1, ROW()-1, AA$1-1))</f>
        <v>0</v>
      </c>
      <c r="AB1963">
        <f t="shared" ca="1" si="371"/>
        <v>0</v>
      </c>
      <c r="AC1963" t="e">
        <f t="shared" ca="1" si="372"/>
        <v>#VALUE!</v>
      </c>
      <c r="AD1963" t="str">
        <f t="shared" ca="1" si="373"/>
        <v>0</v>
      </c>
      <c r="AE1963" t="str">
        <f t="shared" ca="1" si="374"/>
        <v/>
      </c>
      <c r="AF1963" s="6">
        <f t="shared" ca="1" si="375"/>
        <v>0</v>
      </c>
      <c r="AG1963">
        <f t="shared" ca="1" si="370"/>
        <v>0</v>
      </c>
      <c r="AH1963">
        <f t="shared" ca="1" si="376"/>
        <v>0</v>
      </c>
      <c r="AI1963">
        <f t="shared" ca="1" si="377"/>
        <v>0</v>
      </c>
      <c r="AJ1963">
        <f t="shared" ca="1" si="378"/>
        <v>0</v>
      </c>
      <c r="AK1963">
        <f t="shared" ca="1" si="379"/>
        <v>0</v>
      </c>
      <c r="AL1963">
        <f t="shared" ca="1" si="380"/>
        <v>0</v>
      </c>
    </row>
    <row r="1964" spans="1:38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#N/A, OFFSET(data!$A$1, ROW()-1, AA$1-1))</f>
        <v>0</v>
      </c>
      <c r="AB1964">
        <f t="shared" ca="1" si="371"/>
        <v>0</v>
      </c>
      <c r="AC1964" t="e">
        <f t="shared" ca="1" si="372"/>
        <v>#VALUE!</v>
      </c>
      <c r="AD1964" t="str">
        <f t="shared" ca="1" si="373"/>
        <v>0</v>
      </c>
      <c r="AE1964" t="str">
        <f t="shared" ca="1" si="374"/>
        <v/>
      </c>
      <c r="AF1964" s="6">
        <f t="shared" ca="1" si="375"/>
        <v>0</v>
      </c>
      <c r="AG1964">
        <f t="shared" ca="1" si="370"/>
        <v>0</v>
      </c>
      <c r="AH1964">
        <f t="shared" ca="1" si="376"/>
        <v>0</v>
      </c>
      <c r="AI1964">
        <f t="shared" ca="1" si="377"/>
        <v>0</v>
      </c>
      <c r="AJ1964">
        <f t="shared" ca="1" si="378"/>
        <v>0</v>
      </c>
      <c r="AK1964">
        <f t="shared" ca="1" si="379"/>
        <v>0</v>
      </c>
      <c r="AL1964">
        <f t="shared" ca="1" si="380"/>
        <v>0</v>
      </c>
    </row>
    <row r="1965" spans="1:38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#N/A, OFFSET(data!$A$1, ROW()-1, AA$1-1))</f>
        <v>0</v>
      </c>
      <c r="AB1965">
        <f t="shared" ca="1" si="371"/>
        <v>0</v>
      </c>
      <c r="AC1965" t="e">
        <f t="shared" ca="1" si="372"/>
        <v>#VALUE!</v>
      </c>
      <c r="AD1965" t="str">
        <f t="shared" ca="1" si="373"/>
        <v>0</v>
      </c>
      <c r="AE1965" t="str">
        <f t="shared" ca="1" si="374"/>
        <v/>
      </c>
      <c r="AF1965" s="6">
        <f t="shared" ca="1" si="375"/>
        <v>0</v>
      </c>
      <c r="AG1965">
        <f t="shared" ca="1" si="370"/>
        <v>0</v>
      </c>
      <c r="AH1965">
        <f t="shared" ca="1" si="376"/>
        <v>0</v>
      </c>
      <c r="AI1965">
        <f t="shared" ca="1" si="377"/>
        <v>0</v>
      </c>
      <c r="AJ1965">
        <f t="shared" ca="1" si="378"/>
        <v>0</v>
      </c>
      <c r="AK1965">
        <f t="shared" ca="1" si="379"/>
        <v>0</v>
      </c>
      <c r="AL1965">
        <f t="shared" ca="1" si="380"/>
        <v>0</v>
      </c>
    </row>
    <row r="1966" spans="1:38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#N/A, OFFSET(data!$A$1, ROW()-1, AA$1-1))</f>
        <v>0</v>
      </c>
      <c r="AB1966">
        <f t="shared" ca="1" si="371"/>
        <v>0</v>
      </c>
      <c r="AC1966" t="e">
        <f t="shared" ca="1" si="372"/>
        <v>#VALUE!</v>
      </c>
      <c r="AD1966" t="str">
        <f t="shared" ca="1" si="373"/>
        <v>0</v>
      </c>
      <c r="AE1966" t="str">
        <f t="shared" ca="1" si="374"/>
        <v/>
      </c>
      <c r="AF1966" s="6">
        <f t="shared" ca="1" si="375"/>
        <v>0</v>
      </c>
      <c r="AG1966">
        <f t="shared" ca="1" si="370"/>
        <v>0</v>
      </c>
      <c r="AH1966">
        <f t="shared" ca="1" si="376"/>
        <v>0</v>
      </c>
      <c r="AI1966">
        <f t="shared" ca="1" si="377"/>
        <v>0</v>
      </c>
      <c r="AJ1966">
        <f t="shared" ca="1" si="378"/>
        <v>0</v>
      </c>
      <c r="AK1966">
        <f t="shared" ca="1" si="379"/>
        <v>0</v>
      </c>
      <c r="AL1966">
        <f t="shared" ca="1" si="380"/>
        <v>0</v>
      </c>
    </row>
    <row r="1967" spans="1:38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#N/A, OFFSET(data!$A$1, ROW()-1, AA$1-1))</f>
        <v>0</v>
      </c>
      <c r="AB1967">
        <f t="shared" ca="1" si="371"/>
        <v>0</v>
      </c>
      <c r="AC1967" t="e">
        <f t="shared" ca="1" si="372"/>
        <v>#VALUE!</v>
      </c>
      <c r="AD1967" t="str">
        <f t="shared" ca="1" si="373"/>
        <v>0</v>
      </c>
      <c r="AE1967" t="str">
        <f t="shared" ca="1" si="374"/>
        <v/>
      </c>
      <c r="AF1967" s="6">
        <f t="shared" ca="1" si="375"/>
        <v>0</v>
      </c>
      <c r="AG1967">
        <f t="shared" ca="1" si="370"/>
        <v>0</v>
      </c>
      <c r="AH1967">
        <f t="shared" ca="1" si="376"/>
        <v>0</v>
      </c>
      <c r="AI1967">
        <f t="shared" ca="1" si="377"/>
        <v>0</v>
      </c>
      <c r="AJ1967">
        <f t="shared" ca="1" si="378"/>
        <v>0</v>
      </c>
      <c r="AK1967">
        <f t="shared" ca="1" si="379"/>
        <v>0</v>
      </c>
      <c r="AL1967">
        <f t="shared" ca="1" si="380"/>
        <v>0</v>
      </c>
    </row>
    <row r="1968" spans="1:38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#N/A, OFFSET(data!$A$1, ROW()-1, AA$1-1))</f>
        <v>0</v>
      </c>
      <c r="AB1968">
        <f t="shared" ca="1" si="371"/>
        <v>0</v>
      </c>
      <c r="AC1968" t="e">
        <f t="shared" ca="1" si="372"/>
        <v>#VALUE!</v>
      </c>
      <c r="AD1968" t="str">
        <f t="shared" ca="1" si="373"/>
        <v>0</v>
      </c>
      <c r="AE1968" t="str">
        <f t="shared" ca="1" si="374"/>
        <v/>
      </c>
      <c r="AF1968" s="6">
        <f t="shared" ca="1" si="375"/>
        <v>0</v>
      </c>
      <c r="AG1968">
        <f t="shared" ca="1" si="370"/>
        <v>0</v>
      </c>
      <c r="AH1968">
        <f t="shared" ca="1" si="376"/>
        <v>0</v>
      </c>
      <c r="AI1968">
        <f t="shared" ca="1" si="377"/>
        <v>0</v>
      </c>
      <c r="AJ1968">
        <f t="shared" ca="1" si="378"/>
        <v>0</v>
      </c>
      <c r="AK1968">
        <f t="shared" ca="1" si="379"/>
        <v>0</v>
      </c>
      <c r="AL1968">
        <f t="shared" ca="1" si="380"/>
        <v>0</v>
      </c>
    </row>
    <row r="1969" spans="1:38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#N/A, OFFSET(data!$A$1, ROW()-1, AA$1-1))</f>
        <v>0</v>
      </c>
      <c r="AB1969">
        <f t="shared" ca="1" si="371"/>
        <v>0</v>
      </c>
      <c r="AC1969" t="e">
        <f t="shared" ca="1" si="372"/>
        <v>#VALUE!</v>
      </c>
      <c r="AD1969" t="str">
        <f t="shared" ca="1" si="373"/>
        <v>0</v>
      </c>
      <c r="AE1969" t="str">
        <f t="shared" ca="1" si="374"/>
        <v/>
      </c>
      <c r="AF1969" s="6">
        <f t="shared" ca="1" si="375"/>
        <v>0</v>
      </c>
      <c r="AG1969">
        <f t="shared" ca="1" si="370"/>
        <v>0</v>
      </c>
      <c r="AH1969">
        <f t="shared" ca="1" si="376"/>
        <v>0</v>
      </c>
      <c r="AI1969">
        <f t="shared" ca="1" si="377"/>
        <v>0</v>
      </c>
      <c r="AJ1969">
        <f t="shared" ca="1" si="378"/>
        <v>0</v>
      </c>
      <c r="AK1969">
        <f t="shared" ca="1" si="379"/>
        <v>0</v>
      </c>
      <c r="AL1969">
        <f t="shared" ca="1" si="380"/>
        <v>0</v>
      </c>
    </row>
    <row r="1970" spans="1:38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#N/A, OFFSET(data!$A$1, ROW()-1, AA$1-1))</f>
        <v>0</v>
      </c>
      <c r="AB1970">
        <f t="shared" ca="1" si="371"/>
        <v>0</v>
      </c>
      <c r="AC1970" t="e">
        <f t="shared" ca="1" si="372"/>
        <v>#VALUE!</v>
      </c>
      <c r="AD1970" t="str">
        <f t="shared" ca="1" si="373"/>
        <v>0</v>
      </c>
      <c r="AE1970" t="str">
        <f t="shared" ca="1" si="374"/>
        <v/>
      </c>
      <c r="AF1970" s="6">
        <f t="shared" ca="1" si="375"/>
        <v>0</v>
      </c>
      <c r="AG1970">
        <f t="shared" ca="1" si="370"/>
        <v>0</v>
      </c>
      <c r="AH1970">
        <f t="shared" ca="1" si="376"/>
        <v>0</v>
      </c>
      <c r="AI1970">
        <f t="shared" ca="1" si="377"/>
        <v>0</v>
      </c>
      <c r="AJ1970">
        <f t="shared" ca="1" si="378"/>
        <v>0</v>
      </c>
      <c r="AK1970">
        <f t="shared" ca="1" si="379"/>
        <v>0</v>
      </c>
      <c r="AL1970">
        <f t="shared" ca="1" si="380"/>
        <v>0</v>
      </c>
    </row>
    <row r="1971" spans="1:38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#N/A, OFFSET(data!$A$1, ROW()-1, AA$1-1))</f>
        <v>0</v>
      </c>
      <c r="AB1971">
        <f t="shared" ca="1" si="371"/>
        <v>0</v>
      </c>
      <c r="AC1971" t="e">
        <f t="shared" ca="1" si="372"/>
        <v>#VALUE!</v>
      </c>
      <c r="AD1971" t="str">
        <f t="shared" ca="1" si="373"/>
        <v>0</v>
      </c>
      <c r="AE1971" t="str">
        <f t="shared" ca="1" si="374"/>
        <v/>
      </c>
      <c r="AF1971" s="6">
        <f t="shared" ca="1" si="375"/>
        <v>0</v>
      </c>
      <c r="AG1971">
        <f t="shared" ca="1" si="370"/>
        <v>0</v>
      </c>
      <c r="AH1971">
        <f t="shared" ca="1" si="376"/>
        <v>0</v>
      </c>
      <c r="AI1971">
        <f t="shared" ca="1" si="377"/>
        <v>0</v>
      </c>
      <c r="AJ1971">
        <f t="shared" ca="1" si="378"/>
        <v>0</v>
      </c>
      <c r="AK1971">
        <f t="shared" ca="1" si="379"/>
        <v>0</v>
      </c>
      <c r="AL1971">
        <f t="shared" ca="1" si="380"/>
        <v>0</v>
      </c>
    </row>
    <row r="1972" spans="1:38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#N/A, OFFSET(data!$A$1, ROW()-1, AA$1-1))</f>
        <v>0</v>
      </c>
      <c r="AB1972">
        <f t="shared" ca="1" si="371"/>
        <v>0</v>
      </c>
      <c r="AC1972" t="e">
        <f t="shared" ca="1" si="372"/>
        <v>#VALUE!</v>
      </c>
      <c r="AD1972" t="str">
        <f t="shared" ca="1" si="373"/>
        <v>0</v>
      </c>
      <c r="AE1972" t="str">
        <f t="shared" ca="1" si="374"/>
        <v/>
      </c>
      <c r="AF1972" s="6">
        <f t="shared" ca="1" si="375"/>
        <v>0</v>
      </c>
      <c r="AG1972">
        <f t="shared" ref="AG1972:AG2035" ca="1" si="381">T1972+W1972</f>
        <v>0</v>
      </c>
      <c r="AH1972">
        <f t="shared" ca="1" si="376"/>
        <v>0</v>
      </c>
      <c r="AI1972">
        <f t="shared" ca="1" si="377"/>
        <v>0</v>
      </c>
      <c r="AJ1972">
        <f t="shared" ca="1" si="378"/>
        <v>0</v>
      </c>
      <c r="AK1972">
        <f t="shared" ca="1" si="379"/>
        <v>0</v>
      </c>
      <c r="AL1972">
        <f t="shared" ca="1" si="380"/>
        <v>0</v>
      </c>
    </row>
    <row r="1973" spans="1:38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#N/A, OFFSET(data!$A$1, ROW()-1, AA$1-1))</f>
        <v>0</v>
      </c>
      <c r="AB1973">
        <f t="shared" ca="1" si="371"/>
        <v>0</v>
      </c>
      <c r="AC1973" t="e">
        <f t="shared" ca="1" si="372"/>
        <v>#VALUE!</v>
      </c>
      <c r="AD1973" t="str">
        <f t="shared" ca="1" si="373"/>
        <v>0</v>
      </c>
      <c r="AE1973" t="str">
        <f t="shared" ca="1" si="374"/>
        <v/>
      </c>
      <c r="AF1973" s="6">
        <f t="shared" ca="1" si="375"/>
        <v>0</v>
      </c>
      <c r="AG1973">
        <f t="shared" ca="1" si="381"/>
        <v>0</v>
      </c>
      <c r="AH1973">
        <f t="shared" ca="1" si="376"/>
        <v>0</v>
      </c>
      <c r="AI1973">
        <f t="shared" ca="1" si="377"/>
        <v>0</v>
      </c>
      <c r="AJ1973">
        <f t="shared" ca="1" si="378"/>
        <v>0</v>
      </c>
      <c r="AK1973">
        <f t="shared" ca="1" si="379"/>
        <v>0</v>
      </c>
      <c r="AL1973">
        <f t="shared" ca="1" si="380"/>
        <v>0</v>
      </c>
    </row>
    <row r="1974" spans="1:38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#N/A, OFFSET(data!$A$1, ROW()-1, AA$1-1))</f>
        <v>0</v>
      </c>
      <c r="AB1974">
        <f t="shared" ca="1" si="371"/>
        <v>0</v>
      </c>
      <c r="AC1974" t="e">
        <f t="shared" ca="1" si="372"/>
        <v>#VALUE!</v>
      </c>
      <c r="AD1974" t="str">
        <f t="shared" ca="1" si="373"/>
        <v>0</v>
      </c>
      <c r="AE1974" t="str">
        <f t="shared" ca="1" si="374"/>
        <v/>
      </c>
      <c r="AF1974" s="6">
        <f t="shared" ca="1" si="375"/>
        <v>0</v>
      </c>
      <c r="AG1974">
        <f t="shared" ca="1" si="381"/>
        <v>0</v>
      </c>
      <c r="AH1974">
        <f t="shared" ca="1" si="376"/>
        <v>0</v>
      </c>
      <c r="AI1974">
        <f t="shared" ca="1" si="377"/>
        <v>0</v>
      </c>
      <c r="AJ1974">
        <f t="shared" ca="1" si="378"/>
        <v>0</v>
      </c>
      <c r="AK1974">
        <f t="shared" ca="1" si="379"/>
        <v>0</v>
      </c>
      <c r="AL1974">
        <f t="shared" ca="1" si="380"/>
        <v>0</v>
      </c>
    </row>
    <row r="1975" spans="1:38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#N/A, OFFSET(data!$A$1, ROW()-1, AA$1-1))</f>
        <v>0</v>
      </c>
      <c r="AB1975">
        <f t="shared" ca="1" si="371"/>
        <v>0</v>
      </c>
      <c r="AC1975" t="e">
        <f t="shared" ca="1" si="372"/>
        <v>#VALUE!</v>
      </c>
      <c r="AD1975" t="str">
        <f t="shared" ca="1" si="373"/>
        <v>0</v>
      </c>
      <c r="AE1975" t="str">
        <f t="shared" ca="1" si="374"/>
        <v/>
      </c>
      <c r="AF1975" s="6">
        <f t="shared" ca="1" si="375"/>
        <v>0</v>
      </c>
      <c r="AG1975">
        <f t="shared" ca="1" si="381"/>
        <v>0</v>
      </c>
      <c r="AH1975">
        <f t="shared" ca="1" si="376"/>
        <v>0</v>
      </c>
      <c r="AI1975">
        <f t="shared" ca="1" si="377"/>
        <v>0</v>
      </c>
      <c r="AJ1975">
        <f t="shared" ca="1" si="378"/>
        <v>0</v>
      </c>
      <c r="AK1975">
        <f t="shared" ca="1" si="379"/>
        <v>0</v>
      </c>
      <c r="AL1975">
        <f t="shared" ca="1" si="380"/>
        <v>0</v>
      </c>
    </row>
    <row r="1976" spans="1:38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#N/A, OFFSET(data!$A$1, ROW()-1, AA$1-1))</f>
        <v>0</v>
      </c>
      <c r="AB1976">
        <f t="shared" ca="1" si="371"/>
        <v>0</v>
      </c>
      <c r="AC1976" t="e">
        <f t="shared" ca="1" si="372"/>
        <v>#VALUE!</v>
      </c>
      <c r="AD1976" t="str">
        <f t="shared" ca="1" si="373"/>
        <v>0</v>
      </c>
      <c r="AE1976" t="str">
        <f t="shared" ca="1" si="374"/>
        <v/>
      </c>
      <c r="AF1976" s="6">
        <f t="shared" ca="1" si="375"/>
        <v>0</v>
      </c>
      <c r="AG1976">
        <f t="shared" ca="1" si="381"/>
        <v>0</v>
      </c>
      <c r="AH1976">
        <f t="shared" ca="1" si="376"/>
        <v>0</v>
      </c>
      <c r="AI1976">
        <f t="shared" ca="1" si="377"/>
        <v>0</v>
      </c>
      <c r="AJ1976">
        <f t="shared" ca="1" si="378"/>
        <v>0</v>
      </c>
      <c r="AK1976">
        <f t="shared" ca="1" si="379"/>
        <v>0</v>
      </c>
      <c r="AL1976">
        <f t="shared" ca="1" si="380"/>
        <v>0</v>
      </c>
    </row>
    <row r="1977" spans="1:38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#N/A, OFFSET(data!$A$1, ROW()-1, AA$1-1))</f>
        <v>0</v>
      </c>
      <c r="AB1977">
        <f t="shared" ca="1" si="371"/>
        <v>0</v>
      </c>
      <c r="AC1977" t="e">
        <f t="shared" ca="1" si="372"/>
        <v>#VALUE!</v>
      </c>
      <c r="AD1977" t="str">
        <f t="shared" ca="1" si="373"/>
        <v>0</v>
      </c>
      <c r="AE1977" t="str">
        <f t="shared" ca="1" si="374"/>
        <v/>
      </c>
      <c r="AF1977" s="6">
        <f t="shared" ca="1" si="375"/>
        <v>0</v>
      </c>
      <c r="AG1977">
        <f t="shared" ca="1" si="381"/>
        <v>0</v>
      </c>
      <c r="AH1977">
        <f t="shared" ca="1" si="376"/>
        <v>0</v>
      </c>
      <c r="AI1977">
        <f t="shared" ca="1" si="377"/>
        <v>0</v>
      </c>
      <c r="AJ1977">
        <f t="shared" ca="1" si="378"/>
        <v>0</v>
      </c>
      <c r="AK1977">
        <f t="shared" ca="1" si="379"/>
        <v>0</v>
      </c>
      <c r="AL1977">
        <f t="shared" ca="1" si="380"/>
        <v>0</v>
      </c>
    </row>
    <row r="1978" spans="1:38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#N/A, OFFSET(data!$A$1, ROW()-1, AA$1-1))</f>
        <v>0</v>
      </c>
      <c r="AB1978">
        <f t="shared" ca="1" si="371"/>
        <v>0</v>
      </c>
      <c r="AC1978" t="e">
        <f t="shared" ca="1" si="372"/>
        <v>#VALUE!</v>
      </c>
      <c r="AD1978" t="str">
        <f t="shared" ca="1" si="373"/>
        <v>0</v>
      </c>
      <c r="AE1978" t="str">
        <f t="shared" ca="1" si="374"/>
        <v/>
      </c>
      <c r="AF1978" s="6">
        <f t="shared" ca="1" si="375"/>
        <v>0</v>
      </c>
      <c r="AG1978">
        <f t="shared" ca="1" si="381"/>
        <v>0</v>
      </c>
      <c r="AH1978">
        <f t="shared" ca="1" si="376"/>
        <v>0</v>
      </c>
      <c r="AI1978">
        <f t="shared" ca="1" si="377"/>
        <v>0</v>
      </c>
      <c r="AJ1978">
        <f t="shared" ca="1" si="378"/>
        <v>0</v>
      </c>
      <c r="AK1978">
        <f t="shared" ca="1" si="379"/>
        <v>0</v>
      </c>
      <c r="AL1978">
        <f t="shared" ca="1" si="380"/>
        <v>0</v>
      </c>
    </row>
    <row r="1979" spans="1:38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#N/A, OFFSET(data!$A$1, ROW()-1, AA$1-1))</f>
        <v>0</v>
      </c>
      <c r="AB1979">
        <f t="shared" ca="1" si="371"/>
        <v>0</v>
      </c>
      <c r="AC1979" t="e">
        <f t="shared" ca="1" si="372"/>
        <v>#VALUE!</v>
      </c>
      <c r="AD1979" t="str">
        <f t="shared" ca="1" si="373"/>
        <v>0</v>
      </c>
      <c r="AE1979" t="str">
        <f t="shared" ca="1" si="374"/>
        <v/>
      </c>
      <c r="AF1979" s="6">
        <f t="shared" ca="1" si="375"/>
        <v>0</v>
      </c>
      <c r="AG1979">
        <f t="shared" ca="1" si="381"/>
        <v>0</v>
      </c>
      <c r="AH1979">
        <f t="shared" ca="1" si="376"/>
        <v>0</v>
      </c>
      <c r="AI1979">
        <f t="shared" ca="1" si="377"/>
        <v>0</v>
      </c>
      <c r="AJ1979">
        <f t="shared" ca="1" si="378"/>
        <v>0</v>
      </c>
      <c r="AK1979">
        <f t="shared" ca="1" si="379"/>
        <v>0</v>
      </c>
      <c r="AL1979">
        <f t="shared" ca="1" si="380"/>
        <v>0</v>
      </c>
    </row>
    <row r="1980" spans="1:38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#N/A, OFFSET(data!$A$1, ROW()-1, AA$1-1))</f>
        <v>0</v>
      </c>
      <c r="AB1980">
        <f t="shared" ca="1" si="371"/>
        <v>0</v>
      </c>
      <c r="AC1980" t="e">
        <f t="shared" ca="1" si="372"/>
        <v>#VALUE!</v>
      </c>
      <c r="AD1980" t="str">
        <f t="shared" ca="1" si="373"/>
        <v>0</v>
      </c>
      <c r="AE1980" t="str">
        <f t="shared" ca="1" si="374"/>
        <v/>
      </c>
      <c r="AF1980" s="6">
        <f t="shared" ca="1" si="375"/>
        <v>0</v>
      </c>
      <c r="AG1980">
        <f t="shared" ca="1" si="381"/>
        <v>0</v>
      </c>
      <c r="AH1980">
        <f t="shared" ca="1" si="376"/>
        <v>0</v>
      </c>
      <c r="AI1980">
        <f t="shared" ca="1" si="377"/>
        <v>0</v>
      </c>
      <c r="AJ1980">
        <f t="shared" ca="1" si="378"/>
        <v>0</v>
      </c>
      <c r="AK1980">
        <f t="shared" ca="1" si="379"/>
        <v>0</v>
      </c>
      <c r="AL1980">
        <f t="shared" ca="1" si="380"/>
        <v>0</v>
      </c>
    </row>
    <row r="1981" spans="1:38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#N/A, OFFSET(data!$A$1, ROW()-1, AA$1-1))</f>
        <v>0</v>
      </c>
      <c r="AB1981">
        <f t="shared" ca="1" si="371"/>
        <v>0</v>
      </c>
      <c r="AC1981" t="e">
        <f t="shared" ca="1" si="372"/>
        <v>#VALUE!</v>
      </c>
      <c r="AD1981" t="str">
        <f t="shared" ca="1" si="373"/>
        <v>0</v>
      </c>
      <c r="AE1981" t="str">
        <f t="shared" ca="1" si="374"/>
        <v/>
      </c>
      <c r="AF1981" s="6">
        <f t="shared" ca="1" si="375"/>
        <v>0</v>
      </c>
      <c r="AG1981">
        <f t="shared" ca="1" si="381"/>
        <v>0</v>
      </c>
      <c r="AH1981">
        <f t="shared" ca="1" si="376"/>
        <v>0</v>
      </c>
      <c r="AI1981">
        <f t="shared" ca="1" si="377"/>
        <v>0</v>
      </c>
      <c r="AJ1981">
        <f t="shared" ca="1" si="378"/>
        <v>0</v>
      </c>
      <c r="AK1981">
        <f t="shared" ca="1" si="379"/>
        <v>0</v>
      </c>
      <c r="AL1981">
        <f t="shared" ca="1" si="380"/>
        <v>0</v>
      </c>
    </row>
    <row r="1982" spans="1:38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#N/A, OFFSET(data!$A$1, ROW()-1, AA$1-1))</f>
        <v>0</v>
      </c>
      <c r="AB1982">
        <f t="shared" ca="1" si="371"/>
        <v>0</v>
      </c>
      <c r="AC1982" t="e">
        <f t="shared" ca="1" si="372"/>
        <v>#VALUE!</v>
      </c>
      <c r="AD1982" t="str">
        <f t="shared" ca="1" si="373"/>
        <v>0</v>
      </c>
      <c r="AE1982" t="str">
        <f t="shared" ca="1" si="374"/>
        <v/>
      </c>
      <c r="AF1982" s="6">
        <f t="shared" ca="1" si="375"/>
        <v>0</v>
      </c>
      <c r="AG1982">
        <f t="shared" ca="1" si="381"/>
        <v>0</v>
      </c>
      <c r="AH1982">
        <f t="shared" ca="1" si="376"/>
        <v>0</v>
      </c>
      <c r="AI1982">
        <f t="shared" ca="1" si="377"/>
        <v>0</v>
      </c>
      <c r="AJ1982">
        <f t="shared" ca="1" si="378"/>
        <v>0</v>
      </c>
      <c r="AK1982">
        <f t="shared" ca="1" si="379"/>
        <v>0</v>
      </c>
      <c r="AL1982">
        <f t="shared" ca="1" si="380"/>
        <v>0</v>
      </c>
    </row>
    <row r="1983" spans="1:38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#N/A, OFFSET(data!$A$1, ROW()-1, AA$1-1))</f>
        <v>0</v>
      </c>
      <c r="AB1983">
        <f t="shared" ca="1" si="371"/>
        <v>0</v>
      </c>
      <c r="AC1983" t="e">
        <f t="shared" ca="1" si="372"/>
        <v>#VALUE!</v>
      </c>
      <c r="AD1983" t="str">
        <f t="shared" ca="1" si="373"/>
        <v>0</v>
      </c>
      <c r="AE1983" t="str">
        <f t="shared" ca="1" si="374"/>
        <v/>
      </c>
      <c r="AF1983" s="6">
        <f t="shared" ca="1" si="375"/>
        <v>0</v>
      </c>
      <c r="AG1983">
        <f t="shared" ca="1" si="381"/>
        <v>0</v>
      </c>
      <c r="AH1983">
        <f t="shared" ca="1" si="376"/>
        <v>0</v>
      </c>
      <c r="AI1983">
        <f t="shared" ca="1" si="377"/>
        <v>0</v>
      </c>
      <c r="AJ1983">
        <f t="shared" ca="1" si="378"/>
        <v>0</v>
      </c>
      <c r="AK1983">
        <f t="shared" ca="1" si="379"/>
        <v>0</v>
      </c>
      <c r="AL1983">
        <f t="shared" ca="1" si="380"/>
        <v>0</v>
      </c>
    </row>
    <row r="1984" spans="1:38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#N/A, OFFSET(data!$A$1, ROW()-1, AA$1-1))</f>
        <v>0</v>
      </c>
      <c r="AB1984">
        <f t="shared" ca="1" si="371"/>
        <v>0</v>
      </c>
      <c r="AC1984" t="e">
        <f t="shared" ca="1" si="372"/>
        <v>#VALUE!</v>
      </c>
      <c r="AD1984" t="str">
        <f t="shared" ca="1" si="373"/>
        <v>0</v>
      </c>
      <c r="AE1984" t="str">
        <f t="shared" ca="1" si="374"/>
        <v/>
      </c>
      <c r="AF1984" s="6">
        <f t="shared" ca="1" si="375"/>
        <v>0</v>
      </c>
      <c r="AG1984">
        <f t="shared" ca="1" si="381"/>
        <v>0</v>
      </c>
      <c r="AH1984">
        <f t="shared" ca="1" si="376"/>
        <v>0</v>
      </c>
      <c r="AI1984">
        <f t="shared" ca="1" si="377"/>
        <v>0</v>
      </c>
      <c r="AJ1984">
        <f t="shared" ca="1" si="378"/>
        <v>0</v>
      </c>
      <c r="AK1984">
        <f t="shared" ca="1" si="379"/>
        <v>0</v>
      </c>
      <c r="AL1984">
        <f t="shared" ca="1" si="380"/>
        <v>0</v>
      </c>
    </row>
    <row r="1985" spans="1:38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#N/A, OFFSET(data!$A$1, ROW()-1, AA$1-1))</f>
        <v>0</v>
      </c>
      <c r="AB1985">
        <f t="shared" ca="1" si="371"/>
        <v>0</v>
      </c>
      <c r="AC1985" t="e">
        <f t="shared" ca="1" si="372"/>
        <v>#VALUE!</v>
      </c>
      <c r="AD1985" t="str">
        <f t="shared" ca="1" si="373"/>
        <v>0</v>
      </c>
      <c r="AE1985" t="str">
        <f t="shared" ca="1" si="374"/>
        <v/>
      </c>
      <c r="AF1985" s="6">
        <f t="shared" ca="1" si="375"/>
        <v>0</v>
      </c>
      <c r="AG1985">
        <f t="shared" ca="1" si="381"/>
        <v>0</v>
      </c>
      <c r="AH1985">
        <f t="shared" ca="1" si="376"/>
        <v>0</v>
      </c>
      <c r="AI1985">
        <f t="shared" ca="1" si="377"/>
        <v>0</v>
      </c>
      <c r="AJ1985">
        <f t="shared" ca="1" si="378"/>
        <v>0</v>
      </c>
      <c r="AK1985">
        <f t="shared" ca="1" si="379"/>
        <v>0</v>
      </c>
      <c r="AL1985">
        <f t="shared" ca="1" si="380"/>
        <v>0</v>
      </c>
    </row>
    <row r="1986" spans="1:38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#N/A, OFFSET(data!$A$1, ROW()-1, AA$1-1))</f>
        <v>0</v>
      </c>
      <c r="AB1986">
        <f t="shared" ca="1" si="371"/>
        <v>0</v>
      </c>
      <c r="AC1986" t="e">
        <f t="shared" ca="1" si="372"/>
        <v>#VALUE!</v>
      </c>
      <c r="AD1986" t="str">
        <f t="shared" ca="1" si="373"/>
        <v>0</v>
      </c>
      <c r="AE1986" t="str">
        <f t="shared" ca="1" si="374"/>
        <v/>
      </c>
      <c r="AF1986" s="6">
        <f t="shared" ca="1" si="375"/>
        <v>0</v>
      </c>
      <c r="AG1986">
        <f t="shared" ca="1" si="381"/>
        <v>0</v>
      </c>
      <c r="AH1986">
        <f t="shared" ca="1" si="376"/>
        <v>0</v>
      </c>
      <c r="AI1986">
        <f t="shared" ca="1" si="377"/>
        <v>0</v>
      </c>
      <c r="AJ1986">
        <f t="shared" ca="1" si="378"/>
        <v>0</v>
      </c>
      <c r="AK1986">
        <f t="shared" ca="1" si="379"/>
        <v>0</v>
      </c>
      <c r="AL1986">
        <f t="shared" ca="1" si="380"/>
        <v>0</v>
      </c>
    </row>
    <row r="1987" spans="1:38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#N/A, OFFSET(data!$A$1, ROW()-1, AA$1-1))</f>
        <v>0</v>
      </c>
      <c r="AB1987">
        <f t="shared" ref="AB1987:AB2050" ca="1" si="382">VALUE(LEFT(C1987, 4))</f>
        <v>0</v>
      </c>
      <c r="AC1987" t="e">
        <f t="shared" ref="AC1987:AC2050" ca="1" si="383">VALUE(MID(C1987, 6, 2))</f>
        <v>#VALUE!</v>
      </c>
      <c r="AD1987" t="str">
        <f t="shared" ref="AD1987:AD2050" ca="1" si="384">SUBSTITUTE(MID(C1987,6,6)&amp;LEFT(C1987,4), "-", "/")</f>
        <v>0</v>
      </c>
      <c r="AE1987" t="str">
        <f t="shared" ref="AE1987:AE2050" ca="1" si="385">IF(RIGHT(C1987, 5)="12:00", AD1987, "")</f>
        <v/>
      </c>
      <c r="AF1987" s="6">
        <f t="shared" ref="AF1987:AF2050" ca="1" si="386">Z1987/1000</f>
        <v>0</v>
      </c>
      <c r="AG1987">
        <f t="shared" ca="1" si="381"/>
        <v>0</v>
      </c>
      <c r="AH1987">
        <f t="shared" ca="1" si="376"/>
        <v>0</v>
      </c>
      <c r="AI1987">
        <f t="shared" ca="1" si="377"/>
        <v>0</v>
      </c>
      <c r="AJ1987">
        <f t="shared" ca="1" si="378"/>
        <v>0</v>
      </c>
      <c r="AK1987">
        <f t="shared" ca="1" si="379"/>
        <v>0</v>
      </c>
      <c r="AL1987">
        <f t="shared" ca="1" si="380"/>
        <v>0</v>
      </c>
    </row>
    <row r="1988" spans="1:38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#N/A, OFFSET(data!$A$1, ROW()-1, AA$1-1))</f>
        <v>0</v>
      </c>
      <c r="AB1988">
        <f t="shared" ca="1" si="382"/>
        <v>0</v>
      </c>
      <c r="AC1988" t="e">
        <f t="shared" ca="1" si="383"/>
        <v>#VALUE!</v>
      </c>
      <c r="AD1988" t="str">
        <f t="shared" ca="1" si="384"/>
        <v>0</v>
      </c>
      <c r="AE1988" t="str">
        <f t="shared" ca="1" si="385"/>
        <v/>
      </c>
      <c r="AF1988" s="6">
        <f t="shared" ca="1" si="386"/>
        <v>0</v>
      </c>
      <c r="AG1988">
        <f t="shared" ca="1" si="381"/>
        <v>0</v>
      </c>
      <c r="AH1988">
        <f t="shared" ref="AH1988:AH2051" ca="1" si="387">MAX(S1988,Y1988)</f>
        <v>0</v>
      </c>
      <c r="AI1988">
        <f t="shared" ref="AI1988:AI2051" ca="1" si="388">MAX(R1988,V1988)</f>
        <v>0</v>
      </c>
      <c r="AJ1988">
        <f t="shared" ref="AJ1988:AJ2051" ca="1" si="389">K1988+N1988</f>
        <v>0</v>
      </c>
      <c r="AK1988">
        <f t="shared" ref="AK1988:AK2051" ca="1" si="390">L1988+O1988</f>
        <v>0</v>
      </c>
      <c r="AL1988">
        <f t="shared" ref="AL1988:AL2051" ca="1" si="391">M1988+P1988</f>
        <v>0</v>
      </c>
    </row>
    <row r="1989" spans="1:38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#N/A, OFFSET(data!$A$1, ROW()-1, AA$1-1))</f>
        <v>0</v>
      </c>
      <c r="AB1989">
        <f t="shared" ca="1" si="382"/>
        <v>0</v>
      </c>
      <c r="AC1989" t="e">
        <f t="shared" ca="1" si="383"/>
        <v>#VALUE!</v>
      </c>
      <c r="AD1989" t="str">
        <f t="shared" ca="1" si="384"/>
        <v>0</v>
      </c>
      <c r="AE1989" t="str">
        <f t="shared" ca="1" si="385"/>
        <v/>
      </c>
      <c r="AF1989" s="6">
        <f t="shared" ca="1" si="386"/>
        <v>0</v>
      </c>
      <c r="AG1989">
        <f t="shared" ca="1" si="381"/>
        <v>0</v>
      </c>
      <c r="AH1989">
        <f t="shared" ca="1" si="387"/>
        <v>0</v>
      </c>
      <c r="AI1989">
        <f t="shared" ca="1" si="388"/>
        <v>0</v>
      </c>
      <c r="AJ1989">
        <f t="shared" ca="1" si="389"/>
        <v>0</v>
      </c>
      <c r="AK1989">
        <f t="shared" ca="1" si="390"/>
        <v>0</v>
      </c>
      <c r="AL1989">
        <f t="shared" ca="1" si="391"/>
        <v>0</v>
      </c>
    </row>
    <row r="1990" spans="1:38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#N/A, OFFSET(data!$A$1, ROW()-1, AA$1-1))</f>
        <v>0</v>
      </c>
      <c r="AB1990">
        <f t="shared" ca="1" si="382"/>
        <v>0</v>
      </c>
      <c r="AC1990" t="e">
        <f t="shared" ca="1" si="383"/>
        <v>#VALUE!</v>
      </c>
      <c r="AD1990" t="str">
        <f t="shared" ca="1" si="384"/>
        <v>0</v>
      </c>
      <c r="AE1990" t="str">
        <f t="shared" ca="1" si="385"/>
        <v/>
      </c>
      <c r="AF1990" s="6">
        <f t="shared" ca="1" si="386"/>
        <v>0</v>
      </c>
      <c r="AG1990">
        <f t="shared" ca="1" si="381"/>
        <v>0</v>
      </c>
      <c r="AH1990">
        <f t="shared" ca="1" si="387"/>
        <v>0</v>
      </c>
      <c r="AI1990">
        <f t="shared" ca="1" si="388"/>
        <v>0</v>
      </c>
      <c r="AJ1990">
        <f t="shared" ca="1" si="389"/>
        <v>0</v>
      </c>
      <c r="AK1990">
        <f t="shared" ca="1" si="390"/>
        <v>0</v>
      </c>
      <c r="AL1990">
        <f t="shared" ca="1" si="391"/>
        <v>0</v>
      </c>
    </row>
    <row r="1991" spans="1:38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#N/A, OFFSET(data!$A$1, ROW()-1, AA$1-1))</f>
        <v>0</v>
      </c>
      <c r="AB1991">
        <f t="shared" ca="1" si="382"/>
        <v>0</v>
      </c>
      <c r="AC1991" t="e">
        <f t="shared" ca="1" si="383"/>
        <v>#VALUE!</v>
      </c>
      <c r="AD1991" t="str">
        <f t="shared" ca="1" si="384"/>
        <v>0</v>
      </c>
      <c r="AE1991" t="str">
        <f t="shared" ca="1" si="385"/>
        <v/>
      </c>
      <c r="AF1991" s="6">
        <f t="shared" ca="1" si="386"/>
        <v>0</v>
      </c>
      <c r="AG1991">
        <f t="shared" ca="1" si="381"/>
        <v>0</v>
      </c>
      <c r="AH1991">
        <f t="shared" ca="1" si="387"/>
        <v>0</v>
      </c>
      <c r="AI1991">
        <f t="shared" ca="1" si="388"/>
        <v>0</v>
      </c>
      <c r="AJ1991">
        <f t="shared" ca="1" si="389"/>
        <v>0</v>
      </c>
      <c r="AK1991">
        <f t="shared" ca="1" si="390"/>
        <v>0</v>
      </c>
      <c r="AL1991">
        <f t="shared" ca="1" si="391"/>
        <v>0</v>
      </c>
    </row>
    <row r="1992" spans="1:38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#N/A, OFFSET(data!$A$1, ROW()-1, AA$1-1))</f>
        <v>0</v>
      </c>
      <c r="AB1992">
        <f t="shared" ca="1" si="382"/>
        <v>0</v>
      </c>
      <c r="AC1992" t="e">
        <f t="shared" ca="1" si="383"/>
        <v>#VALUE!</v>
      </c>
      <c r="AD1992" t="str">
        <f t="shared" ca="1" si="384"/>
        <v>0</v>
      </c>
      <c r="AE1992" t="str">
        <f t="shared" ca="1" si="385"/>
        <v/>
      </c>
      <c r="AF1992" s="6">
        <f t="shared" ca="1" si="386"/>
        <v>0</v>
      </c>
      <c r="AG1992">
        <f t="shared" ca="1" si="381"/>
        <v>0</v>
      </c>
      <c r="AH1992">
        <f t="shared" ca="1" si="387"/>
        <v>0</v>
      </c>
      <c r="AI1992">
        <f t="shared" ca="1" si="388"/>
        <v>0</v>
      </c>
      <c r="AJ1992">
        <f t="shared" ca="1" si="389"/>
        <v>0</v>
      </c>
      <c r="AK1992">
        <f t="shared" ca="1" si="390"/>
        <v>0</v>
      </c>
      <c r="AL1992">
        <f t="shared" ca="1" si="391"/>
        <v>0</v>
      </c>
    </row>
    <row r="1993" spans="1:38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#N/A, OFFSET(data!$A$1, ROW()-1, AA$1-1))</f>
        <v>0</v>
      </c>
      <c r="AB1993">
        <f t="shared" ca="1" si="382"/>
        <v>0</v>
      </c>
      <c r="AC1993" t="e">
        <f t="shared" ca="1" si="383"/>
        <v>#VALUE!</v>
      </c>
      <c r="AD1993" t="str">
        <f t="shared" ca="1" si="384"/>
        <v>0</v>
      </c>
      <c r="AE1993" t="str">
        <f t="shared" ca="1" si="385"/>
        <v/>
      </c>
      <c r="AF1993" s="6">
        <f t="shared" ca="1" si="386"/>
        <v>0</v>
      </c>
      <c r="AG1993">
        <f t="shared" ca="1" si="381"/>
        <v>0</v>
      </c>
      <c r="AH1993">
        <f t="shared" ca="1" si="387"/>
        <v>0</v>
      </c>
      <c r="AI1993">
        <f t="shared" ca="1" si="388"/>
        <v>0</v>
      </c>
      <c r="AJ1993">
        <f t="shared" ca="1" si="389"/>
        <v>0</v>
      </c>
      <c r="AK1993">
        <f t="shared" ca="1" si="390"/>
        <v>0</v>
      </c>
      <c r="AL1993">
        <f t="shared" ca="1" si="391"/>
        <v>0</v>
      </c>
    </row>
    <row r="1994" spans="1:38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#N/A, OFFSET(data!$A$1, ROW()-1, AA$1-1))</f>
        <v>0</v>
      </c>
      <c r="AB1994">
        <f t="shared" ca="1" si="382"/>
        <v>0</v>
      </c>
      <c r="AC1994" t="e">
        <f t="shared" ca="1" si="383"/>
        <v>#VALUE!</v>
      </c>
      <c r="AD1994" t="str">
        <f t="shared" ca="1" si="384"/>
        <v>0</v>
      </c>
      <c r="AE1994" t="str">
        <f t="shared" ca="1" si="385"/>
        <v/>
      </c>
      <c r="AF1994" s="6">
        <f t="shared" ca="1" si="386"/>
        <v>0</v>
      </c>
      <c r="AG1994">
        <f t="shared" ca="1" si="381"/>
        <v>0</v>
      </c>
      <c r="AH1994">
        <f t="shared" ca="1" si="387"/>
        <v>0</v>
      </c>
      <c r="AI1994">
        <f t="shared" ca="1" si="388"/>
        <v>0</v>
      </c>
      <c r="AJ1994">
        <f t="shared" ca="1" si="389"/>
        <v>0</v>
      </c>
      <c r="AK1994">
        <f t="shared" ca="1" si="390"/>
        <v>0</v>
      </c>
      <c r="AL1994">
        <f t="shared" ca="1" si="391"/>
        <v>0</v>
      </c>
    </row>
    <row r="1995" spans="1:38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#N/A, OFFSET(data!$A$1, ROW()-1, AA$1-1))</f>
        <v>0</v>
      </c>
      <c r="AB1995">
        <f t="shared" ca="1" si="382"/>
        <v>0</v>
      </c>
      <c r="AC1995" t="e">
        <f t="shared" ca="1" si="383"/>
        <v>#VALUE!</v>
      </c>
      <c r="AD1995" t="str">
        <f t="shared" ca="1" si="384"/>
        <v>0</v>
      </c>
      <c r="AE1995" t="str">
        <f t="shared" ca="1" si="385"/>
        <v/>
      </c>
      <c r="AF1995" s="6">
        <f t="shared" ca="1" si="386"/>
        <v>0</v>
      </c>
      <c r="AG1995">
        <f t="shared" ca="1" si="381"/>
        <v>0</v>
      </c>
      <c r="AH1995">
        <f t="shared" ca="1" si="387"/>
        <v>0</v>
      </c>
      <c r="AI1995">
        <f t="shared" ca="1" si="388"/>
        <v>0</v>
      </c>
      <c r="AJ1995">
        <f t="shared" ca="1" si="389"/>
        <v>0</v>
      </c>
      <c r="AK1995">
        <f t="shared" ca="1" si="390"/>
        <v>0</v>
      </c>
      <c r="AL1995">
        <f t="shared" ca="1" si="391"/>
        <v>0</v>
      </c>
    </row>
    <row r="1996" spans="1:38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#N/A, OFFSET(data!$A$1, ROW()-1, AA$1-1))</f>
        <v>0</v>
      </c>
      <c r="AB1996">
        <f t="shared" ca="1" si="382"/>
        <v>0</v>
      </c>
      <c r="AC1996" t="e">
        <f t="shared" ca="1" si="383"/>
        <v>#VALUE!</v>
      </c>
      <c r="AD1996" t="str">
        <f t="shared" ca="1" si="384"/>
        <v>0</v>
      </c>
      <c r="AE1996" t="str">
        <f t="shared" ca="1" si="385"/>
        <v/>
      </c>
      <c r="AF1996" s="6">
        <f t="shared" ca="1" si="386"/>
        <v>0</v>
      </c>
      <c r="AG1996">
        <f t="shared" ca="1" si="381"/>
        <v>0</v>
      </c>
      <c r="AH1996">
        <f t="shared" ca="1" si="387"/>
        <v>0</v>
      </c>
      <c r="AI1996">
        <f t="shared" ca="1" si="388"/>
        <v>0</v>
      </c>
      <c r="AJ1996">
        <f t="shared" ca="1" si="389"/>
        <v>0</v>
      </c>
      <c r="AK1996">
        <f t="shared" ca="1" si="390"/>
        <v>0</v>
      </c>
      <c r="AL1996">
        <f t="shared" ca="1" si="391"/>
        <v>0</v>
      </c>
    </row>
    <row r="1997" spans="1:38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#N/A, OFFSET(data!$A$1, ROW()-1, AA$1-1))</f>
        <v>0</v>
      </c>
      <c r="AB1997">
        <f t="shared" ca="1" si="382"/>
        <v>0</v>
      </c>
      <c r="AC1997" t="e">
        <f t="shared" ca="1" si="383"/>
        <v>#VALUE!</v>
      </c>
      <c r="AD1997" t="str">
        <f t="shared" ca="1" si="384"/>
        <v>0</v>
      </c>
      <c r="AE1997" t="str">
        <f t="shared" ca="1" si="385"/>
        <v/>
      </c>
      <c r="AF1997" s="6">
        <f t="shared" ca="1" si="386"/>
        <v>0</v>
      </c>
      <c r="AG1997">
        <f t="shared" ca="1" si="381"/>
        <v>0</v>
      </c>
      <c r="AH1997">
        <f t="shared" ca="1" si="387"/>
        <v>0</v>
      </c>
      <c r="AI1997">
        <f t="shared" ca="1" si="388"/>
        <v>0</v>
      </c>
      <c r="AJ1997">
        <f t="shared" ca="1" si="389"/>
        <v>0</v>
      </c>
      <c r="AK1997">
        <f t="shared" ca="1" si="390"/>
        <v>0</v>
      </c>
      <c r="AL1997">
        <f t="shared" ca="1" si="391"/>
        <v>0</v>
      </c>
    </row>
    <row r="1998" spans="1:38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#N/A, OFFSET(data!$A$1, ROW()-1, AA$1-1))</f>
        <v>0</v>
      </c>
      <c r="AB1998">
        <f t="shared" ca="1" si="382"/>
        <v>0</v>
      </c>
      <c r="AC1998" t="e">
        <f t="shared" ca="1" si="383"/>
        <v>#VALUE!</v>
      </c>
      <c r="AD1998" t="str">
        <f t="shared" ca="1" si="384"/>
        <v>0</v>
      </c>
      <c r="AE1998" t="str">
        <f t="shared" ca="1" si="385"/>
        <v/>
      </c>
      <c r="AF1998" s="6">
        <f t="shared" ca="1" si="386"/>
        <v>0</v>
      </c>
      <c r="AG1998">
        <f t="shared" ca="1" si="381"/>
        <v>0</v>
      </c>
      <c r="AH1998">
        <f t="shared" ca="1" si="387"/>
        <v>0</v>
      </c>
      <c r="AI1998">
        <f t="shared" ca="1" si="388"/>
        <v>0</v>
      </c>
      <c r="AJ1998">
        <f t="shared" ca="1" si="389"/>
        <v>0</v>
      </c>
      <c r="AK1998">
        <f t="shared" ca="1" si="390"/>
        <v>0</v>
      </c>
      <c r="AL1998">
        <f t="shared" ca="1" si="391"/>
        <v>0</v>
      </c>
    </row>
    <row r="1999" spans="1:38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#N/A, OFFSET(data!$A$1, ROW()-1, AA$1-1))</f>
        <v>0</v>
      </c>
      <c r="AB1999">
        <f t="shared" ca="1" si="382"/>
        <v>0</v>
      </c>
      <c r="AC1999" t="e">
        <f t="shared" ca="1" si="383"/>
        <v>#VALUE!</v>
      </c>
      <c r="AD1999" t="str">
        <f t="shared" ca="1" si="384"/>
        <v>0</v>
      </c>
      <c r="AE1999" t="str">
        <f t="shared" ca="1" si="385"/>
        <v/>
      </c>
      <c r="AF1999" s="6">
        <f t="shared" ca="1" si="386"/>
        <v>0</v>
      </c>
      <c r="AG1999">
        <f t="shared" ca="1" si="381"/>
        <v>0</v>
      </c>
      <c r="AH1999">
        <f t="shared" ca="1" si="387"/>
        <v>0</v>
      </c>
      <c r="AI1999">
        <f t="shared" ca="1" si="388"/>
        <v>0</v>
      </c>
      <c r="AJ1999">
        <f t="shared" ca="1" si="389"/>
        <v>0</v>
      </c>
      <c r="AK1999">
        <f t="shared" ca="1" si="390"/>
        <v>0</v>
      </c>
      <c r="AL1999">
        <f t="shared" ca="1" si="391"/>
        <v>0</v>
      </c>
    </row>
    <row r="2000" spans="1:38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#N/A, OFFSET(data!$A$1, ROW()-1, AA$1-1))</f>
        <v>0</v>
      </c>
      <c r="AB2000">
        <f t="shared" ca="1" si="382"/>
        <v>0</v>
      </c>
      <c r="AC2000" t="e">
        <f t="shared" ca="1" si="383"/>
        <v>#VALUE!</v>
      </c>
      <c r="AD2000" t="str">
        <f t="shared" ca="1" si="384"/>
        <v>0</v>
      </c>
      <c r="AE2000" t="str">
        <f t="shared" ca="1" si="385"/>
        <v/>
      </c>
      <c r="AF2000" s="6">
        <f t="shared" ca="1" si="386"/>
        <v>0</v>
      </c>
      <c r="AG2000">
        <f t="shared" ca="1" si="381"/>
        <v>0</v>
      </c>
      <c r="AH2000">
        <f t="shared" ca="1" si="387"/>
        <v>0</v>
      </c>
      <c r="AI2000">
        <f t="shared" ca="1" si="388"/>
        <v>0</v>
      </c>
      <c r="AJ2000">
        <f t="shared" ca="1" si="389"/>
        <v>0</v>
      </c>
      <c r="AK2000">
        <f t="shared" ca="1" si="390"/>
        <v>0</v>
      </c>
      <c r="AL2000">
        <f t="shared" ca="1" si="391"/>
        <v>0</v>
      </c>
    </row>
    <row r="2001" spans="1:38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#N/A, OFFSET(data!$A$1, ROW()-1, AA$1-1))</f>
        <v>0</v>
      </c>
      <c r="AB2001">
        <f t="shared" ca="1" si="382"/>
        <v>0</v>
      </c>
      <c r="AC2001" t="e">
        <f t="shared" ca="1" si="383"/>
        <v>#VALUE!</v>
      </c>
      <c r="AD2001" t="str">
        <f t="shared" ca="1" si="384"/>
        <v>0</v>
      </c>
      <c r="AE2001" t="str">
        <f t="shared" ca="1" si="385"/>
        <v/>
      </c>
      <c r="AF2001" s="6">
        <f t="shared" ca="1" si="386"/>
        <v>0</v>
      </c>
      <c r="AG2001">
        <f t="shared" ca="1" si="381"/>
        <v>0</v>
      </c>
      <c r="AH2001">
        <f t="shared" ca="1" si="387"/>
        <v>0</v>
      </c>
      <c r="AI2001">
        <f t="shared" ca="1" si="388"/>
        <v>0</v>
      </c>
      <c r="AJ2001">
        <f t="shared" ca="1" si="389"/>
        <v>0</v>
      </c>
      <c r="AK2001">
        <f t="shared" ca="1" si="390"/>
        <v>0</v>
      </c>
      <c r="AL2001">
        <f t="shared" ca="1" si="391"/>
        <v>0</v>
      </c>
    </row>
    <row r="2002" spans="1:38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#N/A, OFFSET(data!$A$1, ROW()-1, AA$1-1))</f>
        <v>0</v>
      </c>
      <c r="AB2002">
        <f t="shared" ca="1" si="382"/>
        <v>0</v>
      </c>
      <c r="AC2002" t="e">
        <f t="shared" ca="1" si="383"/>
        <v>#VALUE!</v>
      </c>
      <c r="AD2002" t="str">
        <f t="shared" ca="1" si="384"/>
        <v>0</v>
      </c>
      <c r="AE2002" t="str">
        <f t="shared" ca="1" si="385"/>
        <v/>
      </c>
      <c r="AF2002" s="6">
        <f t="shared" ca="1" si="386"/>
        <v>0</v>
      </c>
      <c r="AG2002">
        <f t="shared" ca="1" si="381"/>
        <v>0</v>
      </c>
      <c r="AH2002">
        <f t="shared" ca="1" si="387"/>
        <v>0</v>
      </c>
      <c r="AI2002">
        <f t="shared" ca="1" si="388"/>
        <v>0</v>
      </c>
      <c r="AJ2002">
        <f t="shared" ca="1" si="389"/>
        <v>0</v>
      </c>
      <c r="AK2002">
        <f t="shared" ca="1" si="390"/>
        <v>0</v>
      </c>
      <c r="AL2002">
        <f t="shared" ca="1" si="391"/>
        <v>0</v>
      </c>
    </row>
    <row r="2003" spans="1:38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#N/A, OFFSET(data!$A$1, ROW()-1, AA$1-1))</f>
        <v>0</v>
      </c>
      <c r="AB2003">
        <f t="shared" ca="1" si="382"/>
        <v>0</v>
      </c>
      <c r="AC2003" t="e">
        <f t="shared" ca="1" si="383"/>
        <v>#VALUE!</v>
      </c>
      <c r="AD2003" t="str">
        <f t="shared" ca="1" si="384"/>
        <v>0</v>
      </c>
      <c r="AE2003" t="str">
        <f t="shared" ca="1" si="385"/>
        <v/>
      </c>
      <c r="AF2003" s="6">
        <f t="shared" ca="1" si="386"/>
        <v>0</v>
      </c>
      <c r="AG2003">
        <f t="shared" ca="1" si="381"/>
        <v>0</v>
      </c>
      <c r="AH2003">
        <f t="shared" ca="1" si="387"/>
        <v>0</v>
      </c>
      <c r="AI2003">
        <f t="shared" ca="1" si="388"/>
        <v>0</v>
      </c>
      <c r="AJ2003">
        <f t="shared" ca="1" si="389"/>
        <v>0</v>
      </c>
      <c r="AK2003">
        <f t="shared" ca="1" si="390"/>
        <v>0</v>
      </c>
      <c r="AL2003">
        <f t="shared" ca="1" si="391"/>
        <v>0</v>
      </c>
    </row>
    <row r="2004" spans="1:38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#N/A, OFFSET(data!$A$1, ROW()-1, AA$1-1))</f>
        <v>0</v>
      </c>
      <c r="AB2004">
        <f t="shared" ca="1" si="382"/>
        <v>0</v>
      </c>
      <c r="AC2004" t="e">
        <f t="shared" ca="1" si="383"/>
        <v>#VALUE!</v>
      </c>
      <c r="AD2004" t="str">
        <f t="shared" ca="1" si="384"/>
        <v>0</v>
      </c>
      <c r="AE2004" t="str">
        <f t="shared" ca="1" si="385"/>
        <v/>
      </c>
      <c r="AF2004" s="6">
        <f t="shared" ca="1" si="386"/>
        <v>0</v>
      </c>
      <c r="AG2004">
        <f t="shared" ca="1" si="381"/>
        <v>0</v>
      </c>
      <c r="AH2004">
        <f t="shared" ca="1" si="387"/>
        <v>0</v>
      </c>
      <c r="AI2004">
        <f t="shared" ca="1" si="388"/>
        <v>0</v>
      </c>
      <c r="AJ2004">
        <f t="shared" ca="1" si="389"/>
        <v>0</v>
      </c>
      <c r="AK2004">
        <f t="shared" ca="1" si="390"/>
        <v>0</v>
      </c>
      <c r="AL2004">
        <f t="shared" ca="1" si="391"/>
        <v>0</v>
      </c>
    </row>
    <row r="2005" spans="1:38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#N/A, OFFSET(data!$A$1, ROW()-1, AA$1-1))</f>
        <v>0</v>
      </c>
      <c r="AB2005">
        <f t="shared" ca="1" si="382"/>
        <v>0</v>
      </c>
      <c r="AC2005" t="e">
        <f t="shared" ca="1" si="383"/>
        <v>#VALUE!</v>
      </c>
      <c r="AD2005" t="str">
        <f t="shared" ca="1" si="384"/>
        <v>0</v>
      </c>
      <c r="AE2005" t="str">
        <f t="shared" ca="1" si="385"/>
        <v/>
      </c>
      <c r="AF2005" s="6">
        <f t="shared" ca="1" si="386"/>
        <v>0</v>
      </c>
      <c r="AG2005">
        <f t="shared" ca="1" si="381"/>
        <v>0</v>
      </c>
      <c r="AH2005">
        <f t="shared" ca="1" si="387"/>
        <v>0</v>
      </c>
      <c r="AI2005">
        <f t="shared" ca="1" si="388"/>
        <v>0</v>
      </c>
      <c r="AJ2005">
        <f t="shared" ca="1" si="389"/>
        <v>0</v>
      </c>
      <c r="AK2005">
        <f t="shared" ca="1" si="390"/>
        <v>0</v>
      </c>
      <c r="AL2005">
        <f t="shared" ca="1" si="391"/>
        <v>0</v>
      </c>
    </row>
    <row r="2006" spans="1:38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#N/A, OFFSET(data!$A$1, ROW()-1, AA$1-1))</f>
        <v>0</v>
      </c>
      <c r="AB2006">
        <f t="shared" ca="1" si="382"/>
        <v>0</v>
      </c>
      <c r="AC2006" t="e">
        <f t="shared" ca="1" si="383"/>
        <v>#VALUE!</v>
      </c>
      <c r="AD2006" t="str">
        <f t="shared" ca="1" si="384"/>
        <v>0</v>
      </c>
      <c r="AE2006" t="str">
        <f t="shared" ca="1" si="385"/>
        <v/>
      </c>
      <c r="AF2006" s="6">
        <f t="shared" ca="1" si="386"/>
        <v>0</v>
      </c>
      <c r="AG2006">
        <f t="shared" ca="1" si="381"/>
        <v>0</v>
      </c>
      <c r="AH2006">
        <f t="shared" ca="1" si="387"/>
        <v>0</v>
      </c>
      <c r="AI2006">
        <f t="shared" ca="1" si="388"/>
        <v>0</v>
      </c>
      <c r="AJ2006">
        <f t="shared" ca="1" si="389"/>
        <v>0</v>
      </c>
      <c r="AK2006">
        <f t="shared" ca="1" si="390"/>
        <v>0</v>
      </c>
      <c r="AL2006">
        <f t="shared" ca="1" si="391"/>
        <v>0</v>
      </c>
    </row>
    <row r="2007" spans="1:38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#N/A, OFFSET(data!$A$1, ROW()-1, AA$1-1))</f>
        <v>0</v>
      </c>
      <c r="AB2007">
        <f t="shared" ca="1" si="382"/>
        <v>0</v>
      </c>
      <c r="AC2007" t="e">
        <f t="shared" ca="1" si="383"/>
        <v>#VALUE!</v>
      </c>
      <c r="AD2007" t="str">
        <f t="shared" ca="1" si="384"/>
        <v>0</v>
      </c>
      <c r="AE2007" t="str">
        <f t="shared" ca="1" si="385"/>
        <v/>
      </c>
      <c r="AF2007" s="6">
        <f t="shared" ca="1" si="386"/>
        <v>0</v>
      </c>
      <c r="AG2007">
        <f t="shared" ca="1" si="381"/>
        <v>0</v>
      </c>
      <c r="AH2007">
        <f t="shared" ca="1" si="387"/>
        <v>0</v>
      </c>
      <c r="AI2007">
        <f t="shared" ca="1" si="388"/>
        <v>0</v>
      </c>
      <c r="AJ2007">
        <f t="shared" ca="1" si="389"/>
        <v>0</v>
      </c>
      <c r="AK2007">
        <f t="shared" ca="1" si="390"/>
        <v>0</v>
      </c>
      <c r="AL2007">
        <f t="shared" ca="1" si="391"/>
        <v>0</v>
      </c>
    </row>
    <row r="2008" spans="1:38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#N/A, OFFSET(data!$A$1, ROW()-1, AA$1-1))</f>
        <v>0</v>
      </c>
      <c r="AB2008">
        <f t="shared" ca="1" si="382"/>
        <v>0</v>
      </c>
      <c r="AC2008" t="e">
        <f t="shared" ca="1" si="383"/>
        <v>#VALUE!</v>
      </c>
      <c r="AD2008" t="str">
        <f t="shared" ca="1" si="384"/>
        <v>0</v>
      </c>
      <c r="AE2008" t="str">
        <f t="shared" ca="1" si="385"/>
        <v/>
      </c>
      <c r="AF2008" s="6">
        <f t="shared" ca="1" si="386"/>
        <v>0</v>
      </c>
      <c r="AG2008">
        <f t="shared" ca="1" si="381"/>
        <v>0</v>
      </c>
      <c r="AH2008">
        <f t="shared" ca="1" si="387"/>
        <v>0</v>
      </c>
      <c r="AI2008">
        <f t="shared" ca="1" si="388"/>
        <v>0</v>
      </c>
      <c r="AJ2008">
        <f t="shared" ca="1" si="389"/>
        <v>0</v>
      </c>
      <c r="AK2008">
        <f t="shared" ca="1" si="390"/>
        <v>0</v>
      </c>
      <c r="AL2008">
        <f t="shared" ca="1" si="391"/>
        <v>0</v>
      </c>
    </row>
    <row r="2009" spans="1:38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#N/A, OFFSET(data!$A$1, ROW()-1, AA$1-1))</f>
        <v>0</v>
      </c>
      <c r="AB2009">
        <f t="shared" ca="1" si="382"/>
        <v>0</v>
      </c>
      <c r="AC2009" t="e">
        <f t="shared" ca="1" si="383"/>
        <v>#VALUE!</v>
      </c>
      <c r="AD2009" t="str">
        <f t="shared" ca="1" si="384"/>
        <v>0</v>
      </c>
      <c r="AE2009" t="str">
        <f t="shared" ca="1" si="385"/>
        <v/>
      </c>
      <c r="AF2009" s="6">
        <f t="shared" ca="1" si="386"/>
        <v>0</v>
      </c>
      <c r="AG2009">
        <f t="shared" ca="1" si="381"/>
        <v>0</v>
      </c>
      <c r="AH2009">
        <f t="shared" ca="1" si="387"/>
        <v>0</v>
      </c>
      <c r="AI2009">
        <f t="shared" ca="1" si="388"/>
        <v>0</v>
      </c>
      <c r="AJ2009">
        <f t="shared" ca="1" si="389"/>
        <v>0</v>
      </c>
      <c r="AK2009">
        <f t="shared" ca="1" si="390"/>
        <v>0</v>
      </c>
      <c r="AL2009">
        <f t="shared" ca="1" si="391"/>
        <v>0</v>
      </c>
    </row>
    <row r="2010" spans="1:38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#N/A, OFFSET(data!$A$1, ROW()-1, AA$1-1))</f>
        <v>0</v>
      </c>
      <c r="AB2010">
        <f t="shared" ca="1" si="382"/>
        <v>0</v>
      </c>
      <c r="AC2010" t="e">
        <f t="shared" ca="1" si="383"/>
        <v>#VALUE!</v>
      </c>
      <c r="AD2010" t="str">
        <f t="shared" ca="1" si="384"/>
        <v>0</v>
      </c>
      <c r="AE2010" t="str">
        <f t="shared" ca="1" si="385"/>
        <v/>
      </c>
      <c r="AF2010" s="6">
        <f t="shared" ca="1" si="386"/>
        <v>0</v>
      </c>
      <c r="AG2010">
        <f t="shared" ca="1" si="381"/>
        <v>0</v>
      </c>
      <c r="AH2010">
        <f t="shared" ca="1" si="387"/>
        <v>0</v>
      </c>
      <c r="AI2010">
        <f t="shared" ca="1" si="388"/>
        <v>0</v>
      </c>
      <c r="AJ2010">
        <f t="shared" ca="1" si="389"/>
        <v>0</v>
      </c>
      <c r="AK2010">
        <f t="shared" ca="1" si="390"/>
        <v>0</v>
      </c>
      <c r="AL2010">
        <f t="shared" ca="1" si="391"/>
        <v>0</v>
      </c>
    </row>
    <row r="2011" spans="1:38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#N/A, OFFSET(data!$A$1, ROW()-1, AA$1-1))</f>
        <v>0</v>
      </c>
      <c r="AB2011">
        <f t="shared" ca="1" si="382"/>
        <v>0</v>
      </c>
      <c r="AC2011" t="e">
        <f t="shared" ca="1" si="383"/>
        <v>#VALUE!</v>
      </c>
      <c r="AD2011" t="str">
        <f t="shared" ca="1" si="384"/>
        <v>0</v>
      </c>
      <c r="AE2011" t="str">
        <f t="shared" ca="1" si="385"/>
        <v/>
      </c>
      <c r="AF2011" s="6">
        <f t="shared" ca="1" si="386"/>
        <v>0</v>
      </c>
      <c r="AG2011">
        <f t="shared" ca="1" si="381"/>
        <v>0</v>
      </c>
      <c r="AH2011">
        <f t="shared" ca="1" si="387"/>
        <v>0</v>
      </c>
      <c r="AI2011">
        <f t="shared" ca="1" si="388"/>
        <v>0</v>
      </c>
      <c r="AJ2011">
        <f t="shared" ca="1" si="389"/>
        <v>0</v>
      </c>
      <c r="AK2011">
        <f t="shared" ca="1" si="390"/>
        <v>0</v>
      </c>
      <c r="AL2011">
        <f t="shared" ca="1" si="391"/>
        <v>0</v>
      </c>
    </row>
    <row r="2012" spans="1:38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#N/A, OFFSET(data!$A$1, ROW()-1, AA$1-1))</f>
        <v>0</v>
      </c>
      <c r="AB2012">
        <f t="shared" ca="1" si="382"/>
        <v>0</v>
      </c>
      <c r="AC2012" t="e">
        <f t="shared" ca="1" si="383"/>
        <v>#VALUE!</v>
      </c>
      <c r="AD2012" t="str">
        <f t="shared" ca="1" si="384"/>
        <v>0</v>
      </c>
      <c r="AE2012" t="str">
        <f t="shared" ca="1" si="385"/>
        <v/>
      </c>
      <c r="AF2012" s="6">
        <f t="shared" ca="1" si="386"/>
        <v>0</v>
      </c>
      <c r="AG2012">
        <f t="shared" ca="1" si="381"/>
        <v>0</v>
      </c>
      <c r="AH2012">
        <f t="shared" ca="1" si="387"/>
        <v>0</v>
      </c>
      <c r="AI2012">
        <f t="shared" ca="1" si="388"/>
        <v>0</v>
      </c>
      <c r="AJ2012">
        <f t="shared" ca="1" si="389"/>
        <v>0</v>
      </c>
      <c r="AK2012">
        <f t="shared" ca="1" si="390"/>
        <v>0</v>
      </c>
      <c r="AL2012">
        <f t="shared" ca="1" si="391"/>
        <v>0</v>
      </c>
    </row>
    <row r="2013" spans="1:38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#N/A, OFFSET(data!$A$1, ROW()-1, AA$1-1))</f>
        <v>0</v>
      </c>
      <c r="AB2013">
        <f t="shared" ca="1" si="382"/>
        <v>0</v>
      </c>
      <c r="AC2013" t="e">
        <f t="shared" ca="1" si="383"/>
        <v>#VALUE!</v>
      </c>
      <c r="AD2013" t="str">
        <f t="shared" ca="1" si="384"/>
        <v>0</v>
      </c>
      <c r="AE2013" t="str">
        <f t="shared" ca="1" si="385"/>
        <v/>
      </c>
      <c r="AF2013" s="6">
        <f t="shared" ca="1" si="386"/>
        <v>0</v>
      </c>
      <c r="AG2013">
        <f t="shared" ca="1" si="381"/>
        <v>0</v>
      </c>
      <c r="AH2013">
        <f t="shared" ca="1" si="387"/>
        <v>0</v>
      </c>
      <c r="AI2013">
        <f t="shared" ca="1" si="388"/>
        <v>0</v>
      </c>
      <c r="AJ2013">
        <f t="shared" ca="1" si="389"/>
        <v>0</v>
      </c>
      <c r="AK2013">
        <f t="shared" ca="1" si="390"/>
        <v>0</v>
      </c>
      <c r="AL2013">
        <f t="shared" ca="1" si="391"/>
        <v>0</v>
      </c>
    </row>
    <row r="2014" spans="1:38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#N/A, OFFSET(data!$A$1, ROW()-1, AA$1-1))</f>
        <v>0</v>
      </c>
      <c r="AB2014">
        <f t="shared" ca="1" si="382"/>
        <v>0</v>
      </c>
      <c r="AC2014" t="e">
        <f t="shared" ca="1" si="383"/>
        <v>#VALUE!</v>
      </c>
      <c r="AD2014" t="str">
        <f t="shared" ca="1" si="384"/>
        <v>0</v>
      </c>
      <c r="AE2014" t="str">
        <f t="shared" ca="1" si="385"/>
        <v/>
      </c>
      <c r="AF2014" s="6">
        <f t="shared" ca="1" si="386"/>
        <v>0</v>
      </c>
      <c r="AG2014">
        <f t="shared" ca="1" si="381"/>
        <v>0</v>
      </c>
      <c r="AH2014">
        <f t="shared" ca="1" si="387"/>
        <v>0</v>
      </c>
      <c r="AI2014">
        <f t="shared" ca="1" si="388"/>
        <v>0</v>
      </c>
      <c r="AJ2014">
        <f t="shared" ca="1" si="389"/>
        <v>0</v>
      </c>
      <c r="AK2014">
        <f t="shared" ca="1" si="390"/>
        <v>0</v>
      </c>
      <c r="AL2014">
        <f t="shared" ca="1" si="391"/>
        <v>0</v>
      </c>
    </row>
    <row r="2015" spans="1:38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#N/A, OFFSET(data!$A$1, ROW()-1, AA$1-1))</f>
        <v>0</v>
      </c>
      <c r="AB2015">
        <f t="shared" ca="1" si="382"/>
        <v>0</v>
      </c>
      <c r="AC2015" t="e">
        <f t="shared" ca="1" si="383"/>
        <v>#VALUE!</v>
      </c>
      <c r="AD2015" t="str">
        <f t="shared" ca="1" si="384"/>
        <v>0</v>
      </c>
      <c r="AE2015" t="str">
        <f t="shared" ca="1" si="385"/>
        <v/>
      </c>
      <c r="AF2015" s="6">
        <f t="shared" ca="1" si="386"/>
        <v>0</v>
      </c>
      <c r="AG2015">
        <f t="shared" ca="1" si="381"/>
        <v>0</v>
      </c>
      <c r="AH2015">
        <f t="shared" ca="1" si="387"/>
        <v>0</v>
      </c>
      <c r="AI2015">
        <f t="shared" ca="1" si="388"/>
        <v>0</v>
      </c>
      <c r="AJ2015">
        <f t="shared" ca="1" si="389"/>
        <v>0</v>
      </c>
      <c r="AK2015">
        <f t="shared" ca="1" si="390"/>
        <v>0</v>
      </c>
      <c r="AL2015">
        <f t="shared" ca="1" si="391"/>
        <v>0</v>
      </c>
    </row>
    <row r="2016" spans="1:38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#N/A, OFFSET(data!$A$1, ROW()-1, AA$1-1))</f>
        <v>0</v>
      </c>
      <c r="AB2016">
        <f t="shared" ca="1" si="382"/>
        <v>0</v>
      </c>
      <c r="AC2016" t="e">
        <f t="shared" ca="1" si="383"/>
        <v>#VALUE!</v>
      </c>
      <c r="AD2016" t="str">
        <f t="shared" ca="1" si="384"/>
        <v>0</v>
      </c>
      <c r="AE2016" t="str">
        <f t="shared" ca="1" si="385"/>
        <v/>
      </c>
      <c r="AF2016" s="6">
        <f t="shared" ca="1" si="386"/>
        <v>0</v>
      </c>
      <c r="AG2016">
        <f t="shared" ca="1" si="381"/>
        <v>0</v>
      </c>
      <c r="AH2016">
        <f t="shared" ca="1" si="387"/>
        <v>0</v>
      </c>
      <c r="AI2016">
        <f t="shared" ca="1" si="388"/>
        <v>0</v>
      </c>
      <c r="AJ2016">
        <f t="shared" ca="1" si="389"/>
        <v>0</v>
      </c>
      <c r="AK2016">
        <f t="shared" ca="1" si="390"/>
        <v>0</v>
      </c>
      <c r="AL2016">
        <f t="shared" ca="1" si="391"/>
        <v>0</v>
      </c>
    </row>
    <row r="2017" spans="1:38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#N/A, OFFSET(data!$A$1, ROW()-1, AA$1-1))</f>
        <v>0</v>
      </c>
      <c r="AB2017">
        <f t="shared" ca="1" si="382"/>
        <v>0</v>
      </c>
      <c r="AC2017" t="e">
        <f t="shared" ca="1" si="383"/>
        <v>#VALUE!</v>
      </c>
      <c r="AD2017" t="str">
        <f t="shared" ca="1" si="384"/>
        <v>0</v>
      </c>
      <c r="AE2017" t="str">
        <f t="shared" ca="1" si="385"/>
        <v/>
      </c>
      <c r="AF2017" s="6">
        <f t="shared" ca="1" si="386"/>
        <v>0</v>
      </c>
      <c r="AG2017">
        <f t="shared" ca="1" si="381"/>
        <v>0</v>
      </c>
      <c r="AH2017">
        <f t="shared" ca="1" si="387"/>
        <v>0</v>
      </c>
      <c r="AI2017">
        <f t="shared" ca="1" si="388"/>
        <v>0</v>
      </c>
      <c r="AJ2017">
        <f t="shared" ca="1" si="389"/>
        <v>0</v>
      </c>
      <c r="AK2017">
        <f t="shared" ca="1" si="390"/>
        <v>0</v>
      </c>
      <c r="AL2017">
        <f t="shared" ca="1" si="391"/>
        <v>0</v>
      </c>
    </row>
    <row r="2018" spans="1:38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#N/A, OFFSET(data!$A$1, ROW()-1, AA$1-1))</f>
        <v>0</v>
      </c>
      <c r="AB2018">
        <f t="shared" ca="1" si="382"/>
        <v>0</v>
      </c>
      <c r="AC2018" t="e">
        <f t="shared" ca="1" si="383"/>
        <v>#VALUE!</v>
      </c>
      <c r="AD2018" t="str">
        <f t="shared" ca="1" si="384"/>
        <v>0</v>
      </c>
      <c r="AE2018" t="str">
        <f t="shared" ca="1" si="385"/>
        <v/>
      </c>
      <c r="AF2018" s="6">
        <f t="shared" ca="1" si="386"/>
        <v>0</v>
      </c>
      <c r="AG2018">
        <f t="shared" ca="1" si="381"/>
        <v>0</v>
      </c>
      <c r="AH2018">
        <f t="shared" ca="1" si="387"/>
        <v>0</v>
      </c>
      <c r="AI2018">
        <f t="shared" ca="1" si="388"/>
        <v>0</v>
      </c>
      <c r="AJ2018">
        <f t="shared" ca="1" si="389"/>
        <v>0</v>
      </c>
      <c r="AK2018">
        <f t="shared" ca="1" si="390"/>
        <v>0</v>
      </c>
      <c r="AL2018">
        <f t="shared" ca="1" si="391"/>
        <v>0</v>
      </c>
    </row>
    <row r="2019" spans="1:38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#N/A, OFFSET(data!$A$1, ROW()-1, AA$1-1))</f>
        <v>0</v>
      </c>
      <c r="AB2019">
        <f t="shared" ca="1" si="382"/>
        <v>0</v>
      </c>
      <c r="AC2019" t="e">
        <f t="shared" ca="1" si="383"/>
        <v>#VALUE!</v>
      </c>
      <c r="AD2019" t="str">
        <f t="shared" ca="1" si="384"/>
        <v>0</v>
      </c>
      <c r="AE2019" t="str">
        <f t="shared" ca="1" si="385"/>
        <v/>
      </c>
      <c r="AF2019" s="6">
        <f t="shared" ca="1" si="386"/>
        <v>0</v>
      </c>
      <c r="AG2019">
        <f t="shared" ca="1" si="381"/>
        <v>0</v>
      </c>
      <c r="AH2019">
        <f t="shared" ca="1" si="387"/>
        <v>0</v>
      </c>
      <c r="AI2019">
        <f t="shared" ca="1" si="388"/>
        <v>0</v>
      </c>
      <c r="AJ2019">
        <f t="shared" ca="1" si="389"/>
        <v>0</v>
      </c>
      <c r="AK2019">
        <f t="shared" ca="1" si="390"/>
        <v>0</v>
      </c>
      <c r="AL2019">
        <f t="shared" ca="1" si="391"/>
        <v>0</v>
      </c>
    </row>
    <row r="2020" spans="1:38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#N/A, OFFSET(data!$A$1, ROW()-1, AA$1-1))</f>
        <v>0</v>
      </c>
      <c r="AB2020">
        <f t="shared" ca="1" si="382"/>
        <v>0</v>
      </c>
      <c r="AC2020" t="e">
        <f t="shared" ca="1" si="383"/>
        <v>#VALUE!</v>
      </c>
      <c r="AD2020" t="str">
        <f t="shared" ca="1" si="384"/>
        <v>0</v>
      </c>
      <c r="AE2020" t="str">
        <f t="shared" ca="1" si="385"/>
        <v/>
      </c>
      <c r="AF2020" s="6">
        <f t="shared" ca="1" si="386"/>
        <v>0</v>
      </c>
      <c r="AG2020">
        <f t="shared" ca="1" si="381"/>
        <v>0</v>
      </c>
      <c r="AH2020">
        <f t="shared" ca="1" si="387"/>
        <v>0</v>
      </c>
      <c r="AI2020">
        <f t="shared" ca="1" si="388"/>
        <v>0</v>
      </c>
      <c r="AJ2020">
        <f t="shared" ca="1" si="389"/>
        <v>0</v>
      </c>
      <c r="AK2020">
        <f t="shared" ca="1" si="390"/>
        <v>0</v>
      </c>
      <c r="AL2020">
        <f t="shared" ca="1" si="391"/>
        <v>0</v>
      </c>
    </row>
    <row r="2021" spans="1:38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#N/A, OFFSET(data!$A$1, ROW()-1, AA$1-1))</f>
        <v>0</v>
      </c>
      <c r="AB2021">
        <f t="shared" ca="1" si="382"/>
        <v>0</v>
      </c>
      <c r="AC2021" t="e">
        <f t="shared" ca="1" si="383"/>
        <v>#VALUE!</v>
      </c>
      <c r="AD2021" t="str">
        <f t="shared" ca="1" si="384"/>
        <v>0</v>
      </c>
      <c r="AE2021" t="str">
        <f t="shared" ca="1" si="385"/>
        <v/>
      </c>
      <c r="AF2021" s="6">
        <f t="shared" ca="1" si="386"/>
        <v>0</v>
      </c>
      <c r="AG2021">
        <f t="shared" ca="1" si="381"/>
        <v>0</v>
      </c>
      <c r="AH2021">
        <f t="shared" ca="1" si="387"/>
        <v>0</v>
      </c>
      <c r="AI2021">
        <f t="shared" ca="1" si="388"/>
        <v>0</v>
      </c>
      <c r="AJ2021">
        <f t="shared" ca="1" si="389"/>
        <v>0</v>
      </c>
      <c r="AK2021">
        <f t="shared" ca="1" si="390"/>
        <v>0</v>
      </c>
      <c r="AL2021">
        <f t="shared" ca="1" si="391"/>
        <v>0</v>
      </c>
    </row>
    <row r="2022" spans="1:38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#N/A, OFFSET(data!$A$1, ROW()-1, AA$1-1))</f>
        <v>0</v>
      </c>
      <c r="AB2022">
        <f t="shared" ca="1" si="382"/>
        <v>0</v>
      </c>
      <c r="AC2022" t="e">
        <f t="shared" ca="1" si="383"/>
        <v>#VALUE!</v>
      </c>
      <c r="AD2022" t="str">
        <f t="shared" ca="1" si="384"/>
        <v>0</v>
      </c>
      <c r="AE2022" t="str">
        <f t="shared" ca="1" si="385"/>
        <v/>
      </c>
      <c r="AF2022" s="6">
        <f t="shared" ca="1" si="386"/>
        <v>0</v>
      </c>
      <c r="AG2022">
        <f t="shared" ca="1" si="381"/>
        <v>0</v>
      </c>
      <c r="AH2022">
        <f t="shared" ca="1" si="387"/>
        <v>0</v>
      </c>
      <c r="AI2022">
        <f t="shared" ca="1" si="388"/>
        <v>0</v>
      </c>
      <c r="AJ2022">
        <f t="shared" ca="1" si="389"/>
        <v>0</v>
      </c>
      <c r="AK2022">
        <f t="shared" ca="1" si="390"/>
        <v>0</v>
      </c>
      <c r="AL2022">
        <f t="shared" ca="1" si="391"/>
        <v>0</v>
      </c>
    </row>
    <row r="2023" spans="1:38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#N/A, OFFSET(data!$A$1, ROW()-1, AA$1-1))</f>
        <v>0</v>
      </c>
      <c r="AB2023">
        <f t="shared" ca="1" si="382"/>
        <v>0</v>
      </c>
      <c r="AC2023" t="e">
        <f t="shared" ca="1" si="383"/>
        <v>#VALUE!</v>
      </c>
      <c r="AD2023" t="str">
        <f t="shared" ca="1" si="384"/>
        <v>0</v>
      </c>
      <c r="AE2023" t="str">
        <f t="shared" ca="1" si="385"/>
        <v/>
      </c>
      <c r="AF2023" s="6">
        <f t="shared" ca="1" si="386"/>
        <v>0</v>
      </c>
      <c r="AG2023">
        <f t="shared" ca="1" si="381"/>
        <v>0</v>
      </c>
      <c r="AH2023">
        <f t="shared" ca="1" si="387"/>
        <v>0</v>
      </c>
      <c r="AI2023">
        <f t="shared" ca="1" si="388"/>
        <v>0</v>
      </c>
      <c r="AJ2023">
        <f t="shared" ca="1" si="389"/>
        <v>0</v>
      </c>
      <c r="AK2023">
        <f t="shared" ca="1" si="390"/>
        <v>0</v>
      </c>
      <c r="AL2023">
        <f t="shared" ca="1" si="391"/>
        <v>0</v>
      </c>
    </row>
    <row r="2024" spans="1:38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#N/A, OFFSET(data!$A$1, ROW()-1, AA$1-1))</f>
        <v>0</v>
      </c>
      <c r="AB2024">
        <f t="shared" ca="1" si="382"/>
        <v>0</v>
      </c>
      <c r="AC2024" t="e">
        <f t="shared" ca="1" si="383"/>
        <v>#VALUE!</v>
      </c>
      <c r="AD2024" t="str">
        <f t="shared" ca="1" si="384"/>
        <v>0</v>
      </c>
      <c r="AE2024" t="str">
        <f t="shared" ca="1" si="385"/>
        <v/>
      </c>
      <c r="AF2024" s="6">
        <f t="shared" ca="1" si="386"/>
        <v>0</v>
      </c>
      <c r="AG2024">
        <f t="shared" ca="1" si="381"/>
        <v>0</v>
      </c>
      <c r="AH2024">
        <f t="shared" ca="1" si="387"/>
        <v>0</v>
      </c>
      <c r="AI2024">
        <f t="shared" ca="1" si="388"/>
        <v>0</v>
      </c>
      <c r="AJ2024">
        <f t="shared" ca="1" si="389"/>
        <v>0</v>
      </c>
      <c r="AK2024">
        <f t="shared" ca="1" si="390"/>
        <v>0</v>
      </c>
      <c r="AL2024">
        <f t="shared" ca="1" si="391"/>
        <v>0</v>
      </c>
    </row>
    <row r="2025" spans="1:38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#N/A, OFFSET(data!$A$1, ROW()-1, AA$1-1))</f>
        <v>0</v>
      </c>
      <c r="AB2025">
        <f t="shared" ca="1" si="382"/>
        <v>0</v>
      </c>
      <c r="AC2025" t="e">
        <f t="shared" ca="1" si="383"/>
        <v>#VALUE!</v>
      </c>
      <c r="AD2025" t="str">
        <f t="shared" ca="1" si="384"/>
        <v>0</v>
      </c>
      <c r="AE2025" t="str">
        <f t="shared" ca="1" si="385"/>
        <v/>
      </c>
      <c r="AF2025" s="6">
        <f t="shared" ca="1" si="386"/>
        <v>0</v>
      </c>
      <c r="AG2025">
        <f t="shared" ca="1" si="381"/>
        <v>0</v>
      </c>
      <c r="AH2025">
        <f t="shared" ca="1" si="387"/>
        <v>0</v>
      </c>
      <c r="AI2025">
        <f t="shared" ca="1" si="388"/>
        <v>0</v>
      </c>
      <c r="AJ2025">
        <f t="shared" ca="1" si="389"/>
        <v>0</v>
      </c>
      <c r="AK2025">
        <f t="shared" ca="1" si="390"/>
        <v>0</v>
      </c>
      <c r="AL2025">
        <f t="shared" ca="1" si="391"/>
        <v>0</v>
      </c>
    </row>
    <row r="2026" spans="1:38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#N/A, OFFSET(data!$A$1, ROW()-1, AA$1-1))</f>
        <v>0</v>
      </c>
      <c r="AB2026">
        <f t="shared" ca="1" si="382"/>
        <v>0</v>
      </c>
      <c r="AC2026" t="e">
        <f t="shared" ca="1" si="383"/>
        <v>#VALUE!</v>
      </c>
      <c r="AD2026" t="str">
        <f t="shared" ca="1" si="384"/>
        <v>0</v>
      </c>
      <c r="AE2026" t="str">
        <f t="shared" ca="1" si="385"/>
        <v/>
      </c>
      <c r="AF2026" s="6">
        <f t="shared" ca="1" si="386"/>
        <v>0</v>
      </c>
      <c r="AG2026">
        <f t="shared" ca="1" si="381"/>
        <v>0</v>
      </c>
      <c r="AH2026">
        <f t="shared" ca="1" si="387"/>
        <v>0</v>
      </c>
      <c r="AI2026">
        <f t="shared" ca="1" si="388"/>
        <v>0</v>
      </c>
      <c r="AJ2026">
        <f t="shared" ca="1" si="389"/>
        <v>0</v>
      </c>
      <c r="AK2026">
        <f t="shared" ca="1" si="390"/>
        <v>0</v>
      </c>
      <c r="AL2026">
        <f t="shared" ca="1" si="391"/>
        <v>0</v>
      </c>
    </row>
    <row r="2027" spans="1:38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#N/A, OFFSET(data!$A$1, ROW()-1, AA$1-1))</f>
        <v>0</v>
      </c>
      <c r="AB2027">
        <f t="shared" ca="1" si="382"/>
        <v>0</v>
      </c>
      <c r="AC2027" t="e">
        <f t="shared" ca="1" si="383"/>
        <v>#VALUE!</v>
      </c>
      <c r="AD2027" t="str">
        <f t="shared" ca="1" si="384"/>
        <v>0</v>
      </c>
      <c r="AE2027" t="str">
        <f t="shared" ca="1" si="385"/>
        <v/>
      </c>
      <c r="AF2027" s="6">
        <f t="shared" ca="1" si="386"/>
        <v>0</v>
      </c>
      <c r="AG2027">
        <f t="shared" ca="1" si="381"/>
        <v>0</v>
      </c>
      <c r="AH2027">
        <f t="shared" ca="1" si="387"/>
        <v>0</v>
      </c>
      <c r="AI2027">
        <f t="shared" ca="1" si="388"/>
        <v>0</v>
      </c>
      <c r="AJ2027">
        <f t="shared" ca="1" si="389"/>
        <v>0</v>
      </c>
      <c r="AK2027">
        <f t="shared" ca="1" si="390"/>
        <v>0</v>
      </c>
      <c r="AL2027">
        <f t="shared" ca="1" si="391"/>
        <v>0</v>
      </c>
    </row>
    <row r="2028" spans="1:38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#N/A, OFFSET(data!$A$1, ROW()-1, AA$1-1))</f>
        <v>0</v>
      </c>
      <c r="AB2028">
        <f t="shared" ca="1" si="382"/>
        <v>0</v>
      </c>
      <c r="AC2028" t="e">
        <f t="shared" ca="1" si="383"/>
        <v>#VALUE!</v>
      </c>
      <c r="AD2028" t="str">
        <f t="shared" ca="1" si="384"/>
        <v>0</v>
      </c>
      <c r="AE2028" t="str">
        <f t="shared" ca="1" si="385"/>
        <v/>
      </c>
      <c r="AF2028" s="6">
        <f t="shared" ca="1" si="386"/>
        <v>0</v>
      </c>
      <c r="AG2028">
        <f t="shared" ca="1" si="381"/>
        <v>0</v>
      </c>
      <c r="AH2028">
        <f t="shared" ca="1" si="387"/>
        <v>0</v>
      </c>
      <c r="AI2028">
        <f t="shared" ca="1" si="388"/>
        <v>0</v>
      </c>
      <c r="AJ2028">
        <f t="shared" ca="1" si="389"/>
        <v>0</v>
      </c>
      <c r="AK2028">
        <f t="shared" ca="1" si="390"/>
        <v>0</v>
      </c>
      <c r="AL2028">
        <f t="shared" ca="1" si="391"/>
        <v>0</v>
      </c>
    </row>
    <row r="2029" spans="1:38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#N/A, OFFSET(data!$A$1, ROW()-1, AA$1-1))</f>
        <v>0</v>
      </c>
      <c r="AB2029">
        <f t="shared" ca="1" si="382"/>
        <v>0</v>
      </c>
      <c r="AC2029" t="e">
        <f t="shared" ca="1" si="383"/>
        <v>#VALUE!</v>
      </c>
      <c r="AD2029" t="str">
        <f t="shared" ca="1" si="384"/>
        <v>0</v>
      </c>
      <c r="AE2029" t="str">
        <f t="shared" ca="1" si="385"/>
        <v/>
      </c>
      <c r="AF2029" s="6">
        <f t="shared" ca="1" si="386"/>
        <v>0</v>
      </c>
      <c r="AG2029">
        <f t="shared" ca="1" si="381"/>
        <v>0</v>
      </c>
      <c r="AH2029">
        <f t="shared" ca="1" si="387"/>
        <v>0</v>
      </c>
      <c r="AI2029">
        <f t="shared" ca="1" si="388"/>
        <v>0</v>
      </c>
      <c r="AJ2029">
        <f t="shared" ca="1" si="389"/>
        <v>0</v>
      </c>
      <c r="AK2029">
        <f t="shared" ca="1" si="390"/>
        <v>0</v>
      </c>
      <c r="AL2029">
        <f t="shared" ca="1" si="391"/>
        <v>0</v>
      </c>
    </row>
    <row r="2030" spans="1:38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#N/A, OFFSET(data!$A$1, ROW()-1, AA$1-1))</f>
        <v>0</v>
      </c>
      <c r="AB2030">
        <f t="shared" ca="1" si="382"/>
        <v>0</v>
      </c>
      <c r="AC2030" t="e">
        <f t="shared" ca="1" si="383"/>
        <v>#VALUE!</v>
      </c>
      <c r="AD2030" t="str">
        <f t="shared" ca="1" si="384"/>
        <v>0</v>
      </c>
      <c r="AE2030" t="str">
        <f t="shared" ca="1" si="385"/>
        <v/>
      </c>
      <c r="AF2030" s="6">
        <f t="shared" ca="1" si="386"/>
        <v>0</v>
      </c>
      <c r="AG2030">
        <f t="shared" ca="1" si="381"/>
        <v>0</v>
      </c>
      <c r="AH2030">
        <f t="shared" ca="1" si="387"/>
        <v>0</v>
      </c>
      <c r="AI2030">
        <f t="shared" ca="1" si="388"/>
        <v>0</v>
      </c>
      <c r="AJ2030">
        <f t="shared" ca="1" si="389"/>
        <v>0</v>
      </c>
      <c r="AK2030">
        <f t="shared" ca="1" si="390"/>
        <v>0</v>
      </c>
      <c r="AL2030">
        <f t="shared" ca="1" si="391"/>
        <v>0</v>
      </c>
    </row>
    <row r="2031" spans="1:38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#N/A, OFFSET(data!$A$1, ROW()-1, AA$1-1))</f>
        <v>0</v>
      </c>
      <c r="AB2031">
        <f t="shared" ca="1" si="382"/>
        <v>0</v>
      </c>
      <c r="AC2031" t="e">
        <f t="shared" ca="1" si="383"/>
        <v>#VALUE!</v>
      </c>
      <c r="AD2031" t="str">
        <f t="shared" ca="1" si="384"/>
        <v>0</v>
      </c>
      <c r="AE2031" t="str">
        <f t="shared" ca="1" si="385"/>
        <v/>
      </c>
      <c r="AF2031" s="6">
        <f t="shared" ca="1" si="386"/>
        <v>0</v>
      </c>
      <c r="AG2031">
        <f t="shared" ca="1" si="381"/>
        <v>0</v>
      </c>
      <c r="AH2031">
        <f t="shared" ca="1" si="387"/>
        <v>0</v>
      </c>
      <c r="AI2031">
        <f t="shared" ca="1" si="388"/>
        <v>0</v>
      </c>
      <c r="AJ2031">
        <f t="shared" ca="1" si="389"/>
        <v>0</v>
      </c>
      <c r="AK2031">
        <f t="shared" ca="1" si="390"/>
        <v>0</v>
      </c>
      <c r="AL2031">
        <f t="shared" ca="1" si="391"/>
        <v>0</v>
      </c>
    </row>
    <row r="2032" spans="1:38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#N/A, OFFSET(data!$A$1, ROW()-1, AA$1-1))</f>
        <v>0</v>
      </c>
      <c r="AB2032">
        <f t="shared" ca="1" si="382"/>
        <v>0</v>
      </c>
      <c r="AC2032" t="e">
        <f t="shared" ca="1" si="383"/>
        <v>#VALUE!</v>
      </c>
      <c r="AD2032" t="str">
        <f t="shared" ca="1" si="384"/>
        <v>0</v>
      </c>
      <c r="AE2032" t="str">
        <f t="shared" ca="1" si="385"/>
        <v/>
      </c>
      <c r="AF2032" s="6">
        <f t="shared" ca="1" si="386"/>
        <v>0</v>
      </c>
      <c r="AG2032">
        <f t="shared" ca="1" si="381"/>
        <v>0</v>
      </c>
      <c r="AH2032">
        <f t="shared" ca="1" si="387"/>
        <v>0</v>
      </c>
      <c r="AI2032">
        <f t="shared" ca="1" si="388"/>
        <v>0</v>
      </c>
      <c r="AJ2032">
        <f t="shared" ca="1" si="389"/>
        <v>0</v>
      </c>
      <c r="AK2032">
        <f t="shared" ca="1" si="390"/>
        <v>0</v>
      </c>
      <c r="AL2032">
        <f t="shared" ca="1" si="391"/>
        <v>0</v>
      </c>
    </row>
    <row r="2033" spans="1:38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#N/A, OFFSET(data!$A$1, ROW()-1, AA$1-1))</f>
        <v>0</v>
      </c>
      <c r="AB2033">
        <f t="shared" ca="1" si="382"/>
        <v>0</v>
      </c>
      <c r="AC2033" t="e">
        <f t="shared" ca="1" si="383"/>
        <v>#VALUE!</v>
      </c>
      <c r="AD2033" t="str">
        <f t="shared" ca="1" si="384"/>
        <v>0</v>
      </c>
      <c r="AE2033" t="str">
        <f t="shared" ca="1" si="385"/>
        <v/>
      </c>
      <c r="AF2033" s="6">
        <f t="shared" ca="1" si="386"/>
        <v>0</v>
      </c>
      <c r="AG2033">
        <f t="shared" ca="1" si="381"/>
        <v>0</v>
      </c>
      <c r="AH2033">
        <f t="shared" ca="1" si="387"/>
        <v>0</v>
      </c>
      <c r="AI2033">
        <f t="shared" ca="1" si="388"/>
        <v>0</v>
      </c>
      <c r="AJ2033">
        <f t="shared" ca="1" si="389"/>
        <v>0</v>
      </c>
      <c r="AK2033">
        <f t="shared" ca="1" si="390"/>
        <v>0</v>
      </c>
      <c r="AL2033">
        <f t="shared" ca="1" si="391"/>
        <v>0</v>
      </c>
    </row>
    <row r="2034" spans="1:38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#N/A, OFFSET(data!$A$1, ROW()-1, AA$1-1))</f>
        <v>0</v>
      </c>
      <c r="AB2034">
        <f t="shared" ca="1" si="382"/>
        <v>0</v>
      </c>
      <c r="AC2034" t="e">
        <f t="shared" ca="1" si="383"/>
        <v>#VALUE!</v>
      </c>
      <c r="AD2034" t="str">
        <f t="shared" ca="1" si="384"/>
        <v>0</v>
      </c>
      <c r="AE2034" t="str">
        <f t="shared" ca="1" si="385"/>
        <v/>
      </c>
      <c r="AF2034" s="6">
        <f t="shared" ca="1" si="386"/>
        <v>0</v>
      </c>
      <c r="AG2034">
        <f t="shared" ca="1" si="381"/>
        <v>0</v>
      </c>
      <c r="AH2034">
        <f t="shared" ca="1" si="387"/>
        <v>0</v>
      </c>
      <c r="AI2034">
        <f t="shared" ca="1" si="388"/>
        <v>0</v>
      </c>
      <c r="AJ2034">
        <f t="shared" ca="1" si="389"/>
        <v>0</v>
      </c>
      <c r="AK2034">
        <f t="shared" ca="1" si="390"/>
        <v>0</v>
      </c>
      <c r="AL2034">
        <f t="shared" ca="1" si="391"/>
        <v>0</v>
      </c>
    </row>
    <row r="2035" spans="1:38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#N/A, OFFSET(data!$A$1, ROW()-1, AA$1-1))</f>
        <v>0</v>
      </c>
      <c r="AB2035">
        <f t="shared" ca="1" si="382"/>
        <v>0</v>
      </c>
      <c r="AC2035" t="e">
        <f t="shared" ca="1" si="383"/>
        <v>#VALUE!</v>
      </c>
      <c r="AD2035" t="str">
        <f t="shared" ca="1" si="384"/>
        <v>0</v>
      </c>
      <c r="AE2035" t="str">
        <f t="shared" ca="1" si="385"/>
        <v/>
      </c>
      <c r="AF2035" s="6">
        <f t="shared" ca="1" si="386"/>
        <v>0</v>
      </c>
      <c r="AG2035">
        <f t="shared" ca="1" si="381"/>
        <v>0</v>
      </c>
      <c r="AH2035">
        <f t="shared" ca="1" si="387"/>
        <v>0</v>
      </c>
      <c r="AI2035">
        <f t="shared" ca="1" si="388"/>
        <v>0</v>
      </c>
      <c r="AJ2035">
        <f t="shared" ca="1" si="389"/>
        <v>0</v>
      </c>
      <c r="AK2035">
        <f t="shared" ca="1" si="390"/>
        <v>0</v>
      </c>
      <c r="AL2035">
        <f t="shared" ca="1" si="391"/>
        <v>0</v>
      </c>
    </row>
    <row r="2036" spans="1:38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#N/A, OFFSET(data!$A$1, ROW()-1, AA$1-1))</f>
        <v>0</v>
      </c>
      <c r="AB2036">
        <f t="shared" ca="1" si="382"/>
        <v>0</v>
      </c>
      <c r="AC2036" t="e">
        <f t="shared" ca="1" si="383"/>
        <v>#VALUE!</v>
      </c>
      <c r="AD2036" t="str">
        <f t="shared" ca="1" si="384"/>
        <v>0</v>
      </c>
      <c r="AE2036" t="str">
        <f t="shared" ca="1" si="385"/>
        <v/>
      </c>
      <c r="AF2036" s="6">
        <f t="shared" ca="1" si="386"/>
        <v>0</v>
      </c>
      <c r="AG2036">
        <f t="shared" ref="AG2036:AG2099" ca="1" si="392">T2036+W2036</f>
        <v>0</v>
      </c>
      <c r="AH2036">
        <f t="shared" ca="1" si="387"/>
        <v>0</v>
      </c>
      <c r="AI2036">
        <f t="shared" ca="1" si="388"/>
        <v>0</v>
      </c>
      <c r="AJ2036">
        <f t="shared" ca="1" si="389"/>
        <v>0</v>
      </c>
      <c r="AK2036">
        <f t="shared" ca="1" si="390"/>
        <v>0</v>
      </c>
      <c r="AL2036">
        <f t="shared" ca="1" si="391"/>
        <v>0</v>
      </c>
    </row>
    <row r="2037" spans="1:38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#N/A, OFFSET(data!$A$1, ROW()-1, AA$1-1))</f>
        <v>0</v>
      </c>
      <c r="AB2037">
        <f t="shared" ca="1" si="382"/>
        <v>0</v>
      </c>
      <c r="AC2037" t="e">
        <f t="shared" ca="1" si="383"/>
        <v>#VALUE!</v>
      </c>
      <c r="AD2037" t="str">
        <f t="shared" ca="1" si="384"/>
        <v>0</v>
      </c>
      <c r="AE2037" t="str">
        <f t="shared" ca="1" si="385"/>
        <v/>
      </c>
      <c r="AF2037" s="6">
        <f t="shared" ca="1" si="386"/>
        <v>0</v>
      </c>
      <c r="AG2037">
        <f t="shared" ca="1" si="392"/>
        <v>0</v>
      </c>
      <c r="AH2037">
        <f t="shared" ca="1" si="387"/>
        <v>0</v>
      </c>
      <c r="AI2037">
        <f t="shared" ca="1" si="388"/>
        <v>0</v>
      </c>
      <c r="AJ2037">
        <f t="shared" ca="1" si="389"/>
        <v>0</v>
      </c>
      <c r="AK2037">
        <f t="shared" ca="1" si="390"/>
        <v>0</v>
      </c>
      <c r="AL2037">
        <f t="shared" ca="1" si="391"/>
        <v>0</v>
      </c>
    </row>
    <row r="2038" spans="1:38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#N/A, OFFSET(data!$A$1, ROW()-1, AA$1-1))</f>
        <v>0</v>
      </c>
      <c r="AB2038">
        <f t="shared" ca="1" si="382"/>
        <v>0</v>
      </c>
      <c r="AC2038" t="e">
        <f t="shared" ca="1" si="383"/>
        <v>#VALUE!</v>
      </c>
      <c r="AD2038" t="str">
        <f t="shared" ca="1" si="384"/>
        <v>0</v>
      </c>
      <c r="AE2038" t="str">
        <f t="shared" ca="1" si="385"/>
        <v/>
      </c>
      <c r="AF2038" s="6">
        <f t="shared" ca="1" si="386"/>
        <v>0</v>
      </c>
      <c r="AG2038">
        <f t="shared" ca="1" si="392"/>
        <v>0</v>
      </c>
      <c r="AH2038">
        <f t="shared" ca="1" si="387"/>
        <v>0</v>
      </c>
      <c r="AI2038">
        <f t="shared" ca="1" si="388"/>
        <v>0</v>
      </c>
      <c r="AJ2038">
        <f t="shared" ca="1" si="389"/>
        <v>0</v>
      </c>
      <c r="AK2038">
        <f t="shared" ca="1" si="390"/>
        <v>0</v>
      </c>
      <c r="AL2038">
        <f t="shared" ca="1" si="391"/>
        <v>0</v>
      </c>
    </row>
    <row r="2039" spans="1:38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#N/A, OFFSET(data!$A$1, ROW()-1, AA$1-1))</f>
        <v>0</v>
      </c>
      <c r="AB2039">
        <f t="shared" ca="1" si="382"/>
        <v>0</v>
      </c>
      <c r="AC2039" t="e">
        <f t="shared" ca="1" si="383"/>
        <v>#VALUE!</v>
      </c>
      <c r="AD2039" t="str">
        <f t="shared" ca="1" si="384"/>
        <v>0</v>
      </c>
      <c r="AE2039" t="str">
        <f t="shared" ca="1" si="385"/>
        <v/>
      </c>
      <c r="AF2039" s="6">
        <f t="shared" ca="1" si="386"/>
        <v>0</v>
      </c>
      <c r="AG2039">
        <f t="shared" ca="1" si="392"/>
        <v>0</v>
      </c>
      <c r="AH2039">
        <f t="shared" ca="1" si="387"/>
        <v>0</v>
      </c>
      <c r="AI2039">
        <f t="shared" ca="1" si="388"/>
        <v>0</v>
      </c>
      <c r="AJ2039">
        <f t="shared" ca="1" si="389"/>
        <v>0</v>
      </c>
      <c r="AK2039">
        <f t="shared" ca="1" si="390"/>
        <v>0</v>
      </c>
      <c r="AL2039">
        <f t="shared" ca="1" si="391"/>
        <v>0</v>
      </c>
    </row>
    <row r="2040" spans="1:38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#N/A, OFFSET(data!$A$1, ROW()-1, AA$1-1))</f>
        <v>0</v>
      </c>
      <c r="AB2040">
        <f t="shared" ca="1" si="382"/>
        <v>0</v>
      </c>
      <c r="AC2040" t="e">
        <f t="shared" ca="1" si="383"/>
        <v>#VALUE!</v>
      </c>
      <c r="AD2040" t="str">
        <f t="shared" ca="1" si="384"/>
        <v>0</v>
      </c>
      <c r="AE2040" t="str">
        <f t="shared" ca="1" si="385"/>
        <v/>
      </c>
      <c r="AF2040" s="6">
        <f t="shared" ca="1" si="386"/>
        <v>0</v>
      </c>
      <c r="AG2040">
        <f t="shared" ca="1" si="392"/>
        <v>0</v>
      </c>
      <c r="AH2040">
        <f t="shared" ca="1" si="387"/>
        <v>0</v>
      </c>
      <c r="AI2040">
        <f t="shared" ca="1" si="388"/>
        <v>0</v>
      </c>
      <c r="AJ2040">
        <f t="shared" ca="1" si="389"/>
        <v>0</v>
      </c>
      <c r="AK2040">
        <f t="shared" ca="1" si="390"/>
        <v>0</v>
      </c>
      <c r="AL2040">
        <f t="shared" ca="1" si="391"/>
        <v>0</v>
      </c>
    </row>
    <row r="2041" spans="1:38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#N/A, OFFSET(data!$A$1, ROW()-1, AA$1-1))</f>
        <v>0</v>
      </c>
      <c r="AB2041">
        <f t="shared" ca="1" si="382"/>
        <v>0</v>
      </c>
      <c r="AC2041" t="e">
        <f t="shared" ca="1" si="383"/>
        <v>#VALUE!</v>
      </c>
      <c r="AD2041" t="str">
        <f t="shared" ca="1" si="384"/>
        <v>0</v>
      </c>
      <c r="AE2041" t="str">
        <f t="shared" ca="1" si="385"/>
        <v/>
      </c>
      <c r="AF2041" s="6">
        <f t="shared" ca="1" si="386"/>
        <v>0</v>
      </c>
      <c r="AG2041">
        <f t="shared" ca="1" si="392"/>
        <v>0</v>
      </c>
      <c r="AH2041">
        <f t="shared" ca="1" si="387"/>
        <v>0</v>
      </c>
      <c r="AI2041">
        <f t="shared" ca="1" si="388"/>
        <v>0</v>
      </c>
      <c r="AJ2041">
        <f t="shared" ca="1" si="389"/>
        <v>0</v>
      </c>
      <c r="AK2041">
        <f t="shared" ca="1" si="390"/>
        <v>0</v>
      </c>
      <c r="AL2041">
        <f t="shared" ca="1" si="391"/>
        <v>0</v>
      </c>
    </row>
    <row r="2042" spans="1:38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#N/A, OFFSET(data!$A$1, ROW()-1, AA$1-1))</f>
        <v>0</v>
      </c>
      <c r="AB2042">
        <f t="shared" ca="1" si="382"/>
        <v>0</v>
      </c>
      <c r="AC2042" t="e">
        <f t="shared" ca="1" si="383"/>
        <v>#VALUE!</v>
      </c>
      <c r="AD2042" t="str">
        <f t="shared" ca="1" si="384"/>
        <v>0</v>
      </c>
      <c r="AE2042" t="str">
        <f t="shared" ca="1" si="385"/>
        <v/>
      </c>
      <c r="AF2042" s="6">
        <f t="shared" ca="1" si="386"/>
        <v>0</v>
      </c>
      <c r="AG2042">
        <f t="shared" ca="1" si="392"/>
        <v>0</v>
      </c>
      <c r="AH2042">
        <f t="shared" ca="1" si="387"/>
        <v>0</v>
      </c>
      <c r="AI2042">
        <f t="shared" ca="1" si="388"/>
        <v>0</v>
      </c>
      <c r="AJ2042">
        <f t="shared" ca="1" si="389"/>
        <v>0</v>
      </c>
      <c r="AK2042">
        <f t="shared" ca="1" si="390"/>
        <v>0</v>
      </c>
      <c r="AL2042">
        <f t="shared" ca="1" si="391"/>
        <v>0</v>
      </c>
    </row>
    <row r="2043" spans="1:38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#N/A, OFFSET(data!$A$1, ROW()-1, AA$1-1))</f>
        <v>0</v>
      </c>
      <c r="AB2043">
        <f t="shared" ca="1" si="382"/>
        <v>0</v>
      </c>
      <c r="AC2043" t="e">
        <f t="shared" ca="1" si="383"/>
        <v>#VALUE!</v>
      </c>
      <c r="AD2043" t="str">
        <f t="shared" ca="1" si="384"/>
        <v>0</v>
      </c>
      <c r="AE2043" t="str">
        <f t="shared" ca="1" si="385"/>
        <v/>
      </c>
      <c r="AF2043" s="6">
        <f t="shared" ca="1" si="386"/>
        <v>0</v>
      </c>
      <c r="AG2043">
        <f t="shared" ca="1" si="392"/>
        <v>0</v>
      </c>
      <c r="AH2043">
        <f t="shared" ca="1" si="387"/>
        <v>0</v>
      </c>
      <c r="AI2043">
        <f t="shared" ca="1" si="388"/>
        <v>0</v>
      </c>
      <c r="AJ2043">
        <f t="shared" ca="1" si="389"/>
        <v>0</v>
      </c>
      <c r="AK2043">
        <f t="shared" ca="1" si="390"/>
        <v>0</v>
      </c>
      <c r="AL2043">
        <f t="shared" ca="1" si="391"/>
        <v>0</v>
      </c>
    </row>
    <row r="2044" spans="1:38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#N/A, OFFSET(data!$A$1, ROW()-1, AA$1-1))</f>
        <v>0</v>
      </c>
      <c r="AB2044">
        <f t="shared" ca="1" si="382"/>
        <v>0</v>
      </c>
      <c r="AC2044" t="e">
        <f t="shared" ca="1" si="383"/>
        <v>#VALUE!</v>
      </c>
      <c r="AD2044" t="str">
        <f t="shared" ca="1" si="384"/>
        <v>0</v>
      </c>
      <c r="AE2044" t="str">
        <f t="shared" ca="1" si="385"/>
        <v/>
      </c>
      <c r="AF2044" s="6">
        <f t="shared" ca="1" si="386"/>
        <v>0</v>
      </c>
      <c r="AG2044">
        <f t="shared" ca="1" si="392"/>
        <v>0</v>
      </c>
      <c r="AH2044">
        <f t="shared" ca="1" si="387"/>
        <v>0</v>
      </c>
      <c r="AI2044">
        <f t="shared" ca="1" si="388"/>
        <v>0</v>
      </c>
      <c r="AJ2044">
        <f t="shared" ca="1" si="389"/>
        <v>0</v>
      </c>
      <c r="AK2044">
        <f t="shared" ca="1" si="390"/>
        <v>0</v>
      </c>
      <c r="AL2044">
        <f t="shared" ca="1" si="391"/>
        <v>0</v>
      </c>
    </row>
    <row r="2045" spans="1:38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#N/A, OFFSET(data!$A$1, ROW()-1, AA$1-1))</f>
        <v>0</v>
      </c>
      <c r="AB2045">
        <f t="shared" ca="1" si="382"/>
        <v>0</v>
      </c>
      <c r="AC2045" t="e">
        <f t="shared" ca="1" si="383"/>
        <v>#VALUE!</v>
      </c>
      <c r="AD2045" t="str">
        <f t="shared" ca="1" si="384"/>
        <v>0</v>
      </c>
      <c r="AE2045" t="str">
        <f t="shared" ca="1" si="385"/>
        <v/>
      </c>
      <c r="AF2045" s="6">
        <f t="shared" ca="1" si="386"/>
        <v>0</v>
      </c>
      <c r="AG2045">
        <f t="shared" ca="1" si="392"/>
        <v>0</v>
      </c>
      <c r="AH2045">
        <f t="shared" ca="1" si="387"/>
        <v>0</v>
      </c>
      <c r="AI2045">
        <f t="shared" ca="1" si="388"/>
        <v>0</v>
      </c>
      <c r="AJ2045">
        <f t="shared" ca="1" si="389"/>
        <v>0</v>
      </c>
      <c r="AK2045">
        <f t="shared" ca="1" si="390"/>
        <v>0</v>
      </c>
      <c r="AL2045">
        <f t="shared" ca="1" si="391"/>
        <v>0</v>
      </c>
    </row>
    <row r="2046" spans="1:38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#N/A, OFFSET(data!$A$1, ROW()-1, AA$1-1))</f>
        <v>0</v>
      </c>
      <c r="AB2046">
        <f t="shared" ca="1" si="382"/>
        <v>0</v>
      </c>
      <c r="AC2046" t="e">
        <f t="shared" ca="1" si="383"/>
        <v>#VALUE!</v>
      </c>
      <c r="AD2046" t="str">
        <f t="shared" ca="1" si="384"/>
        <v>0</v>
      </c>
      <c r="AE2046" t="str">
        <f t="shared" ca="1" si="385"/>
        <v/>
      </c>
      <c r="AF2046" s="6">
        <f t="shared" ca="1" si="386"/>
        <v>0</v>
      </c>
      <c r="AG2046">
        <f t="shared" ca="1" si="392"/>
        <v>0</v>
      </c>
      <c r="AH2046">
        <f t="shared" ca="1" si="387"/>
        <v>0</v>
      </c>
      <c r="AI2046">
        <f t="shared" ca="1" si="388"/>
        <v>0</v>
      </c>
      <c r="AJ2046">
        <f t="shared" ca="1" si="389"/>
        <v>0</v>
      </c>
      <c r="AK2046">
        <f t="shared" ca="1" si="390"/>
        <v>0</v>
      </c>
      <c r="AL2046">
        <f t="shared" ca="1" si="391"/>
        <v>0</v>
      </c>
    </row>
    <row r="2047" spans="1:38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#N/A, OFFSET(data!$A$1, ROW()-1, AA$1-1))</f>
        <v>0</v>
      </c>
      <c r="AB2047">
        <f t="shared" ca="1" si="382"/>
        <v>0</v>
      </c>
      <c r="AC2047" t="e">
        <f t="shared" ca="1" si="383"/>
        <v>#VALUE!</v>
      </c>
      <c r="AD2047" t="str">
        <f t="shared" ca="1" si="384"/>
        <v>0</v>
      </c>
      <c r="AE2047" t="str">
        <f t="shared" ca="1" si="385"/>
        <v/>
      </c>
      <c r="AF2047" s="6">
        <f t="shared" ca="1" si="386"/>
        <v>0</v>
      </c>
      <c r="AG2047">
        <f t="shared" ca="1" si="392"/>
        <v>0</v>
      </c>
      <c r="AH2047">
        <f t="shared" ca="1" si="387"/>
        <v>0</v>
      </c>
      <c r="AI2047">
        <f t="shared" ca="1" si="388"/>
        <v>0</v>
      </c>
      <c r="AJ2047">
        <f t="shared" ca="1" si="389"/>
        <v>0</v>
      </c>
      <c r="AK2047">
        <f t="shared" ca="1" si="390"/>
        <v>0</v>
      </c>
      <c r="AL2047">
        <f t="shared" ca="1" si="391"/>
        <v>0</v>
      </c>
    </row>
    <row r="2048" spans="1:38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#N/A, OFFSET(data!$A$1, ROW()-1, AA$1-1))</f>
        <v>0</v>
      </c>
      <c r="AB2048">
        <f t="shared" ca="1" si="382"/>
        <v>0</v>
      </c>
      <c r="AC2048" t="e">
        <f t="shared" ca="1" si="383"/>
        <v>#VALUE!</v>
      </c>
      <c r="AD2048" t="str">
        <f t="shared" ca="1" si="384"/>
        <v>0</v>
      </c>
      <c r="AE2048" t="str">
        <f t="shared" ca="1" si="385"/>
        <v/>
      </c>
      <c r="AF2048" s="6">
        <f t="shared" ca="1" si="386"/>
        <v>0</v>
      </c>
      <c r="AG2048">
        <f t="shared" ca="1" si="392"/>
        <v>0</v>
      </c>
      <c r="AH2048">
        <f t="shared" ca="1" si="387"/>
        <v>0</v>
      </c>
      <c r="AI2048">
        <f t="shared" ca="1" si="388"/>
        <v>0</v>
      </c>
      <c r="AJ2048">
        <f t="shared" ca="1" si="389"/>
        <v>0</v>
      </c>
      <c r="AK2048">
        <f t="shared" ca="1" si="390"/>
        <v>0</v>
      </c>
      <c r="AL2048">
        <f t="shared" ca="1" si="391"/>
        <v>0</v>
      </c>
    </row>
    <row r="2049" spans="1:38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#N/A, OFFSET(data!$A$1, ROW()-1, AA$1-1))</f>
        <v>0</v>
      </c>
      <c r="AB2049">
        <f t="shared" ca="1" si="382"/>
        <v>0</v>
      </c>
      <c r="AC2049" t="e">
        <f t="shared" ca="1" si="383"/>
        <v>#VALUE!</v>
      </c>
      <c r="AD2049" t="str">
        <f t="shared" ca="1" si="384"/>
        <v>0</v>
      </c>
      <c r="AE2049" t="str">
        <f t="shared" ca="1" si="385"/>
        <v/>
      </c>
      <c r="AF2049" s="6">
        <f t="shared" ca="1" si="386"/>
        <v>0</v>
      </c>
      <c r="AG2049">
        <f t="shared" ca="1" si="392"/>
        <v>0</v>
      </c>
      <c r="AH2049">
        <f t="shared" ca="1" si="387"/>
        <v>0</v>
      </c>
      <c r="AI2049">
        <f t="shared" ca="1" si="388"/>
        <v>0</v>
      </c>
      <c r="AJ2049">
        <f t="shared" ca="1" si="389"/>
        <v>0</v>
      </c>
      <c r="AK2049">
        <f t="shared" ca="1" si="390"/>
        <v>0</v>
      </c>
      <c r="AL2049">
        <f t="shared" ca="1" si="391"/>
        <v>0</v>
      </c>
    </row>
    <row r="2050" spans="1:38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#N/A, OFFSET(data!$A$1, ROW()-1, AA$1-1))</f>
        <v>0</v>
      </c>
      <c r="AB2050">
        <f t="shared" ca="1" si="382"/>
        <v>0</v>
      </c>
      <c r="AC2050" t="e">
        <f t="shared" ca="1" si="383"/>
        <v>#VALUE!</v>
      </c>
      <c r="AD2050" t="str">
        <f t="shared" ca="1" si="384"/>
        <v>0</v>
      </c>
      <c r="AE2050" t="str">
        <f t="shared" ca="1" si="385"/>
        <v/>
      </c>
      <c r="AF2050" s="6">
        <f t="shared" ca="1" si="386"/>
        <v>0</v>
      </c>
      <c r="AG2050">
        <f t="shared" ca="1" si="392"/>
        <v>0</v>
      </c>
      <c r="AH2050">
        <f t="shared" ca="1" si="387"/>
        <v>0</v>
      </c>
      <c r="AI2050">
        <f t="shared" ca="1" si="388"/>
        <v>0</v>
      </c>
      <c r="AJ2050">
        <f t="shared" ca="1" si="389"/>
        <v>0</v>
      </c>
      <c r="AK2050">
        <f t="shared" ca="1" si="390"/>
        <v>0</v>
      </c>
      <c r="AL2050">
        <f t="shared" ca="1" si="391"/>
        <v>0</v>
      </c>
    </row>
    <row r="2051" spans="1:38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#N/A, OFFSET(data!$A$1, ROW()-1, AA$1-1))</f>
        <v>0</v>
      </c>
      <c r="AB2051">
        <f t="shared" ref="AB2051:AB2114" ca="1" si="393">VALUE(LEFT(C2051, 4))</f>
        <v>0</v>
      </c>
      <c r="AC2051" t="e">
        <f t="shared" ref="AC2051:AC2114" ca="1" si="394">VALUE(MID(C2051, 6, 2))</f>
        <v>#VALUE!</v>
      </c>
      <c r="AD2051" t="str">
        <f t="shared" ref="AD2051:AD2114" ca="1" si="395">SUBSTITUTE(MID(C2051,6,6)&amp;LEFT(C2051,4), "-", "/")</f>
        <v>0</v>
      </c>
      <c r="AE2051" t="str">
        <f t="shared" ref="AE2051:AE2114" ca="1" si="396">IF(RIGHT(C2051, 5)="12:00", AD2051, "")</f>
        <v/>
      </c>
      <c r="AF2051" s="6">
        <f t="shared" ref="AF2051:AF2114" ca="1" si="397">Z2051/1000</f>
        <v>0</v>
      </c>
      <c r="AG2051">
        <f t="shared" ca="1" si="392"/>
        <v>0</v>
      </c>
      <c r="AH2051">
        <f t="shared" ca="1" si="387"/>
        <v>0</v>
      </c>
      <c r="AI2051">
        <f t="shared" ca="1" si="388"/>
        <v>0</v>
      </c>
      <c r="AJ2051">
        <f t="shared" ca="1" si="389"/>
        <v>0</v>
      </c>
      <c r="AK2051">
        <f t="shared" ca="1" si="390"/>
        <v>0</v>
      </c>
      <c r="AL2051">
        <f t="shared" ca="1" si="391"/>
        <v>0</v>
      </c>
    </row>
    <row r="2052" spans="1:38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#N/A, OFFSET(data!$A$1, ROW()-1, AA$1-1))</f>
        <v>0</v>
      </c>
      <c r="AB2052">
        <f t="shared" ca="1" si="393"/>
        <v>0</v>
      </c>
      <c r="AC2052" t="e">
        <f t="shared" ca="1" si="394"/>
        <v>#VALUE!</v>
      </c>
      <c r="AD2052" t="str">
        <f t="shared" ca="1" si="395"/>
        <v>0</v>
      </c>
      <c r="AE2052" t="str">
        <f t="shared" ca="1" si="396"/>
        <v/>
      </c>
      <c r="AF2052" s="6">
        <f t="shared" ca="1" si="397"/>
        <v>0</v>
      </c>
      <c r="AG2052">
        <f t="shared" ca="1" si="392"/>
        <v>0</v>
      </c>
      <c r="AH2052">
        <f t="shared" ref="AH2052:AH2115" ca="1" si="398">MAX(S2052,Y2052)</f>
        <v>0</v>
      </c>
      <c r="AI2052">
        <f t="shared" ref="AI2052:AI2115" ca="1" si="399">MAX(R2052,V2052)</f>
        <v>0</v>
      </c>
      <c r="AJ2052">
        <f t="shared" ref="AJ2052:AJ2115" ca="1" si="400">K2052+N2052</f>
        <v>0</v>
      </c>
      <c r="AK2052">
        <f t="shared" ref="AK2052:AK2115" ca="1" si="401">L2052+O2052</f>
        <v>0</v>
      </c>
      <c r="AL2052">
        <f t="shared" ref="AL2052:AL2115" ca="1" si="402">M2052+P2052</f>
        <v>0</v>
      </c>
    </row>
    <row r="2053" spans="1:38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#N/A, OFFSET(data!$A$1, ROW()-1, AA$1-1))</f>
        <v>0</v>
      </c>
      <c r="AB2053">
        <f t="shared" ca="1" si="393"/>
        <v>0</v>
      </c>
      <c r="AC2053" t="e">
        <f t="shared" ca="1" si="394"/>
        <v>#VALUE!</v>
      </c>
      <c r="AD2053" t="str">
        <f t="shared" ca="1" si="395"/>
        <v>0</v>
      </c>
      <c r="AE2053" t="str">
        <f t="shared" ca="1" si="396"/>
        <v/>
      </c>
      <c r="AF2053" s="6">
        <f t="shared" ca="1" si="397"/>
        <v>0</v>
      </c>
      <c r="AG2053">
        <f t="shared" ca="1" si="392"/>
        <v>0</v>
      </c>
      <c r="AH2053">
        <f t="shared" ca="1" si="398"/>
        <v>0</v>
      </c>
      <c r="AI2053">
        <f t="shared" ca="1" si="399"/>
        <v>0</v>
      </c>
      <c r="AJ2053">
        <f t="shared" ca="1" si="400"/>
        <v>0</v>
      </c>
      <c r="AK2053">
        <f t="shared" ca="1" si="401"/>
        <v>0</v>
      </c>
      <c r="AL2053">
        <f t="shared" ca="1" si="402"/>
        <v>0</v>
      </c>
    </row>
    <row r="2054" spans="1:38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#N/A, OFFSET(data!$A$1, ROW()-1, AA$1-1))</f>
        <v>0</v>
      </c>
      <c r="AB2054">
        <f t="shared" ca="1" si="393"/>
        <v>0</v>
      </c>
      <c r="AC2054" t="e">
        <f t="shared" ca="1" si="394"/>
        <v>#VALUE!</v>
      </c>
      <c r="AD2054" t="str">
        <f t="shared" ca="1" si="395"/>
        <v>0</v>
      </c>
      <c r="AE2054" t="str">
        <f t="shared" ca="1" si="396"/>
        <v/>
      </c>
      <c r="AF2054" s="6">
        <f t="shared" ca="1" si="397"/>
        <v>0</v>
      </c>
      <c r="AG2054">
        <f t="shared" ca="1" si="392"/>
        <v>0</v>
      </c>
      <c r="AH2054">
        <f t="shared" ca="1" si="398"/>
        <v>0</v>
      </c>
      <c r="AI2054">
        <f t="shared" ca="1" si="399"/>
        <v>0</v>
      </c>
      <c r="AJ2054">
        <f t="shared" ca="1" si="400"/>
        <v>0</v>
      </c>
      <c r="AK2054">
        <f t="shared" ca="1" si="401"/>
        <v>0</v>
      </c>
      <c r="AL2054">
        <f t="shared" ca="1" si="402"/>
        <v>0</v>
      </c>
    </row>
    <row r="2055" spans="1:38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#N/A, OFFSET(data!$A$1, ROW()-1, AA$1-1))</f>
        <v>0</v>
      </c>
      <c r="AB2055">
        <f t="shared" ca="1" si="393"/>
        <v>0</v>
      </c>
      <c r="AC2055" t="e">
        <f t="shared" ca="1" si="394"/>
        <v>#VALUE!</v>
      </c>
      <c r="AD2055" t="str">
        <f t="shared" ca="1" si="395"/>
        <v>0</v>
      </c>
      <c r="AE2055" t="str">
        <f t="shared" ca="1" si="396"/>
        <v/>
      </c>
      <c r="AF2055" s="6">
        <f t="shared" ca="1" si="397"/>
        <v>0</v>
      </c>
      <c r="AG2055">
        <f t="shared" ca="1" si="392"/>
        <v>0</v>
      </c>
      <c r="AH2055">
        <f t="shared" ca="1" si="398"/>
        <v>0</v>
      </c>
      <c r="AI2055">
        <f t="shared" ca="1" si="399"/>
        <v>0</v>
      </c>
      <c r="AJ2055">
        <f t="shared" ca="1" si="400"/>
        <v>0</v>
      </c>
      <c r="AK2055">
        <f t="shared" ca="1" si="401"/>
        <v>0</v>
      </c>
      <c r="AL2055">
        <f t="shared" ca="1" si="402"/>
        <v>0</v>
      </c>
    </row>
    <row r="2056" spans="1:38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#N/A, OFFSET(data!$A$1, ROW()-1, AA$1-1))</f>
        <v>0</v>
      </c>
      <c r="AB2056">
        <f t="shared" ca="1" si="393"/>
        <v>0</v>
      </c>
      <c r="AC2056" t="e">
        <f t="shared" ca="1" si="394"/>
        <v>#VALUE!</v>
      </c>
      <c r="AD2056" t="str">
        <f t="shared" ca="1" si="395"/>
        <v>0</v>
      </c>
      <c r="AE2056" t="str">
        <f t="shared" ca="1" si="396"/>
        <v/>
      </c>
      <c r="AF2056" s="6">
        <f t="shared" ca="1" si="397"/>
        <v>0</v>
      </c>
      <c r="AG2056">
        <f t="shared" ca="1" si="392"/>
        <v>0</v>
      </c>
      <c r="AH2056">
        <f t="shared" ca="1" si="398"/>
        <v>0</v>
      </c>
      <c r="AI2056">
        <f t="shared" ca="1" si="399"/>
        <v>0</v>
      </c>
      <c r="AJ2056">
        <f t="shared" ca="1" si="400"/>
        <v>0</v>
      </c>
      <c r="AK2056">
        <f t="shared" ca="1" si="401"/>
        <v>0</v>
      </c>
      <c r="AL2056">
        <f t="shared" ca="1" si="402"/>
        <v>0</v>
      </c>
    </row>
    <row r="2057" spans="1:38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#N/A, OFFSET(data!$A$1, ROW()-1, AA$1-1))</f>
        <v>0</v>
      </c>
      <c r="AB2057">
        <f t="shared" ca="1" si="393"/>
        <v>0</v>
      </c>
      <c r="AC2057" t="e">
        <f t="shared" ca="1" si="394"/>
        <v>#VALUE!</v>
      </c>
      <c r="AD2057" t="str">
        <f t="shared" ca="1" si="395"/>
        <v>0</v>
      </c>
      <c r="AE2057" t="str">
        <f t="shared" ca="1" si="396"/>
        <v/>
      </c>
      <c r="AF2057" s="6">
        <f t="shared" ca="1" si="397"/>
        <v>0</v>
      </c>
      <c r="AG2057">
        <f t="shared" ca="1" si="392"/>
        <v>0</v>
      </c>
      <c r="AH2057">
        <f t="shared" ca="1" si="398"/>
        <v>0</v>
      </c>
      <c r="AI2057">
        <f t="shared" ca="1" si="399"/>
        <v>0</v>
      </c>
      <c r="AJ2057">
        <f t="shared" ca="1" si="400"/>
        <v>0</v>
      </c>
      <c r="AK2057">
        <f t="shared" ca="1" si="401"/>
        <v>0</v>
      </c>
      <c r="AL2057">
        <f t="shared" ca="1" si="402"/>
        <v>0</v>
      </c>
    </row>
    <row r="2058" spans="1:38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#N/A, OFFSET(data!$A$1, ROW()-1, AA$1-1))</f>
        <v>0</v>
      </c>
      <c r="AB2058">
        <f t="shared" ca="1" si="393"/>
        <v>0</v>
      </c>
      <c r="AC2058" t="e">
        <f t="shared" ca="1" si="394"/>
        <v>#VALUE!</v>
      </c>
      <c r="AD2058" t="str">
        <f t="shared" ca="1" si="395"/>
        <v>0</v>
      </c>
      <c r="AE2058" t="str">
        <f t="shared" ca="1" si="396"/>
        <v/>
      </c>
      <c r="AF2058" s="6">
        <f t="shared" ca="1" si="397"/>
        <v>0</v>
      </c>
      <c r="AG2058">
        <f t="shared" ca="1" si="392"/>
        <v>0</v>
      </c>
      <c r="AH2058">
        <f t="shared" ca="1" si="398"/>
        <v>0</v>
      </c>
      <c r="AI2058">
        <f t="shared" ca="1" si="399"/>
        <v>0</v>
      </c>
      <c r="AJ2058">
        <f t="shared" ca="1" si="400"/>
        <v>0</v>
      </c>
      <c r="AK2058">
        <f t="shared" ca="1" si="401"/>
        <v>0</v>
      </c>
      <c r="AL2058">
        <f t="shared" ca="1" si="402"/>
        <v>0</v>
      </c>
    </row>
    <row r="2059" spans="1:38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#N/A, OFFSET(data!$A$1, ROW()-1, AA$1-1))</f>
        <v>0</v>
      </c>
      <c r="AB2059">
        <f t="shared" ca="1" si="393"/>
        <v>0</v>
      </c>
      <c r="AC2059" t="e">
        <f t="shared" ca="1" si="394"/>
        <v>#VALUE!</v>
      </c>
      <c r="AD2059" t="str">
        <f t="shared" ca="1" si="395"/>
        <v>0</v>
      </c>
      <c r="AE2059" t="str">
        <f t="shared" ca="1" si="396"/>
        <v/>
      </c>
      <c r="AF2059" s="6">
        <f t="shared" ca="1" si="397"/>
        <v>0</v>
      </c>
      <c r="AG2059">
        <f t="shared" ca="1" si="392"/>
        <v>0</v>
      </c>
      <c r="AH2059">
        <f t="shared" ca="1" si="398"/>
        <v>0</v>
      </c>
      <c r="AI2059">
        <f t="shared" ca="1" si="399"/>
        <v>0</v>
      </c>
      <c r="AJ2059">
        <f t="shared" ca="1" si="400"/>
        <v>0</v>
      </c>
      <c r="AK2059">
        <f t="shared" ca="1" si="401"/>
        <v>0</v>
      </c>
      <c r="AL2059">
        <f t="shared" ca="1" si="402"/>
        <v>0</v>
      </c>
    </row>
    <row r="2060" spans="1:38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#N/A, OFFSET(data!$A$1, ROW()-1, AA$1-1))</f>
        <v>0</v>
      </c>
      <c r="AB2060">
        <f t="shared" ca="1" si="393"/>
        <v>0</v>
      </c>
      <c r="AC2060" t="e">
        <f t="shared" ca="1" si="394"/>
        <v>#VALUE!</v>
      </c>
      <c r="AD2060" t="str">
        <f t="shared" ca="1" si="395"/>
        <v>0</v>
      </c>
      <c r="AE2060" t="str">
        <f t="shared" ca="1" si="396"/>
        <v/>
      </c>
      <c r="AF2060" s="6">
        <f t="shared" ca="1" si="397"/>
        <v>0</v>
      </c>
      <c r="AG2060">
        <f t="shared" ca="1" si="392"/>
        <v>0</v>
      </c>
      <c r="AH2060">
        <f t="shared" ca="1" si="398"/>
        <v>0</v>
      </c>
      <c r="AI2060">
        <f t="shared" ca="1" si="399"/>
        <v>0</v>
      </c>
      <c r="AJ2060">
        <f t="shared" ca="1" si="400"/>
        <v>0</v>
      </c>
      <c r="AK2060">
        <f t="shared" ca="1" si="401"/>
        <v>0</v>
      </c>
      <c r="AL2060">
        <f t="shared" ca="1" si="402"/>
        <v>0</v>
      </c>
    </row>
    <row r="2061" spans="1:38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#N/A, OFFSET(data!$A$1, ROW()-1, AA$1-1))</f>
        <v>0</v>
      </c>
      <c r="AB2061">
        <f t="shared" ca="1" si="393"/>
        <v>0</v>
      </c>
      <c r="AC2061" t="e">
        <f t="shared" ca="1" si="394"/>
        <v>#VALUE!</v>
      </c>
      <c r="AD2061" t="str">
        <f t="shared" ca="1" si="395"/>
        <v>0</v>
      </c>
      <c r="AE2061" t="str">
        <f t="shared" ca="1" si="396"/>
        <v/>
      </c>
      <c r="AF2061" s="6">
        <f t="shared" ca="1" si="397"/>
        <v>0</v>
      </c>
      <c r="AG2061">
        <f t="shared" ca="1" si="392"/>
        <v>0</v>
      </c>
      <c r="AH2061">
        <f t="shared" ca="1" si="398"/>
        <v>0</v>
      </c>
      <c r="AI2061">
        <f t="shared" ca="1" si="399"/>
        <v>0</v>
      </c>
      <c r="AJ2061">
        <f t="shared" ca="1" si="400"/>
        <v>0</v>
      </c>
      <c r="AK2061">
        <f t="shared" ca="1" si="401"/>
        <v>0</v>
      </c>
      <c r="AL2061">
        <f t="shared" ca="1" si="402"/>
        <v>0</v>
      </c>
    </row>
    <row r="2062" spans="1:38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#N/A, OFFSET(data!$A$1, ROW()-1, AA$1-1))</f>
        <v>0</v>
      </c>
      <c r="AB2062">
        <f t="shared" ca="1" si="393"/>
        <v>0</v>
      </c>
      <c r="AC2062" t="e">
        <f t="shared" ca="1" si="394"/>
        <v>#VALUE!</v>
      </c>
      <c r="AD2062" t="str">
        <f t="shared" ca="1" si="395"/>
        <v>0</v>
      </c>
      <c r="AE2062" t="str">
        <f t="shared" ca="1" si="396"/>
        <v/>
      </c>
      <c r="AF2062" s="6">
        <f t="shared" ca="1" si="397"/>
        <v>0</v>
      </c>
      <c r="AG2062">
        <f t="shared" ca="1" si="392"/>
        <v>0</v>
      </c>
      <c r="AH2062">
        <f t="shared" ca="1" si="398"/>
        <v>0</v>
      </c>
      <c r="AI2062">
        <f t="shared" ca="1" si="399"/>
        <v>0</v>
      </c>
      <c r="AJ2062">
        <f t="shared" ca="1" si="400"/>
        <v>0</v>
      </c>
      <c r="AK2062">
        <f t="shared" ca="1" si="401"/>
        <v>0</v>
      </c>
      <c r="AL2062">
        <f t="shared" ca="1" si="402"/>
        <v>0</v>
      </c>
    </row>
    <row r="2063" spans="1:38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#N/A, OFFSET(data!$A$1, ROW()-1, AA$1-1))</f>
        <v>0</v>
      </c>
      <c r="AB2063">
        <f t="shared" ca="1" si="393"/>
        <v>0</v>
      </c>
      <c r="AC2063" t="e">
        <f t="shared" ca="1" si="394"/>
        <v>#VALUE!</v>
      </c>
      <c r="AD2063" t="str">
        <f t="shared" ca="1" si="395"/>
        <v>0</v>
      </c>
      <c r="AE2063" t="str">
        <f t="shared" ca="1" si="396"/>
        <v/>
      </c>
      <c r="AF2063" s="6">
        <f t="shared" ca="1" si="397"/>
        <v>0</v>
      </c>
      <c r="AG2063">
        <f t="shared" ca="1" si="392"/>
        <v>0</v>
      </c>
      <c r="AH2063">
        <f t="shared" ca="1" si="398"/>
        <v>0</v>
      </c>
      <c r="AI2063">
        <f t="shared" ca="1" si="399"/>
        <v>0</v>
      </c>
      <c r="AJ2063">
        <f t="shared" ca="1" si="400"/>
        <v>0</v>
      </c>
      <c r="AK2063">
        <f t="shared" ca="1" si="401"/>
        <v>0</v>
      </c>
      <c r="AL2063">
        <f t="shared" ca="1" si="402"/>
        <v>0</v>
      </c>
    </row>
    <row r="2064" spans="1:38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#N/A, OFFSET(data!$A$1, ROW()-1, AA$1-1))</f>
        <v>0</v>
      </c>
      <c r="AB2064">
        <f t="shared" ca="1" si="393"/>
        <v>0</v>
      </c>
      <c r="AC2064" t="e">
        <f t="shared" ca="1" si="394"/>
        <v>#VALUE!</v>
      </c>
      <c r="AD2064" t="str">
        <f t="shared" ca="1" si="395"/>
        <v>0</v>
      </c>
      <c r="AE2064" t="str">
        <f t="shared" ca="1" si="396"/>
        <v/>
      </c>
      <c r="AF2064" s="6">
        <f t="shared" ca="1" si="397"/>
        <v>0</v>
      </c>
      <c r="AG2064">
        <f t="shared" ca="1" si="392"/>
        <v>0</v>
      </c>
      <c r="AH2064">
        <f t="shared" ca="1" si="398"/>
        <v>0</v>
      </c>
      <c r="AI2064">
        <f t="shared" ca="1" si="399"/>
        <v>0</v>
      </c>
      <c r="AJ2064">
        <f t="shared" ca="1" si="400"/>
        <v>0</v>
      </c>
      <c r="AK2064">
        <f t="shared" ca="1" si="401"/>
        <v>0</v>
      </c>
      <c r="AL2064">
        <f t="shared" ca="1" si="402"/>
        <v>0</v>
      </c>
    </row>
    <row r="2065" spans="1:38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#N/A, OFFSET(data!$A$1, ROW()-1, AA$1-1))</f>
        <v>0</v>
      </c>
      <c r="AB2065">
        <f t="shared" ca="1" si="393"/>
        <v>0</v>
      </c>
      <c r="AC2065" t="e">
        <f t="shared" ca="1" si="394"/>
        <v>#VALUE!</v>
      </c>
      <c r="AD2065" t="str">
        <f t="shared" ca="1" si="395"/>
        <v>0</v>
      </c>
      <c r="AE2065" t="str">
        <f t="shared" ca="1" si="396"/>
        <v/>
      </c>
      <c r="AF2065" s="6">
        <f t="shared" ca="1" si="397"/>
        <v>0</v>
      </c>
      <c r="AG2065">
        <f t="shared" ca="1" si="392"/>
        <v>0</v>
      </c>
      <c r="AH2065">
        <f t="shared" ca="1" si="398"/>
        <v>0</v>
      </c>
      <c r="AI2065">
        <f t="shared" ca="1" si="399"/>
        <v>0</v>
      </c>
      <c r="AJ2065">
        <f t="shared" ca="1" si="400"/>
        <v>0</v>
      </c>
      <c r="AK2065">
        <f t="shared" ca="1" si="401"/>
        <v>0</v>
      </c>
      <c r="AL2065">
        <f t="shared" ca="1" si="402"/>
        <v>0</v>
      </c>
    </row>
    <row r="2066" spans="1:38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#N/A, OFFSET(data!$A$1, ROW()-1, AA$1-1))</f>
        <v>0</v>
      </c>
      <c r="AB2066">
        <f t="shared" ca="1" si="393"/>
        <v>0</v>
      </c>
      <c r="AC2066" t="e">
        <f t="shared" ca="1" si="394"/>
        <v>#VALUE!</v>
      </c>
      <c r="AD2066" t="str">
        <f t="shared" ca="1" si="395"/>
        <v>0</v>
      </c>
      <c r="AE2066" t="str">
        <f t="shared" ca="1" si="396"/>
        <v/>
      </c>
      <c r="AF2066" s="6">
        <f t="shared" ca="1" si="397"/>
        <v>0</v>
      </c>
      <c r="AG2066">
        <f t="shared" ca="1" si="392"/>
        <v>0</v>
      </c>
      <c r="AH2066">
        <f t="shared" ca="1" si="398"/>
        <v>0</v>
      </c>
      <c r="AI2066">
        <f t="shared" ca="1" si="399"/>
        <v>0</v>
      </c>
      <c r="AJ2066">
        <f t="shared" ca="1" si="400"/>
        <v>0</v>
      </c>
      <c r="AK2066">
        <f t="shared" ca="1" si="401"/>
        <v>0</v>
      </c>
      <c r="AL2066">
        <f t="shared" ca="1" si="402"/>
        <v>0</v>
      </c>
    </row>
    <row r="2067" spans="1:38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#N/A, OFFSET(data!$A$1, ROW()-1, AA$1-1))</f>
        <v>0</v>
      </c>
      <c r="AB2067">
        <f t="shared" ca="1" si="393"/>
        <v>0</v>
      </c>
      <c r="AC2067" t="e">
        <f t="shared" ca="1" si="394"/>
        <v>#VALUE!</v>
      </c>
      <c r="AD2067" t="str">
        <f t="shared" ca="1" si="395"/>
        <v>0</v>
      </c>
      <c r="AE2067" t="str">
        <f t="shared" ca="1" si="396"/>
        <v/>
      </c>
      <c r="AF2067" s="6">
        <f t="shared" ca="1" si="397"/>
        <v>0</v>
      </c>
      <c r="AG2067">
        <f t="shared" ca="1" si="392"/>
        <v>0</v>
      </c>
      <c r="AH2067">
        <f t="shared" ca="1" si="398"/>
        <v>0</v>
      </c>
      <c r="AI2067">
        <f t="shared" ca="1" si="399"/>
        <v>0</v>
      </c>
      <c r="AJ2067">
        <f t="shared" ca="1" si="400"/>
        <v>0</v>
      </c>
      <c r="AK2067">
        <f t="shared" ca="1" si="401"/>
        <v>0</v>
      </c>
      <c r="AL2067">
        <f t="shared" ca="1" si="402"/>
        <v>0</v>
      </c>
    </row>
    <row r="2068" spans="1:38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#N/A, OFFSET(data!$A$1, ROW()-1, AA$1-1))</f>
        <v>0</v>
      </c>
      <c r="AB2068">
        <f t="shared" ca="1" si="393"/>
        <v>0</v>
      </c>
      <c r="AC2068" t="e">
        <f t="shared" ca="1" si="394"/>
        <v>#VALUE!</v>
      </c>
      <c r="AD2068" t="str">
        <f t="shared" ca="1" si="395"/>
        <v>0</v>
      </c>
      <c r="AE2068" t="str">
        <f t="shared" ca="1" si="396"/>
        <v/>
      </c>
      <c r="AF2068" s="6">
        <f t="shared" ca="1" si="397"/>
        <v>0</v>
      </c>
      <c r="AG2068">
        <f t="shared" ca="1" si="392"/>
        <v>0</v>
      </c>
      <c r="AH2068">
        <f t="shared" ca="1" si="398"/>
        <v>0</v>
      </c>
      <c r="AI2068">
        <f t="shared" ca="1" si="399"/>
        <v>0</v>
      </c>
      <c r="AJ2068">
        <f t="shared" ca="1" si="400"/>
        <v>0</v>
      </c>
      <c r="AK2068">
        <f t="shared" ca="1" si="401"/>
        <v>0</v>
      </c>
      <c r="AL2068">
        <f t="shared" ca="1" si="402"/>
        <v>0</v>
      </c>
    </row>
    <row r="2069" spans="1:38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#N/A, OFFSET(data!$A$1, ROW()-1, AA$1-1))</f>
        <v>0</v>
      </c>
      <c r="AB2069">
        <f t="shared" ca="1" si="393"/>
        <v>0</v>
      </c>
      <c r="AC2069" t="e">
        <f t="shared" ca="1" si="394"/>
        <v>#VALUE!</v>
      </c>
      <c r="AD2069" t="str">
        <f t="shared" ca="1" si="395"/>
        <v>0</v>
      </c>
      <c r="AE2069" t="str">
        <f t="shared" ca="1" si="396"/>
        <v/>
      </c>
      <c r="AF2069" s="6">
        <f t="shared" ca="1" si="397"/>
        <v>0</v>
      </c>
      <c r="AG2069">
        <f t="shared" ca="1" si="392"/>
        <v>0</v>
      </c>
      <c r="AH2069">
        <f t="shared" ca="1" si="398"/>
        <v>0</v>
      </c>
      <c r="AI2069">
        <f t="shared" ca="1" si="399"/>
        <v>0</v>
      </c>
      <c r="AJ2069">
        <f t="shared" ca="1" si="400"/>
        <v>0</v>
      </c>
      <c r="AK2069">
        <f t="shared" ca="1" si="401"/>
        <v>0</v>
      </c>
      <c r="AL2069">
        <f t="shared" ca="1" si="402"/>
        <v>0</v>
      </c>
    </row>
    <row r="2070" spans="1:38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#N/A, OFFSET(data!$A$1, ROW()-1, AA$1-1))</f>
        <v>0</v>
      </c>
      <c r="AB2070">
        <f t="shared" ca="1" si="393"/>
        <v>0</v>
      </c>
      <c r="AC2070" t="e">
        <f t="shared" ca="1" si="394"/>
        <v>#VALUE!</v>
      </c>
      <c r="AD2070" t="str">
        <f t="shared" ca="1" si="395"/>
        <v>0</v>
      </c>
      <c r="AE2070" t="str">
        <f t="shared" ca="1" si="396"/>
        <v/>
      </c>
      <c r="AF2070" s="6">
        <f t="shared" ca="1" si="397"/>
        <v>0</v>
      </c>
      <c r="AG2070">
        <f t="shared" ca="1" si="392"/>
        <v>0</v>
      </c>
      <c r="AH2070">
        <f t="shared" ca="1" si="398"/>
        <v>0</v>
      </c>
      <c r="AI2070">
        <f t="shared" ca="1" si="399"/>
        <v>0</v>
      </c>
      <c r="AJ2070">
        <f t="shared" ca="1" si="400"/>
        <v>0</v>
      </c>
      <c r="AK2070">
        <f t="shared" ca="1" si="401"/>
        <v>0</v>
      </c>
      <c r="AL2070">
        <f t="shared" ca="1" si="402"/>
        <v>0</v>
      </c>
    </row>
    <row r="2071" spans="1:38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#N/A, OFFSET(data!$A$1, ROW()-1, AA$1-1))</f>
        <v>0</v>
      </c>
      <c r="AB2071">
        <f t="shared" ca="1" si="393"/>
        <v>0</v>
      </c>
      <c r="AC2071" t="e">
        <f t="shared" ca="1" si="394"/>
        <v>#VALUE!</v>
      </c>
      <c r="AD2071" t="str">
        <f t="shared" ca="1" si="395"/>
        <v>0</v>
      </c>
      <c r="AE2071" t="str">
        <f t="shared" ca="1" si="396"/>
        <v/>
      </c>
      <c r="AF2071" s="6">
        <f t="shared" ca="1" si="397"/>
        <v>0</v>
      </c>
      <c r="AG2071">
        <f t="shared" ca="1" si="392"/>
        <v>0</v>
      </c>
      <c r="AH2071">
        <f t="shared" ca="1" si="398"/>
        <v>0</v>
      </c>
      <c r="AI2071">
        <f t="shared" ca="1" si="399"/>
        <v>0</v>
      </c>
      <c r="AJ2071">
        <f t="shared" ca="1" si="400"/>
        <v>0</v>
      </c>
      <c r="AK2071">
        <f t="shared" ca="1" si="401"/>
        <v>0</v>
      </c>
      <c r="AL2071">
        <f t="shared" ca="1" si="402"/>
        <v>0</v>
      </c>
    </row>
    <row r="2072" spans="1:38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#N/A, OFFSET(data!$A$1, ROW()-1, AA$1-1))</f>
        <v>0</v>
      </c>
      <c r="AB2072">
        <f t="shared" ca="1" si="393"/>
        <v>0</v>
      </c>
      <c r="AC2072" t="e">
        <f t="shared" ca="1" si="394"/>
        <v>#VALUE!</v>
      </c>
      <c r="AD2072" t="str">
        <f t="shared" ca="1" si="395"/>
        <v>0</v>
      </c>
      <c r="AE2072" t="str">
        <f t="shared" ca="1" si="396"/>
        <v/>
      </c>
      <c r="AF2072" s="6">
        <f t="shared" ca="1" si="397"/>
        <v>0</v>
      </c>
      <c r="AG2072">
        <f t="shared" ca="1" si="392"/>
        <v>0</v>
      </c>
      <c r="AH2072">
        <f t="shared" ca="1" si="398"/>
        <v>0</v>
      </c>
      <c r="AI2072">
        <f t="shared" ca="1" si="399"/>
        <v>0</v>
      </c>
      <c r="AJ2072">
        <f t="shared" ca="1" si="400"/>
        <v>0</v>
      </c>
      <c r="AK2072">
        <f t="shared" ca="1" si="401"/>
        <v>0</v>
      </c>
      <c r="AL2072">
        <f t="shared" ca="1" si="402"/>
        <v>0</v>
      </c>
    </row>
    <row r="2073" spans="1:38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#N/A, OFFSET(data!$A$1, ROW()-1, AA$1-1))</f>
        <v>0</v>
      </c>
      <c r="AB2073">
        <f t="shared" ca="1" si="393"/>
        <v>0</v>
      </c>
      <c r="AC2073" t="e">
        <f t="shared" ca="1" si="394"/>
        <v>#VALUE!</v>
      </c>
      <c r="AD2073" t="str">
        <f t="shared" ca="1" si="395"/>
        <v>0</v>
      </c>
      <c r="AE2073" t="str">
        <f t="shared" ca="1" si="396"/>
        <v/>
      </c>
      <c r="AF2073" s="6">
        <f t="shared" ca="1" si="397"/>
        <v>0</v>
      </c>
      <c r="AG2073">
        <f t="shared" ca="1" si="392"/>
        <v>0</v>
      </c>
      <c r="AH2073">
        <f t="shared" ca="1" si="398"/>
        <v>0</v>
      </c>
      <c r="AI2073">
        <f t="shared" ca="1" si="399"/>
        <v>0</v>
      </c>
      <c r="AJ2073">
        <f t="shared" ca="1" si="400"/>
        <v>0</v>
      </c>
      <c r="AK2073">
        <f t="shared" ca="1" si="401"/>
        <v>0</v>
      </c>
      <c r="AL2073">
        <f t="shared" ca="1" si="402"/>
        <v>0</v>
      </c>
    </row>
    <row r="2074" spans="1:38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#N/A, OFFSET(data!$A$1, ROW()-1, AA$1-1))</f>
        <v>0</v>
      </c>
      <c r="AB2074">
        <f t="shared" ca="1" si="393"/>
        <v>0</v>
      </c>
      <c r="AC2074" t="e">
        <f t="shared" ca="1" si="394"/>
        <v>#VALUE!</v>
      </c>
      <c r="AD2074" t="str">
        <f t="shared" ca="1" si="395"/>
        <v>0</v>
      </c>
      <c r="AE2074" t="str">
        <f t="shared" ca="1" si="396"/>
        <v/>
      </c>
      <c r="AF2074" s="6">
        <f t="shared" ca="1" si="397"/>
        <v>0</v>
      </c>
      <c r="AG2074">
        <f t="shared" ca="1" si="392"/>
        <v>0</v>
      </c>
      <c r="AH2074">
        <f t="shared" ca="1" si="398"/>
        <v>0</v>
      </c>
      <c r="AI2074">
        <f t="shared" ca="1" si="399"/>
        <v>0</v>
      </c>
      <c r="AJ2074">
        <f t="shared" ca="1" si="400"/>
        <v>0</v>
      </c>
      <c r="AK2074">
        <f t="shared" ca="1" si="401"/>
        <v>0</v>
      </c>
      <c r="AL2074">
        <f t="shared" ca="1" si="402"/>
        <v>0</v>
      </c>
    </row>
    <row r="2075" spans="1:38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#N/A, OFFSET(data!$A$1, ROW()-1, AA$1-1))</f>
        <v>0</v>
      </c>
      <c r="AB2075">
        <f t="shared" ca="1" si="393"/>
        <v>0</v>
      </c>
      <c r="AC2075" t="e">
        <f t="shared" ca="1" si="394"/>
        <v>#VALUE!</v>
      </c>
      <c r="AD2075" t="str">
        <f t="shared" ca="1" si="395"/>
        <v>0</v>
      </c>
      <c r="AE2075" t="str">
        <f t="shared" ca="1" si="396"/>
        <v/>
      </c>
      <c r="AF2075" s="6">
        <f t="shared" ca="1" si="397"/>
        <v>0</v>
      </c>
      <c r="AG2075">
        <f t="shared" ca="1" si="392"/>
        <v>0</v>
      </c>
      <c r="AH2075">
        <f t="shared" ca="1" si="398"/>
        <v>0</v>
      </c>
      <c r="AI2075">
        <f t="shared" ca="1" si="399"/>
        <v>0</v>
      </c>
      <c r="AJ2075">
        <f t="shared" ca="1" si="400"/>
        <v>0</v>
      </c>
      <c r="AK2075">
        <f t="shared" ca="1" si="401"/>
        <v>0</v>
      </c>
      <c r="AL2075">
        <f t="shared" ca="1" si="402"/>
        <v>0</v>
      </c>
    </row>
    <row r="2076" spans="1:38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#N/A, OFFSET(data!$A$1, ROW()-1, AA$1-1))</f>
        <v>0</v>
      </c>
      <c r="AB2076">
        <f t="shared" ca="1" si="393"/>
        <v>0</v>
      </c>
      <c r="AC2076" t="e">
        <f t="shared" ca="1" si="394"/>
        <v>#VALUE!</v>
      </c>
      <c r="AD2076" t="str">
        <f t="shared" ca="1" si="395"/>
        <v>0</v>
      </c>
      <c r="AE2076" t="str">
        <f t="shared" ca="1" si="396"/>
        <v/>
      </c>
      <c r="AF2076" s="6">
        <f t="shared" ca="1" si="397"/>
        <v>0</v>
      </c>
      <c r="AG2076">
        <f t="shared" ca="1" si="392"/>
        <v>0</v>
      </c>
      <c r="AH2076">
        <f t="shared" ca="1" si="398"/>
        <v>0</v>
      </c>
      <c r="AI2076">
        <f t="shared" ca="1" si="399"/>
        <v>0</v>
      </c>
      <c r="AJ2076">
        <f t="shared" ca="1" si="400"/>
        <v>0</v>
      </c>
      <c r="AK2076">
        <f t="shared" ca="1" si="401"/>
        <v>0</v>
      </c>
      <c r="AL2076">
        <f t="shared" ca="1" si="402"/>
        <v>0</v>
      </c>
    </row>
    <row r="2077" spans="1:38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#N/A, OFFSET(data!$A$1, ROW()-1, AA$1-1))</f>
        <v>0</v>
      </c>
      <c r="AB2077">
        <f t="shared" ca="1" si="393"/>
        <v>0</v>
      </c>
      <c r="AC2077" t="e">
        <f t="shared" ca="1" si="394"/>
        <v>#VALUE!</v>
      </c>
      <c r="AD2077" t="str">
        <f t="shared" ca="1" si="395"/>
        <v>0</v>
      </c>
      <c r="AE2077" t="str">
        <f t="shared" ca="1" si="396"/>
        <v/>
      </c>
      <c r="AF2077" s="6">
        <f t="shared" ca="1" si="397"/>
        <v>0</v>
      </c>
      <c r="AG2077">
        <f t="shared" ca="1" si="392"/>
        <v>0</v>
      </c>
      <c r="AH2077">
        <f t="shared" ca="1" si="398"/>
        <v>0</v>
      </c>
      <c r="AI2077">
        <f t="shared" ca="1" si="399"/>
        <v>0</v>
      </c>
      <c r="AJ2077">
        <f t="shared" ca="1" si="400"/>
        <v>0</v>
      </c>
      <c r="AK2077">
        <f t="shared" ca="1" si="401"/>
        <v>0</v>
      </c>
      <c r="AL2077">
        <f t="shared" ca="1" si="402"/>
        <v>0</v>
      </c>
    </row>
    <row r="2078" spans="1:38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#N/A, OFFSET(data!$A$1, ROW()-1, AA$1-1))</f>
        <v>0</v>
      </c>
      <c r="AB2078">
        <f t="shared" ca="1" si="393"/>
        <v>0</v>
      </c>
      <c r="AC2078" t="e">
        <f t="shared" ca="1" si="394"/>
        <v>#VALUE!</v>
      </c>
      <c r="AD2078" t="str">
        <f t="shared" ca="1" si="395"/>
        <v>0</v>
      </c>
      <c r="AE2078" t="str">
        <f t="shared" ca="1" si="396"/>
        <v/>
      </c>
      <c r="AF2078" s="6">
        <f t="shared" ca="1" si="397"/>
        <v>0</v>
      </c>
      <c r="AG2078">
        <f t="shared" ca="1" si="392"/>
        <v>0</v>
      </c>
      <c r="AH2078">
        <f t="shared" ca="1" si="398"/>
        <v>0</v>
      </c>
      <c r="AI2078">
        <f t="shared" ca="1" si="399"/>
        <v>0</v>
      </c>
      <c r="AJ2078">
        <f t="shared" ca="1" si="400"/>
        <v>0</v>
      </c>
      <c r="AK2078">
        <f t="shared" ca="1" si="401"/>
        <v>0</v>
      </c>
      <c r="AL2078">
        <f t="shared" ca="1" si="402"/>
        <v>0</v>
      </c>
    </row>
    <row r="2079" spans="1:38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#N/A, OFFSET(data!$A$1, ROW()-1, AA$1-1))</f>
        <v>0</v>
      </c>
      <c r="AB2079">
        <f t="shared" ca="1" si="393"/>
        <v>0</v>
      </c>
      <c r="AC2079" t="e">
        <f t="shared" ca="1" si="394"/>
        <v>#VALUE!</v>
      </c>
      <c r="AD2079" t="str">
        <f t="shared" ca="1" si="395"/>
        <v>0</v>
      </c>
      <c r="AE2079" t="str">
        <f t="shared" ca="1" si="396"/>
        <v/>
      </c>
      <c r="AF2079" s="6">
        <f t="shared" ca="1" si="397"/>
        <v>0</v>
      </c>
      <c r="AG2079">
        <f t="shared" ca="1" si="392"/>
        <v>0</v>
      </c>
      <c r="AH2079">
        <f t="shared" ca="1" si="398"/>
        <v>0</v>
      </c>
      <c r="AI2079">
        <f t="shared" ca="1" si="399"/>
        <v>0</v>
      </c>
      <c r="AJ2079">
        <f t="shared" ca="1" si="400"/>
        <v>0</v>
      </c>
      <c r="AK2079">
        <f t="shared" ca="1" si="401"/>
        <v>0</v>
      </c>
      <c r="AL2079">
        <f t="shared" ca="1" si="402"/>
        <v>0</v>
      </c>
    </row>
    <row r="2080" spans="1:38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#N/A, OFFSET(data!$A$1, ROW()-1, AA$1-1))</f>
        <v>0</v>
      </c>
      <c r="AB2080">
        <f t="shared" ca="1" si="393"/>
        <v>0</v>
      </c>
      <c r="AC2080" t="e">
        <f t="shared" ca="1" si="394"/>
        <v>#VALUE!</v>
      </c>
      <c r="AD2080" t="str">
        <f t="shared" ca="1" si="395"/>
        <v>0</v>
      </c>
      <c r="AE2080" t="str">
        <f t="shared" ca="1" si="396"/>
        <v/>
      </c>
      <c r="AF2080" s="6">
        <f t="shared" ca="1" si="397"/>
        <v>0</v>
      </c>
      <c r="AG2080">
        <f t="shared" ca="1" si="392"/>
        <v>0</v>
      </c>
      <c r="AH2080">
        <f t="shared" ca="1" si="398"/>
        <v>0</v>
      </c>
      <c r="AI2080">
        <f t="shared" ca="1" si="399"/>
        <v>0</v>
      </c>
      <c r="AJ2080">
        <f t="shared" ca="1" si="400"/>
        <v>0</v>
      </c>
      <c r="AK2080">
        <f t="shared" ca="1" si="401"/>
        <v>0</v>
      </c>
      <c r="AL2080">
        <f t="shared" ca="1" si="402"/>
        <v>0</v>
      </c>
    </row>
    <row r="2081" spans="1:38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#N/A, OFFSET(data!$A$1, ROW()-1, AA$1-1))</f>
        <v>0</v>
      </c>
      <c r="AB2081">
        <f t="shared" ca="1" si="393"/>
        <v>0</v>
      </c>
      <c r="AC2081" t="e">
        <f t="shared" ca="1" si="394"/>
        <v>#VALUE!</v>
      </c>
      <c r="AD2081" t="str">
        <f t="shared" ca="1" si="395"/>
        <v>0</v>
      </c>
      <c r="AE2081" t="str">
        <f t="shared" ca="1" si="396"/>
        <v/>
      </c>
      <c r="AF2081" s="6">
        <f t="shared" ca="1" si="397"/>
        <v>0</v>
      </c>
      <c r="AG2081">
        <f t="shared" ca="1" si="392"/>
        <v>0</v>
      </c>
      <c r="AH2081">
        <f t="shared" ca="1" si="398"/>
        <v>0</v>
      </c>
      <c r="AI2081">
        <f t="shared" ca="1" si="399"/>
        <v>0</v>
      </c>
      <c r="AJ2081">
        <f t="shared" ca="1" si="400"/>
        <v>0</v>
      </c>
      <c r="AK2081">
        <f t="shared" ca="1" si="401"/>
        <v>0</v>
      </c>
      <c r="AL2081">
        <f t="shared" ca="1" si="402"/>
        <v>0</v>
      </c>
    </row>
    <row r="2082" spans="1:38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#N/A, OFFSET(data!$A$1, ROW()-1, AA$1-1))</f>
        <v>0</v>
      </c>
      <c r="AB2082">
        <f t="shared" ca="1" si="393"/>
        <v>0</v>
      </c>
      <c r="AC2082" t="e">
        <f t="shared" ca="1" si="394"/>
        <v>#VALUE!</v>
      </c>
      <c r="AD2082" t="str">
        <f t="shared" ca="1" si="395"/>
        <v>0</v>
      </c>
      <c r="AE2082" t="str">
        <f t="shared" ca="1" si="396"/>
        <v/>
      </c>
      <c r="AF2082" s="6">
        <f t="shared" ca="1" si="397"/>
        <v>0</v>
      </c>
      <c r="AG2082">
        <f t="shared" ca="1" si="392"/>
        <v>0</v>
      </c>
      <c r="AH2082">
        <f t="shared" ca="1" si="398"/>
        <v>0</v>
      </c>
      <c r="AI2082">
        <f t="shared" ca="1" si="399"/>
        <v>0</v>
      </c>
      <c r="AJ2082">
        <f t="shared" ca="1" si="400"/>
        <v>0</v>
      </c>
      <c r="AK2082">
        <f t="shared" ca="1" si="401"/>
        <v>0</v>
      </c>
      <c r="AL2082">
        <f t="shared" ca="1" si="402"/>
        <v>0</v>
      </c>
    </row>
    <row r="2083" spans="1:38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#N/A, OFFSET(data!$A$1, ROW()-1, AA$1-1))</f>
        <v>0</v>
      </c>
      <c r="AB2083">
        <f t="shared" ca="1" si="393"/>
        <v>0</v>
      </c>
      <c r="AC2083" t="e">
        <f t="shared" ca="1" si="394"/>
        <v>#VALUE!</v>
      </c>
      <c r="AD2083" t="str">
        <f t="shared" ca="1" si="395"/>
        <v>0</v>
      </c>
      <c r="AE2083" t="str">
        <f t="shared" ca="1" si="396"/>
        <v/>
      </c>
      <c r="AF2083" s="6">
        <f t="shared" ca="1" si="397"/>
        <v>0</v>
      </c>
      <c r="AG2083">
        <f t="shared" ca="1" si="392"/>
        <v>0</v>
      </c>
      <c r="AH2083">
        <f t="shared" ca="1" si="398"/>
        <v>0</v>
      </c>
      <c r="AI2083">
        <f t="shared" ca="1" si="399"/>
        <v>0</v>
      </c>
      <c r="AJ2083">
        <f t="shared" ca="1" si="400"/>
        <v>0</v>
      </c>
      <c r="AK2083">
        <f t="shared" ca="1" si="401"/>
        <v>0</v>
      </c>
      <c r="AL2083">
        <f t="shared" ca="1" si="402"/>
        <v>0</v>
      </c>
    </row>
    <row r="2084" spans="1:38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#N/A, OFFSET(data!$A$1, ROW()-1, AA$1-1))</f>
        <v>0</v>
      </c>
      <c r="AB2084">
        <f t="shared" ca="1" si="393"/>
        <v>0</v>
      </c>
      <c r="AC2084" t="e">
        <f t="shared" ca="1" si="394"/>
        <v>#VALUE!</v>
      </c>
      <c r="AD2084" t="str">
        <f t="shared" ca="1" si="395"/>
        <v>0</v>
      </c>
      <c r="AE2084" t="str">
        <f t="shared" ca="1" si="396"/>
        <v/>
      </c>
      <c r="AF2084" s="6">
        <f t="shared" ca="1" si="397"/>
        <v>0</v>
      </c>
      <c r="AG2084">
        <f t="shared" ca="1" si="392"/>
        <v>0</v>
      </c>
      <c r="AH2084">
        <f t="shared" ca="1" si="398"/>
        <v>0</v>
      </c>
      <c r="AI2084">
        <f t="shared" ca="1" si="399"/>
        <v>0</v>
      </c>
      <c r="AJ2084">
        <f t="shared" ca="1" si="400"/>
        <v>0</v>
      </c>
      <c r="AK2084">
        <f t="shared" ca="1" si="401"/>
        <v>0</v>
      </c>
      <c r="AL2084">
        <f t="shared" ca="1" si="402"/>
        <v>0</v>
      </c>
    </row>
    <row r="2085" spans="1:38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#N/A, OFFSET(data!$A$1, ROW()-1, AA$1-1))</f>
        <v>0</v>
      </c>
      <c r="AB2085">
        <f t="shared" ca="1" si="393"/>
        <v>0</v>
      </c>
      <c r="AC2085" t="e">
        <f t="shared" ca="1" si="394"/>
        <v>#VALUE!</v>
      </c>
      <c r="AD2085" t="str">
        <f t="shared" ca="1" si="395"/>
        <v>0</v>
      </c>
      <c r="AE2085" t="str">
        <f t="shared" ca="1" si="396"/>
        <v/>
      </c>
      <c r="AF2085" s="6">
        <f t="shared" ca="1" si="397"/>
        <v>0</v>
      </c>
      <c r="AG2085">
        <f t="shared" ca="1" si="392"/>
        <v>0</v>
      </c>
      <c r="AH2085">
        <f t="shared" ca="1" si="398"/>
        <v>0</v>
      </c>
      <c r="AI2085">
        <f t="shared" ca="1" si="399"/>
        <v>0</v>
      </c>
      <c r="AJ2085">
        <f t="shared" ca="1" si="400"/>
        <v>0</v>
      </c>
      <c r="AK2085">
        <f t="shared" ca="1" si="401"/>
        <v>0</v>
      </c>
      <c r="AL2085">
        <f t="shared" ca="1" si="402"/>
        <v>0</v>
      </c>
    </row>
    <row r="2086" spans="1:38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#N/A, OFFSET(data!$A$1, ROW()-1, AA$1-1))</f>
        <v>0</v>
      </c>
      <c r="AB2086">
        <f t="shared" ca="1" si="393"/>
        <v>0</v>
      </c>
      <c r="AC2086" t="e">
        <f t="shared" ca="1" si="394"/>
        <v>#VALUE!</v>
      </c>
      <c r="AD2086" t="str">
        <f t="shared" ca="1" si="395"/>
        <v>0</v>
      </c>
      <c r="AE2086" t="str">
        <f t="shared" ca="1" si="396"/>
        <v/>
      </c>
      <c r="AF2086" s="6">
        <f t="shared" ca="1" si="397"/>
        <v>0</v>
      </c>
      <c r="AG2086">
        <f t="shared" ca="1" si="392"/>
        <v>0</v>
      </c>
      <c r="AH2086">
        <f t="shared" ca="1" si="398"/>
        <v>0</v>
      </c>
      <c r="AI2086">
        <f t="shared" ca="1" si="399"/>
        <v>0</v>
      </c>
      <c r="AJ2086">
        <f t="shared" ca="1" si="400"/>
        <v>0</v>
      </c>
      <c r="AK2086">
        <f t="shared" ca="1" si="401"/>
        <v>0</v>
      </c>
      <c r="AL2086">
        <f t="shared" ca="1" si="402"/>
        <v>0</v>
      </c>
    </row>
    <row r="2087" spans="1:38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#N/A, OFFSET(data!$A$1, ROW()-1, AA$1-1))</f>
        <v>0</v>
      </c>
      <c r="AB2087">
        <f t="shared" ca="1" si="393"/>
        <v>0</v>
      </c>
      <c r="AC2087" t="e">
        <f t="shared" ca="1" si="394"/>
        <v>#VALUE!</v>
      </c>
      <c r="AD2087" t="str">
        <f t="shared" ca="1" si="395"/>
        <v>0</v>
      </c>
      <c r="AE2087" t="str">
        <f t="shared" ca="1" si="396"/>
        <v/>
      </c>
      <c r="AF2087" s="6">
        <f t="shared" ca="1" si="397"/>
        <v>0</v>
      </c>
      <c r="AG2087">
        <f t="shared" ca="1" si="392"/>
        <v>0</v>
      </c>
      <c r="AH2087">
        <f t="shared" ca="1" si="398"/>
        <v>0</v>
      </c>
      <c r="AI2087">
        <f t="shared" ca="1" si="399"/>
        <v>0</v>
      </c>
      <c r="AJ2087">
        <f t="shared" ca="1" si="400"/>
        <v>0</v>
      </c>
      <c r="AK2087">
        <f t="shared" ca="1" si="401"/>
        <v>0</v>
      </c>
      <c r="AL2087">
        <f t="shared" ca="1" si="402"/>
        <v>0</v>
      </c>
    </row>
    <row r="2088" spans="1:38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#N/A, OFFSET(data!$A$1, ROW()-1, AA$1-1))</f>
        <v>0</v>
      </c>
      <c r="AB2088">
        <f t="shared" ca="1" si="393"/>
        <v>0</v>
      </c>
      <c r="AC2088" t="e">
        <f t="shared" ca="1" si="394"/>
        <v>#VALUE!</v>
      </c>
      <c r="AD2088" t="str">
        <f t="shared" ca="1" si="395"/>
        <v>0</v>
      </c>
      <c r="AE2088" t="str">
        <f t="shared" ca="1" si="396"/>
        <v/>
      </c>
      <c r="AF2088" s="6">
        <f t="shared" ca="1" si="397"/>
        <v>0</v>
      </c>
      <c r="AG2088">
        <f t="shared" ca="1" si="392"/>
        <v>0</v>
      </c>
      <c r="AH2088">
        <f t="shared" ca="1" si="398"/>
        <v>0</v>
      </c>
      <c r="AI2088">
        <f t="shared" ca="1" si="399"/>
        <v>0</v>
      </c>
      <c r="AJ2088">
        <f t="shared" ca="1" si="400"/>
        <v>0</v>
      </c>
      <c r="AK2088">
        <f t="shared" ca="1" si="401"/>
        <v>0</v>
      </c>
      <c r="AL2088">
        <f t="shared" ca="1" si="402"/>
        <v>0</v>
      </c>
    </row>
    <row r="2089" spans="1:38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#N/A, OFFSET(data!$A$1, ROW()-1, AA$1-1))</f>
        <v>0</v>
      </c>
      <c r="AB2089">
        <f t="shared" ca="1" si="393"/>
        <v>0</v>
      </c>
      <c r="AC2089" t="e">
        <f t="shared" ca="1" si="394"/>
        <v>#VALUE!</v>
      </c>
      <c r="AD2089" t="str">
        <f t="shared" ca="1" si="395"/>
        <v>0</v>
      </c>
      <c r="AE2089" t="str">
        <f t="shared" ca="1" si="396"/>
        <v/>
      </c>
      <c r="AF2089" s="6">
        <f t="shared" ca="1" si="397"/>
        <v>0</v>
      </c>
      <c r="AG2089">
        <f t="shared" ca="1" si="392"/>
        <v>0</v>
      </c>
      <c r="AH2089">
        <f t="shared" ca="1" si="398"/>
        <v>0</v>
      </c>
      <c r="AI2089">
        <f t="shared" ca="1" si="399"/>
        <v>0</v>
      </c>
      <c r="AJ2089">
        <f t="shared" ca="1" si="400"/>
        <v>0</v>
      </c>
      <c r="AK2089">
        <f t="shared" ca="1" si="401"/>
        <v>0</v>
      </c>
      <c r="AL2089">
        <f t="shared" ca="1" si="402"/>
        <v>0</v>
      </c>
    </row>
    <row r="2090" spans="1:38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#N/A, OFFSET(data!$A$1, ROW()-1, AA$1-1))</f>
        <v>0</v>
      </c>
      <c r="AB2090">
        <f t="shared" ca="1" si="393"/>
        <v>0</v>
      </c>
      <c r="AC2090" t="e">
        <f t="shared" ca="1" si="394"/>
        <v>#VALUE!</v>
      </c>
      <c r="AD2090" t="str">
        <f t="shared" ca="1" si="395"/>
        <v>0</v>
      </c>
      <c r="AE2090" t="str">
        <f t="shared" ca="1" si="396"/>
        <v/>
      </c>
      <c r="AF2090" s="6">
        <f t="shared" ca="1" si="397"/>
        <v>0</v>
      </c>
      <c r="AG2090">
        <f t="shared" ca="1" si="392"/>
        <v>0</v>
      </c>
      <c r="AH2090">
        <f t="shared" ca="1" si="398"/>
        <v>0</v>
      </c>
      <c r="AI2090">
        <f t="shared" ca="1" si="399"/>
        <v>0</v>
      </c>
      <c r="AJ2090">
        <f t="shared" ca="1" si="400"/>
        <v>0</v>
      </c>
      <c r="AK2090">
        <f t="shared" ca="1" si="401"/>
        <v>0</v>
      </c>
      <c r="AL2090">
        <f t="shared" ca="1" si="402"/>
        <v>0</v>
      </c>
    </row>
    <row r="2091" spans="1:38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#N/A, OFFSET(data!$A$1, ROW()-1, AA$1-1))</f>
        <v>0</v>
      </c>
      <c r="AB2091">
        <f t="shared" ca="1" si="393"/>
        <v>0</v>
      </c>
      <c r="AC2091" t="e">
        <f t="shared" ca="1" si="394"/>
        <v>#VALUE!</v>
      </c>
      <c r="AD2091" t="str">
        <f t="shared" ca="1" si="395"/>
        <v>0</v>
      </c>
      <c r="AE2091" t="str">
        <f t="shared" ca="1" si="396"/>
        <v/>
      </c>
      <c r="AF2091" s="6">
        <f t="shared" ca="1" si="397"/>
        <v>0</v>
      </c>
      <c r="AG2091">
        <f t="shared" ca="1" si="392"/>
        <v>0</v>
      </c>
      <c r="AH2091">
        <f t="shared" ca="1" si="398"/>
        <v>0</v>
      </c>
      <c r="AI2091">
        <f t="shared" ca="1" si="399"/>
        <v>0</v>
      </c>
      <c r="AJ2091">
        <f t="shared" ca="1" si="400"/>
        <v>0</v>
      </c>
      <c r="AK2091">
        <f t="shared" ca="1" si="401"/>
        <v>0</v>
      </c>
      <c r="AL2091">
        <f t="shared" ca="1" si="402"/>
        <v>0</v>
      </c>
    </row>
    <row r="2092" spans="1:38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#N/A, OFFSET(data!$A$1, ROW()-1, AA$1-1))</f>
        <v>0</v>
      </c>
      <c r="AB2092">
        <f t="shared" ca="1" si="393"/>
        <v>0</v>
      </c>
      <c r="AC2092" t="e">
        <f t="shared" ca="1" si="394"/>
        <v>#VALUE!</v>
      </c>
      <c r="AD2092" t="str">
        <f t="shared" ca="1" si="395"/>
        <v>0</v>
      </c>
      <c r="AE2092" t="str">
        <f t="shared" ca="1" si="396"/>
        <v/>
      </c>
      <c r="AF2092" s="6">
        <f t="shared" ca="1" si="397"/>
        <v>0</v>
      </c>
      <c r="AG2092">
        <f t="shared" ca="1" si="392"/>
        <v>0</v>
      </c>
      <c r="AH2092">
        <f t="shared" ca="1" si="398"/>
        <v>0</v>
      </c>
      <c r="AI2092">
        <f t="shared" ca="1" si="399"/>
        <v>0</v>
      </c>
      <c r="AJ2092">
        <f t="shared" ca="1" si="400"/>
        <v>0</v>
      </c>
      <c r="AK2092">
        <f t="shared" ca="1" si="401"/>
        <v>0</v>
      </c>
      <c r="AL2092">
        <f t="shared" ca="1" si="402"/>
        <v>0</v>
      </c>
    </row>
    <row r="2093" spans="1:38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#N/A, OFFSET(data!$A$1, ROW()-1, AA$1-1))</f>
        <v>0</v>
      </c>
      <c r="AB2093">
        <f t="shared" ca="1" si="393"/>
        <v>0</v>
      </c>
      <c r="AC2093" t="e">
        <f t="shared" ca="1" si="394"/>
        <v>#VALUE!</v>
      </c>
      <c r="AD2093" t="str">
        <f t="shared" ca="1" si="395"/>
        <v>0</v>
      </c>
      <c r="AE2093" t="str">
        <f t="shared" ca="1" si="396"/>
        <v/>
      </c>
      <c r="AF2093" s="6">
        <f t="shared" ca="1" si="397"/>
        <v>0</v>
      </c>
      <c r="AG2093">
        <f t="shared" ca="1" si="392"/>
        <v>0</v>
      </c>
      <c r="AH2093">
        <f t="shared" ca="1" si="398"/>
        <v>0</v>
      </c>
      <c r="AI2093">
        <f t="shared" ca="1" si="399"/>
        <v>0</v>
      </c>
      <c r="AJ2093">
        <f t="shared" ca="1" si="400"/>
        <v>0</v>
      </c>
      <c r="AK2093">
        <f t="shared" ca="1" si="401"/>
        <v>0</v>
      </c>
      <c r="AL2093">
        <f t="shared" ca="1" si="402"/>
        <v>0</v>
      </c>
    </row>
    <row r="2094" spans="1:38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#N/A, OFFSET(data!$A$1, ROW()-1, AA$1-1))</f>
        <v>0</v>
      </c>
      <c r="AB2094">
        <f t="shared" ca="1" si="393"/>
        <v>0</v>
      </c>
      <c r="AC2094" t="e">
        <f t="shared" ca="1" si="394"/>
        <v>#VALUE!</v>
      </c>
      <c r="AD2094" t="str">
        <f t="shared" ca="1" si="395"/>
        <v>0</v>
      </c>
      <c r="AE2094" t="str">
        <f t="shared" ca="1" si="396"/>
        <v/>
      </c>
      <c r="AF2094" s="6">
        <f t="shared" ca="1" si="397"/>
        <v>0</v>
      </c>
      <c r="AG2094">
        <f t="shared" ca="1" si="392"/>
        <v>0</v>
      </c>
      <c r="AH2094">
        <f t="shared" ca="1" si="398"/>
        <v>0</v>
      </c>
      <c r="AI2094">
        <f t="shared" ca="1" si="399"/>
        <v>0</v>
      </c>
      <c r="AJ2094">
        <f t="shared" ca="1" si="400"/>
        <v>0</v>
      </c>
      <c r="AK2094">
        <f t="shared" ca="1" si="401"/>
        <v>0</v>
      </c>
      <c r="AL2094">
        <f t="shared" ca="1" si="402"/>
        <v>0</v>
      </c>
    </row>
    <row r="2095" spans="1:38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#N/A, OFFSET(data!$A$1, ROW()-1, AA$1-1))</f>
        <v>0</v>
      </c>
      <c r="AB2095">
        <f t="shared" ca="1" si="393"/>
        <v>0</v>
      </c>
      <c r="AC2095" t="e">
        <f t="shared" ca="1" si="394"/>
        <v>#VALUE!</v>
      </c>
      <c r="AD2095" t="str">
        <f t="shared" ca="1" si="395"/>
        <v>0</v>
      </c>
      <c r="AE2095" t="str">
        <f t="shared" ca="1" si="396"/>
        <v/>
      </c>
      <c r="AF2095" s="6">
        <f t="shared" ca="1" si="397"/>
        <v>0</v>
      </c>
      <c r="AG2095">
        <f t="shared" ca="1" si="392"/>
        <v>0</v>
      </c>
      <c r="AH2095">
        <f t="shared" ca="1" si="398"/>
        <v>0</v>
      </c>
      <c r="AI2095">
        <f t="shared" ca="1" si="399"/>
        <v>0</v>
      </c>
      <c r="AJ2095">
        <f t="shared" ca="1" si="400"/>
        <v>0</v>
      </c>
      <c r="AK2095">
        <f t="shared" ca="1" si="401"/>
        <v>0</v>
      </c>
      <c r="AL2095">
        <f t="shared" ca="1" si="402"/>
        <v>0</v>
      </c>
    </row>
    <row r="2096" spans="1:38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#N/A, OFFSET(data!$A$1, ROW()-1, AA$1-1))</f>
        <v>0</v>
      </c>
      <c r="AB2096">
        <f t="shared" ca="1" si="393"/>
        <v>0</v>
      </c>
      <c r="AC2096" t="e">
        <f t="shared" ca="1" si="394"/>
        <v>#VALUE!</v>
      </c>
      <c r="AD2096" t="str">
        <f t="shared" ca="1" si="395"/>
        <v>0</v>
      </c>
      <c r="AE2096" t="str">
        <f t="shared" ca="1" si="396"/>
        <v/>
      </c>
      <c r="AF2096" s="6">
        <f t="shared" ca="1" si="397"/>
        <v>0</v>
      </c>
      <c r="AG2096">
        <f t="shared" ca="1" si="392"/>
        <v>0</v>
      </c>
      <c r="AH2096">
        <f t="shared" ca="1" si="398"/>
        <v>0</v>
      </c>
      <c r="AI2096">
        <f t="shared" ca="1" si="399"/>
        <v>0</v>
      </c>
      <c r="AJ2096">
        <f t="shared" ca="1" si="400"/>
        <v>0</v>
      </c>
      <c r="AK2096">
        <f t="shared" ca="1" si="401"/>
        <v>0</v>
      </c>
      <c r="AL2096">
        <f t="shared" ca="1" si="402"/>
        <v>0</v>
      </c>
    </row>
    <row r="2097" spans="1:38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#N/A, OFFSET(data!$A$1, ROW()-1, AA$1-1))</f>
        <v>0</v>
      </c>
      <c r="AB2097">
        <f t="shared" ca="1" si="393"/>
        <v>0</v>
      </c>
      <c r="AC2097" t="e">
        <f t="shared" ca="1" si="394"/>
        <v>#VALUE!</v>
      </c>
      <c r="AD2097" t="str">
        <f t="shared" ca="1" si="395"/>
        <v>0</v>
      </c>
      <c r="AE2097" t="str">
        <f t="shared" ca="1" si="396"/>
        <v/>
      </c>
      <c r="AF2097" s="6">
        <f t="shared" ca="1" si="397"/>
        <v>0</v>
      </c>
      <c r="AG2097">
        <f t="shared" ca="1" si="392"/>
        <v>0</v>
      </c>
      <c r="AH2097">
        <f t="shared" ca="1" si="398"/>
        <v>0</v>
      </c>
      <c r="AI2097">
        <f t="shared" ca="1" si="399"/>
        <v>0</v>
      </c>
      <c r="AJ2097">
        <f t="shared" ca="1" si="400"/>
        <v>0</v>
      </c>
      <c r="AK2097">
        <f t="shared" ca="1" si="401"/>
        <v>0</v>
      </c>
      <c r="AL2097">
        <f t="shared" ca="1" si="402"/>
        <v>0</v>
      </c>
    </row>
    <row r="2098" spans="1:38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#N/A, OFFSET(data!$A$1, ROW()-1, AA$1-1))</f>
        <v>0</v>
      </c>
      <c r="AB2098">
        <f t="shared" ca="1" si="393"/>
        <v>0</v>
      </c>
      <c r="AC2098" t="e">
        <f t="shared" ca="1" si="394"/>
        <v>#VALUE!</v>
      </c>
      <c r="AD2098" t="str">
        <f t="shared" ca="1" si="395"/>
        <v>0</v>
      </c>
      <c r="AE2098" t="str">
        <f t="shared" ca="1" si="396"/>
        <v/>
      </c>
      <c r="AF2098" s="6">
        <f t="shared" ca="1" si="397"/>
        <v>0</v>
      </c>
      <c r="AG2098">
        <f t="shared" ca="1" si="392"/>
        <v>0</v>
      </c>
      <c r="AH2098">
        <f t="shared" ca="1" si="398"/>
        <v>0</v>
      </c>
      <c r="AI2098">
        <f t="shared" ca="1" si="399"/>
        <v>0</v>
      </c>
      <c r="AJ2098">
        <f t="shared" ca="1" si="400"/>
        <v>0</v>
      </c>
      <c r="AK2098">
        <f t="shared" ca="1" si="401"/>
        <v>0</v>
      </c>
      <c r="AL2098">
        <f t="shared" ca="1" si="402"/>
        <v>0</v>
      </c>
    </row>
    <row r="2099" spans="1:38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#N/A, OFFSET(data!$A$1, ROW()-1, AA$1-1))</f>
        <v>0</v>
      </c>
      <c r="AB2099">
        <f t="shared" ca="1" si="393"/>
        <v>0</v>
      </c>
      <c r="AC2099" t="e">
        <f t="shared" ca="1" si="394"/>
        <v>#VALUE!</v>
      </c>
      <c r="AD2099" t="str">
        <f t="shared" ca="1" si="395"/>
        <v>0</v>
      </c>
      <c r="AE2099" t="str">
        <f t="shared" ca="1" si="396"/>
        <v/>
      </c>
      <c r="AF2099" s="6">
        <f t="shared" ca="1" si="397"/>
        <v>0</v>
      </c>
      <c r="AG2099">
        <f t="shared" ca="1" si="392"/>
        <v>0</v>
      </c>
      <c r="AH2099">
        <f t="shared" ca="1" si="398"/>
        <v>0</v>
      </c>
      <c r="AI2099">
        <f t="shared" ca="1" si="399"/>
        <v>0</v>
      </c>
      <c r="AJ2099">
        <f t="shared" ca="1" si="400"/>
        <v>0</v>
      </c>
      <c r="AK2099">
        <f t="shared" ca="1" si="401"/>
        <v>0</v>
      </c>
      <c r="AL2099">
        <f t="shared" ca="1" si="402"/>
        <v>0</v>
      </c>
    </row>
    <row r="2100" spans="1:38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#N/A, OFFSET(data!$A$1, ROW()-1, AA$1-1))</f>
        <v>0</v>
      </c>
      <c r="AB2100">
        <f t="shared" ca="1" si="393"/>
        <v>0</v>
      </c>
      <c r="AC2100" t="e">
        <f t="shared" ca="1" si="394"/>
        <v>#VALUE!</v>
      </c>
      <c r="AD2100" t="str">
        <f t="shared" ca="1" si="395"/>
        <v>0</v>
      </c>
      <c r="AE2100" t="str">
        <f t="shared" ca="1" si="396"/>
        <v/>
      </c>
      <c r="AF2100" s="6">
        <f t="shared" ca="1" si="397"/>
        <v>0</v>
      </c>
      <c r="AG2100">
        <f t="shared" ref="AG2100:AG2163" ca="1" si="403">T2100+W2100</f>
        <v>0</v>
      </c>
      <c r="AH2100">
        <f t="shared" ca="1" si="398"/>
        <v>0</v>
      </c>
      <c r="AI2100">
        <f t="shared" ca="1" si="399"/>
        <v>0</v>
      </c>
      <c r="AJ2100">
        <f t="shared" ca="1" si="400"/>
        <v>0</v>
      </c>
      <c r="AK2100">
        <f t="shared" ca="1" si="401"/>
        <v>0</v>
      </c>
      <c r="AL2100">
        <f t="shared" ca="1" si="402"/>
        <v>0</v>
      </c>
    </row>
    <row r="2101" spans="1:38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#N/A, OFFSET(data!$A$1, ROW()-1, AA$1-1))</f>
        <v>0</v>
      </c>
      <c r="AB2101">
        <f t="shared" ca="1" si="393"/>
        <v>0</v>
      </c>
      <c r="AC2101" t="e">
        <f t="shared" ca="1" si="394"/>
        <v>#VALUE!</v>
      </c>
      <c r="AD2101" t="str">
        <f t="shared" ca="1" si="395"/>
        <v>0</v>
      </c>
      <c r="AE2101" t="str">
        <f t="shared" ca="1" si="396"/>
        <v/>
      </c>
      <c r="AF2101" s="6">
        <f t="shared" ca="1" si="397"/>
        <v>0</v>
      </c>
      <c r="AG2101">
        <f t="shared" ca="1" si="403"/>
        <v>0</v>
      </c>
      <c r="AH2101">
        <f t="shared" ca="1" si="398"/>
        <v>0</v>
      </c>
      <c r="AI2101">
        <f t="shared" ca="1" si="399"/>
        <v>0</v>
      </c>
      <c r="AJ2101">
        <f t="shared" ca="1" si="400"/>
        <v>0</v>
      </c>
      <c r="AK2101">
        <f t="shared" ca="1" si="401"/>
        <v>0</v>
      </c>
      <c r="AL2101">
        <f t="shared" ca="1" si="402"/>
        <v>0</v>
      </c>
    </row>
    <row r="2102" spans="1:38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#N/A, OFFSET(data!$A$1, ROW()-1, AA$1-1))</f>
        <v>0</v>
      </c>
      <c r="AB2102">
        <f t="shared" ca="1" si="393"/>
        <v>0</v>
      </c>
      <c r="AC2102" t="e">
        <f t="shared" ca="1" si="394"/>
        <v>#VALUE!</v>
      </c>
      <c r="AD2102" t="str">
        <f t="shared" ca="1" si="395"/>
        <v>0</v>
      </c>
      <c r="AE2102" t="str">
        <f t="shared" ca="1" si="396"/>
        <v/>
      </c>
      <c r="AF2102" s="6">
        <f t="shared" ca="1" si="397"/>
        <v>0</v>
      </c>
      <c r="AG2102">
        <f t="shared" ca="1" si="403"/>
        <v>0</v>
      </c>
      <c r="AH2102">
        <f t="shared" ca="1" si="398"/>
        <v>0</v>
      </c>
      <c r="AI2102">
        <f t="shared" ca="1" si="399"/>
        <v>0</v>
      </c>
      <c r="AJ2102">
        <f t="shared" ca="1" si="400"/>
        <v>0</v>
      </c>
      <c r="AK2102">
        <f t="shared" ca="1" si="401"/>
        <v>0</v>
      </c>
      <c r="AL2102">
        <f t="shared" ca="1" si="402"/>
        <v>0</v>
      </c>
    </row>
    <row r="2103" spans="1:38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#N/A, OFFSET(data!$A$1, ROW()-1, AA$1-1))</f>
        <v>0</v>
      </c>
      <c r="AB2103">
        <f t="shared" ca="1" si="393"/>
        <v>0</v>
      </c>
      <c r="AC2103" t="e">
        <f t="shared" ca="1" si="394"/>
        <v>#VALUE!</v>
      </c>
      <c r="AD2103" t="str">
        <f t="shared" ca="1" si="395"/>
        <v>0</v>
      </c>
      <c r="AE2103" t="str">
        <f t="shared" ca="1" si="396"/>
        <v/>
      </c>
      <c r="AF2103" s="6">
        <f t="shared" ca="1" si="397"/>
        <v>0</v>
      </c>
      <c r="AG2103">
        <f t="shared" ca="1" si="403"/>
        <v>0</v>
      </c>
      <c r="AH2103">
        <f t="shared" ca="1" si="398"/>
        <v>0</v>
      </c>
      <c r="AI2103">
        <f t="shared" ca="1" si="399"/>
        <v>0</v>
      </c>
      <c r="AJ2103">
        <f t="shared" ca="1" si="400"/>
        <v>0</v>
      </c>
      <c r="AK2103">
        <f t="shared" ca="1" si="401"/>
        <v>0</v>
      </c>
      <c r="AL2103">
        <f t="shared" ca="1" si="402"/>
        <v>0</v>
      </c>
    </row>
    <row r="2104" spans="1:38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#N/A, OFFSET(data!$A$1, ROW()-1, AA$1-1))</f>
        <v>0</v>
      </c>
      <c r="AB2104">
        <f t="shared" ca="1" si="393"/>
        <v>0</v>
      </c>
      <c r="AC2104" t="e">
        <f t="shared" ca="1" si="394"/>
        <v>#VALUE!</v>
      </c>
      <c r="AD2104" t="str">
        <f t="shared" ca="1" si="395"/>
        <v>0</v>
      </c>
      <c r="AE2104" t="str">
        <f t="shared" ca="1" si="396"/>
        <v/>
      </c>
      <c r="AF2104" s="6">
        <f t="shared" ca="1" si="397"/>
        <v>0</v>
      </c>
      <c r="AG2104">
        <f t="shared" ca="1" si="403"/>
        <v>0</v>
      </c>
      <c r="AH2104">
        <f t="shared" ca="1" si="398"/>
        <v>0</v>
      </c>
      <c r="AI2104">
        <f t="shared" ca="1" si="399"/>
        <v>0</v>
      </c>
      <c r="AJ2104">
        <f t="shared" ca="1" si="400"/>
        <v>0</v>
      </c>
      <c r="AK2104">
        <f t="shared" ca="1" si="401"/>
        <v>0</v>
      </c>
      <c r="AL2104">
        <f t="shared" ca="1" si="402"/>
        <v>0</v>
      </c>
    </row>
    <row r="2105" spans="1:38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#N/A, OFFSET(data!$A$1, ROW()-1, AA$1-1))</f>
        <v>0</v>
      </c>
      <c r="AB2105">
        <f t="shared" ca="1" si="393"/>
        <v>0</v>
      </c>
      <c r="AC2105" t="e">
        <f t="shared" ca="1" si="394"/>
        <v>#VALUE!</v>
      </c>
      <c r="AD2105" t="str">
        <f t="shared" ca="1" si="395"/>
        <v>0</v>
      </c>
      <c r="AE2105" t="str">
        <f t="shared" ca="1" si="396"/>
        <v/>
      </c>
      <c r="AF2105" s="6">
        <f t="shared" ca="1" si="397"/>
        <v>0</v>
      </c>
      <c r="AG2105">
        <f t="shared" ca="1" si="403"/>
        <v>0</v>
      </c>
      <c r="AH2105">
        <f t="shared" ca="1" si="398"/>
        <v>0</v>
      </c>
      <c r="AI2105">
        <f t="shared" ca="1" si="399"/>
        <v>0</v>
      </c>
      <c r="AJ2105">
        <f t="shared" ca="1" si="400"/>
        <v>0</v>
      </c>
      <c r="AK2105">
        <f t="shared" ca="1" si="401"/>
        <v>0</v>
      </c>
      <c r="AL2105">
        <f t="shared" ca="1" si="402"/>
        <v>0</v>
      </c>
    </row>
    <row r="2106" spans="1:38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#N/A, OFFSET(data!$A$1, ROW()-1, AA$1-1))</f>
        <v>0</v>
      </c>
      <c r="AB2106">
        <f t="shared" ca="1" si="393"/>
        <v>0</v>
      </c>
      <c r="AC2106" t="e">
        <f t="shared" ca="1" si="394"/>
        <v>#VALUE!</v>
      </c>
      <c r="AD2106" t="str">
        <f t="shared" ca="1" si="395"/>
        <v>0</v>
      </c>
      <c r="AE2106" t="str">
        <f t="shared" ca="1" si="396"/>
        <v/>
      </c>
      <c r="AF2106" s="6">
        <f t="shared" ca="1" si="397"/>
        <v>0</v>
      </c>
      <c r="AG2106">
        <f t="shared" ca="1" si="403"/>
        <v>0</v>
      </c>
      <c r="AH2106">
        <f t="shared" ca="1" si="398"/>
        <v>0</v>
      </c>
      <c r="AI2106">
        <f t="shared" ca="1" si="399"/>
        <v>0</v>
      </c>
      <c r="AJ2106">
        <f t="shared" ca="1" si="400"/>
        <v>0</v>
      </c>
      <c r="AK2106">
        <f t="shared" ca="1" si="401"/>
        <v>0</v>
      </c>
      <c r="AL2106">
        <f t="shared" ca="1" si="402"/>
        <v>0</v>
      </c>
    </row>
    <row r="2107" spans="1:38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#N/A, OFFSET(data!$A$1, ROW()-1, AA$1-1))</f>
        <v>0</v>
      </c>
      <c r="AB2107">
        <f t="shared" ca="1" si="393"/>
        <v>0</v>
      </c>
      <c r="AC2107" t="e">
        <f t="shared" ca="1" si="394"/>
        <v>#VALUE!</v>
      </c>
      <c r="AD2107" t="str">
        <f t="shared" ca="1" si="395"/>
        <v>0</v>
      </c>
      <c r="AE2107" t="str">
        <f t="shared" ca="1" si="396"/>
        <v/>
      </c>
      <c r="AF2107" s="6">
        <f t="shared" ca="1" si="397"/>
        <v>0</v>
      </c>
      <c r="AG2107">
        <f t="shared" ca="1" si="403"/>
        <v>0</v>
      </c>
      <c r="AH2107">
        <f t="shared" ca="1" si="398"/>
        <v>0</v>
      </c>
      <c r="AI2107">
        <f t="shared" ca="1" si="399"/>
        <v>0</v>
      </c>
      <c r="AJ2107">
        <f t="shared" ca="1" si="400"/>
        <v>0</v>
      </c>
      <c r="AK2107">
        <f t="shared" ca="1" si="401"/>
        <v>0</v>
      </c>
      <c r="AL2107">
        <f t="shared" ca="1" si="402"/>
        <v>0</v>
      </c>
    </row>
    <row r="2108" spans="1:38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#N/A, OFFSET(data!$A$1, ROW()-1, AA$1-1))</f>
        <v>0</v>
      </c>
      <c r="AB2108">
        <f t="shared" ca="1" si="393"/>
        <v>0</v>
      </c>
      <c r="AC2108" t="e">
        <f t="shared" ca="1" si="394"/>
        <v>#VALUE!</v>
      </c>
      <c r="AD2108" t="str">
        <f t="shared" ca="1" si="395"/>
        <v>0</v>
      </c>
      <c r="AE2108" t="str">
        <f t="shared" ca="1" si="396"/>
        <v/>
      </c>
      <c r="AF2108" s="6">
        <f t="shared" ca="1" si="397"/>
        <v>0</v>
      </c>
      <c r="AG2108">
        <f t="shared" ca="1" si="403"/>
        <v>0</v>
      </c>
      <c r="AH2108">
        <f t="shared" ca="1" si="398"/>
        <v>0</v>
      </c>
      <c r="AI2108">
        <f t="shared" ca="1" si="399"/>
        <v>0</v>
      </c>
      <c r="AJ2108">
        <f t="shared" ca="1" si="400"/>
        <v>0</v>
      </c>
      <c r="AK2108">
        <f t="shared" ca="1" si="401"/>
        <v>0</v>
      </c>
      <c r="AL2108">
        <f t="shared" ca="1" si="402"/>
        <v>0</v>
      </c>
    </row>
    <row r="2109" spans="1:38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#N/A, OFFSET(data!$A$1, ROW()-1, AA$1-1))</f>
        <v>0</v>
      </c>
      <c r="AB2109">
        <f t="shared" ca="1" si="393"/>
        <v>0</v>
      </c>
      <c r="AC2109" t="e">
        <f t="shared" ca="1" si="394"/>
        <v>#VALUE!</v>
      </c>
      <c r="AD2109" t="str">
        <f t="shared" ca="1" si="395"/>
        <v>0</v>
      </c>
      <c r="AE2109" t="str">
        <f t="shared" ca="1" si="396"/>
        <v/>
      </c>
      <c r="AF2109" s="6">
        <f t="shared" ca="1" si="397"/>
        <v>0</v>
      </c>
      <c r="AG2109">
        <f t="shared" ca="1" si="403"/>
        <v>0</v>
      </c>
      <c r="AH2109">
        <f t="shared" ca="1" si="398"/>
        <v>0</v>
      </c>
      <c r="AI2109">
        <f t="shared" ca="1" si="399"/>
        <v>0</v>
      </c>
      <c r="AJ2109">
        <f t="shared" ca="1" si="400"/>
        <v>0</v>
      </c>
      <c r="AK2109">
        <f t="shared" ca="1" si="401"/>
        <v>0</v>
      </c>
      <c r="AL2109">
        <f t="shared" ca="1" si="402"/>
        <v>0</v>
      </c>
    </row>
    <row r="2110" spans="1:38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#N/A, OFFSET(data!$A$1, ROW()-1, AA$1-1))</f>
        <v>0</v>
      </c>
      <c r="AB2110">
        <f t="shared" ca="1" si="393"/>
        <v>0</v>
      </c>
      <c r="AC2110" t="e">
        <f t="shared" ca="1" si="394"/>
        <v>#VALUE!</v>
      </c>
      <c r="AD2110" t="str">
        <f t="shared" ca="1" si="395"/>
        <v>0</v>
      </c>
      <c r="AE2110" t="str">
        <f t="shared" ca="1" si="396"/>
        <v/>
      </c>
      <c r="AF2110" s="6">
        <f t="shared" ca="1" si="397"/>
        <v>0</v>
      </c>
      <c r="AG2110">
        <f t="shared" ca="1" si="403"/>
        <v>0</v>
      </c>
      <c r="AH2110">
        <f t="shared" ca="1" si="398"/>
        <v>0</v>
      </c>
      <c r="AI2110">
        <f t="shared" ca="1" si="399"/>
        <v>0</v>
      </c>
      <c r="AJ2110">
        <f t="shared" ca="1" si="400"/>
        <v>0</v>
      </c>
      <c r="AK2110">
        <f t="shared" ca="1" si="401"/>
        <v>0</v>
      </c>
      <c r="AL2110">
        <f t="shared" ca="1" si="402"/>
        <v>0</v>
      </c>
    </row>
    <row r="2111" spans="1:38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#N/A, OFFSET(data!$A$1, ROW()-1, AA$1-1))</f>
        <v>0</v>
      </c>
      <c r="AB2111">
        <f t="shared" ca="1" si="393"/>
        <v>0</v>
      </c>
      <c r="AC2111" t="e">
        <f t="shared" ca="1" si="394"/>
        <v>#VALUE!</v>
      </c>
      <c r="AD2111" t="str">
        <f t="shared" ca="1" si="395"/>
        <v>0</v>
      </c>
      <c r="AE2111" t="str">
        <f t="shared" ca="1" si="396"/>
        <v/>
      </c>
      <c r="AF2111" s="6">
        <f t="shared" ca="1" si="397"/>
        <v>0</v>
      </c>
      <c r="AG2111">
        <f t="shared" ca="1" si="403"/>
        <v>0</v>
      </c>
      <c r="AH2111">
        <f t="shared" ca="1" si="398"/>
        <v>0</v>
      </c>
      <c r="AI2111">
        <f t="shared" ca="1" si="399"/>
        <v>0</v>
      </c>
      <c r="AJ2111">
        <f t="shared" ca="1" si="400"/>
        <v>0</v>
      </c>
      <c r="AK2111">
        <f t="shared" ca="1" si="401"/>
        <v>0</v>
      </c>
      <c r="AL2111">
        <f t="shared" ca="1" si="402"/>
        <v>0</v>
      </c>
    </row>
    <row r="2112" spans="1:38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#N/A, OFFSET(data!$A$1, ROW()-1, AA$1-1))</f>
        <v>0</v>
      </c>
      <c r="AB2112">
        <f t="shared" ca="1" si="393"/>
        <v>0</v>
      </c>
      <c r="AC2112" t="e">
        <f t="shared" ca="1" si="394"/>
        <v>#VALUE!</v>
      </c>
      <c r="AD2112" t="str">
        <f t="shared" ca="1" si="395"/>
        <v>0</v>
      </c>
      <c r="AE2112" t="str">
        <f t="shared" ca="1" si="396"/>
        <v/>
      </c>
      <c r="AF2112" s="6">
        <f t="shared" ca="1" si="397"/>
        <v>0</v>
      </c>
      <c r="AG2112">
        <f t="shared" ca="1" si="403"/>
        <v>0</v>
      </c>
      <c r="AH2112">
        <f t="shared" ca="1" si="398"/>
        <v>0</v>
      </c>
      <c r="AI2112">
        <f t="shared" ca="1" si="399"/>
        <v>0</v>
      </c>
      <c r="AJ2112">
        <f t="shared" ca="1" si="400"/>
        <v>0</v>
      </c>
      <c r="AK2112">
        <f t="shared" ca="1" si="401"/>
        <v>0</v>
      </c>
      <c r="AL2112">
        <f t="shared" ca="1" si="402"/>
        <v>0</v>
      </c>
    </row>
    <row r="2113" spans="1:38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#N/A, OFFSET(data!$A$1, ROW()-1, AA$1-1))</f>
        <v>0</v>
      </c>
      <c r="AB2113">
        <f t="shared" ca="1" si="393"/>
        <v>0</v>
      </c>
      <c r="AC2113" t="e">
        <f t="shared" ca="1" si="394"/>
        <v>#VALUE!</v>
      </c>
      <c r="AD2113" t="str">
        <f t="shared" ca="1" si="395"/>
        <v>0</v>
      </c>
      <c r="AE2113" t="str">
        <f t="shared" ca="1" si="396"/>
        <v/>
      </c>
      <c r="AF2113" s="6">
        <f t="shared" ca="1" si="397"/>
        <v>0</v>
      </c>
      <c r="AG2113">
        <f t="shared" ca="1" si="403"/>
        <v>0</v>
      </c>
      <c r="AH2113">
        <f t="shared" ca="1" si="398"/>
        <v>0</v>
      </c>
      <c r="AI2113">
        <f t="shared" ca="1" si="399"/>
        <v>0</v>
      </c>
      <c r="AJ2113">
        <f t="shared" ca="1" si="400"/>
        <v>0</v>
      </c>
      <c r="AK2113">
        <f t="shared" ca="1" si="401"/>
        <v>0</v>
      </c>
      <c r="AL2113">
        <f t="shared" ca="1" si="402"/>
        <v>0</v>
      </c>
    </row>
    <row r="2114" spans="1:38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#N/A, OFFSET(data!$A$1, ROW()-1, AA$1-1))</f>
        <v>0</v>
      </c>
      <c r="AB2114">
        <f t="shared" ca="1" si="393"/>
        <v>0</v>
      </c>
      <c r="AC2114" t="e">
        <f t="shared" ca="1" si="394"/>
        <v>#VALUE!</v>
      </c>
      <c r="AD2114" t="str">
        <f t="shared" ca="1" si="395"/>
        <v>0</v>
      </c>
      <c r="AE2114" t="str">
        <f t="shared" ca="1" si="396"/>
        <v/>
      </c>
      <c r="AF2114" s="6">
        <f t="shared" ca="1" si="397"/>
        <v>0</v>
      </c>
      <c r="AG2114">
        <f t="shared" ca="1" si="403"/>
        <v>0</v>
      </c>
      <c r="AH2114">
        <f t="shared" ca="1" si="398"/>
        <v>0</v>
      </c>
      <c r="AI2114">
        <f t="shared" ca="1" si="399"/>
        <v>0</v>
      </c>
      <c r="AJ2114">
        <f t="shared" ca="1" si="400"/>
        <v>0</v>
      </c>
      <c r="AK2114">
        <f t="shared" ca="1" si="401"/>
        <v>0</v>
      </c>
      <c r="AL2114">
        <f t="shared" ca="1" si="402"/>
        <v>0</v>
      </c>
    </row>
    <row r="2115" spans="1:38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#N/A, OFFSET(data!$A$1, ROW()-1, AA$1-1))</f>
        <v>0</v>
      </c>
      <c r="AB2115">
        <f t="shared" ref="AB2115:AB2178" ca="1" si="404">VALUE(LEFT(C2115, 4))</f>
        <v>0</v>
      </c>
      <c r="AC2115" t="e">
        <f t="shared" ref="AC2115:AC2178" ca="1" si="405">VALUE(MID(C2115, 6, 2))</f>
        <v>#VALUE!</v>
      </c>
      <c r="AD2115" t="str">
        <f t="shared" ref="AD2115:AD2178" ca="1" si="406">SUBSTITUTE(MID(C2115,6,6)&amp;LEFT(C2115,4), "-", "/")</f>
        <v>0</v>
      </c>
      <c r="AE2115" t="str">
        <f t="shared" ref="AE2115:AE2178" ca="1" si="407">IF(RIGHT(C2115, 5)="12:00", AD2115, "")</f>
        <v/>
      </c>
      <c r="AF2115" s="6">
        <f t="shared" ref="AF2115:AF2178" ca="1" si="408">Z2115/1000</f>
        <v>0</v>
      </c>
      <c r="AG2115">
        <f t="shared" ca="1" si="403"/>
        <v>0</v>
      </c>
      <c r="AH2115">
        <f t="shared" ca="1" si="398"/>
        <v>0</v>
      </c>
      <c r="AI2115">
        <f t="shared" ca="1" si="399"/>
        <v>0</v>
      </c>
      <c r="AJ2115">
        <f t="shared" ca="1" si="400"/>
        <v>0</v>
      </c>
      <c r="AK2115">
        <f t="shared" ca="1" si="401"/>
        <v>0</v>
      </c>
      <c r="AL2115">
        <f t="shared" ca="1" si="402"/>
        <v>0</v>
      </c>
    </row>
    <row r="2116" spans="1:38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#N/A, OFFSET(data!$A$1, ROW()-1, AA$1-1))</f>
        <v>0</v>
      </c>
      <c r="AB2116">
        <f t="shared" ca="1" si="404"/>
        <v>0</v>
      </c>
      <c r="AC2116" t="e">
        <f t="shared" ca="1" si="405"/>
        <v>#VALUE!</v>
      </c>
      <c r="AD2116" t="str">
        <f t="shared" ca="1" si="406"/>
        <v>0</v>
      </c>
      <c r="AE2116" t="str">
        <f t="shared" ca="1" si="407"/>
        <v/>
      </c>
      <c r="AF2116" s="6">
        <f t="shared" ca="1" si="408"/>
        <v>0</v>
      </c>
      <c r="AG2116">
        <f t="shared" ca="1" si="403"/>
        <v>0</v>
      </c>
      <c r="AH2116">
        <f t="shared" ref="AH2116:AH2179" ca="1" si="409">MAX(S2116,Y2116)</f>
        <v>0</v>
      </c>
      <c r="AI2116">
        <f t="shared" ref="AI2116:AI2179" ca="1" si="410">MAX(R2116,V2116)</f>
        <v>0</v>
      </c>
      <c r="AJ2116">
        <f t="shared" ref="AJ2116:AJ2179" ca="1" si="411">K2116+N2116</f>
        <v>0</v>
      </c>
      <c r="AK2116">
        <f t="shared" ref="AK2116:AK2179" ca="1" si="412">L2116+O2116</f>
        <v>0</v>
      </c>
      <c r="AL2116">
        <f t="shared" ref="AL2116:AL2179" ca="1" si="413">M2116+P2116</f>
        <v>0</v>
      </c>
    </row>
    <row r="2117" spans="1:38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#N/A, OFFSET(data!$A$1, ROW()-1, AA$1-1))</f>
        <v>0</v>
      </c>
      <c r="AB2117">
        <f t="shared" ca="1" si="404"/>
        <v>0</v>
      </c>
      <c r="AC2117" t="e">
        <f t="shared" ca="1" si="405"/>
        <v>#VALUE!</v>
      </c>
      <c r="AD2117" t="str">
        <f t="shared" ca="1" si="406"/>
        <v>0</v>
      </c>
      <c r="AE2117" t="str">
        <f t="shared" ca="1" si="407"/>
        <v/>
      </c>
      <c r="AF2117" s="6">
        <f t="shared" ca="1" si="408"/>
        <v>0</v>
      </c>
      <c r="AG2117">
        <f t="shared" ca="1" si="403"/>
        <v>0</v>
      </c>
      <c r="AH2117">
        <f t="shared" ca="1" si="409"/>
        <v>0</v>
      </c>
      <c r="AI2117">
        <f t="shared" ca="1" si="410"/>
        <v>0</v>
      </c>
      <c r="AJ2117">
        <f t="shared" ca="1" si="411"/>
        <v>0</v>
      </c>
      <c r="AK2117">
        <f t="shared" ca="1" si="412"/>
        <v>0</v>
      </c>
      <c r="AL2117">
        <f t="shared" ca="1" si="413"/>
        <v>0</v>
      </c>
    </row>
    <row r="2118" spans="1:38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#N/A, OFFSET(data!$A$1, ROW()-1, AA$1-1))</f>
        <v>0</v>
      </c>
      <c r="AB2118">
        <f t="shared" ca="1" si="404"/>
        <v>0</v>
      </c>
      <c r="AC2118" t="e">
        <f t="shared" ca="1" si="405"/>
        <v>#VALUE!</v>
      </c>
      <c r="AD2118" t="str">
        <f t="shared" ca="1" si="406"/>
        <v>0</v>
      </c>
      <c r="AE2118" t="str">
        <f t="shared" ca="1" si="407"/>
        <v/>
      </c>
      <c r="AF2118" s="6">
        <f t="shared" ca="1" si="408"/>
        <v>0</v>
      </c>
      <c r="AG2118">
        <f t="shared" ca="1" si="403"/>
        <v>0</v>
      </c>
      <c r="AH2118">
        <f t="shared" ca="1" si="409"/>
        <v>0</v>
      </c>
      <c r="AI2118">
        <f t="shared" ca="1" si="410"/>
        <v>0</v>
      </c>
      <c r="AJ2118">
        <f t="shared" ca="1" si="411"/>
        <v>0</v>
      </c>
      <c r="AK2118">
        <f t="shared" ca="1" si="412"/>
        <v>0</v>
      </c>
      <c r="AL2118">
        <f t="shared" ca="1" si="413"/>
        <v>0</v>
      </c>
    </row>
    <row r="2119" spans="1:38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#N/A, OFFSET(data!$A$1, ROW()-1, AA$1-1))</f>
        <v>0</v>
      </c>
      <c r="AB2119">
        <f t="shared" ca="1" si="404"/>
        <v>0</v>
      </c>
      <c r="AC2119" t="e">
        <f t="shared" ca="1" si="405"/>
        <v>#VALUE!</v>
      </c>
      <c r="AD2119" t="str">
        <f t="shared" ca="1" si="406"/>
        <v>0</v>
      </c>
      <c r="AE2119" t="str">
        <f t="shared" ca="1" si="407"/>
        <v/>
      </c>
      <c r="AF2119" s="6">
        <f t="shared" ca="1" si="408"/>
        <v>0</v>
      </c>
      <c r="AG2119">
        <f t="shared" ca="1" si="403"/>
        <v>0</v>
      </c>
      <c r="AH2119">
        <f t="shared" ca="1" si="409"/>
        <v>0</v>
      </c>
      <c r="AI2119">
        <f t="shared" ca="1" si="410"/>
        <v>0</v>
      </c>
      <c r="AJ2119">
        <f t="shared" ca="1" si="411"/>
        <v>0</v>
      </c>
      <c r="AK2119">
        <f t="shared" ca="1" si="412"/>
        <v>0</v>
      </c>
      <c r="AL2119">
        <f t="shared" ca="1" si="413"/>
        <v>0</v>
      </c>
    </row>
    <row r="2120" spans="1:38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#N/A, OFFSET(data!$A$1, ROW()-1, AA$1-1))</f>
        <v>0</v>
      </c>
      <c r="AB2120">
        <f t="shared" ca="1" si="404"/>
        <v>0</v>
      </c>
      <c r="AC2120" t="e">
        <f t="shared" ca="1" si="405"/>
        <v>#VALUE!</v>
      </c>
      <c r="AD2120" t="str">
        <f t="shared" ca="1" si="406"/>
        <v>0</v>
      </c>
      <c r="AE2120" t="str">
        <f t="shared" ca="1" si="407"/>
        <v/>
      </c>
      <c r="AF2120" s="6">
        <f t="shared" ca="1" si="408"/>
        <v>0</v>
      </c>
      <c r="AG2120">
        <f t="shared" ca="1" si="403"/>
        <v>0</v>
      </c>
      <c r="AH2120">
        <f t="shared" ca="1" si="409"/>
        <v>0</v>
      </c>
      <c r="AI2120">
        <f t="shared" ca="1" si="410"/>
        <v>0</v>
      </c>
      <c r="AJ2120">
        <f t="shared" ca="1" si="411"/>
        <v>0</v>
      </c>
      <c r="AK2120">
        <f t="shared" ca="1" si="412"/>
        <v>0</v>
      </c>
      <c r="AL2120">
        <f t="shared" ca="1" si="413"/>
        <v>0</v>
      </c>
    </row>
    <row r="2121" spans="1:38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#N/A, OFFSET(data!$A$1, ROW()-1, AA$1-1))</f>
        <v>0</v>
      </c>
      <c r="AB2121">
        <f t="shared" ca="1" si="404"/>
        <v>0</v>
      </c>
      <c r="AC2121" t="e">
        <f t="shared" ca="1" si="405"/>
        <v>#VALUE!</v>
      </c>
      <c r="AD2121" t="str">
        <f t="shared" ca="1" si="406"/>
        <v>0</v>
      </c>
      <c r="AE2121" t="str">
        <f t="shared" ca="1" si="407"/>
        <v/>
      </c>
      <c r="AF2121" s="6">
        <f t="shared" ca="1" si="408"/>
        <v>0</v>
      </c>
      <c r="AG2121">
        <f t="shared" ca="1" si="403"/>
        <v>0</v>
      </c>
      <c r="AH2121">
        <f t="shared" ca="1" si="409"/>
        <v>0</v>
      </c>
      <c r="AI2121">
        <f t="shared" ca="1" si="410"/>
        <v>0</v>
      </c>
      <c r="AJ2121">
        <f t="shared" ca="1" si="411"/>
        <v>0</v>
      </c>
      <c r="AK2121">
        <f t="shared" ca="1" si="412"/>
        <v>0</v>
      </c>
      <c r="AL2121">
        <f t="shared" ca="1" si="413"/>
        <v>0</v>
      </c>
    </row>
    <row r="2122" spans="1:38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#N/A, OFFSET(data!$A$1, ROW()-1, AA$1-1))</f>
        <v>0</v>
      </c>
      <c r="AB2122">
        <f t="shared" ca="1" si="404"/>
        <v>0</v>
      </c>
      <c r="AC2122" t="e">
        <f t="shared" ca="1" si="405"/>
        <v>#VALUE!</v>
      </c>
      <c r="AD2122" t="str">
        <f t="shared" ca="1" si="406"/>
        <v>0</v>
      </c>
      <c r="AE2122" t="str">
        <f t="shared" ca="1" si="407"/>
        <v/>
      </c>
      <c r="AF2122" s="6">
        <f t="shared" ca="1" si="408"/>
        <v>0</v>
      </c>
      <c r="AG2122">
        <f t="shared" ca="1" si="403"/>
        <v>0</v>
      </c>
      <c r="AH2122">
        <f t="shared" ca="1" si="409"/>
        <v>0</v>
      </c>
      <c r="AI2122">
        <f t="shared" ca="1" si="410"/>
        <v>0</v>
      </c>
      <c r="AJ2122">
        <f t="shared" ca="1" si="411"/>
        <v>0</v>
      </c>
      <c r="AK2122">
        <f t="shared" ca="1" si="412"/>
        <v>0</v>
      </c>
      <c r="AL2122">
        <f t="shared" ca="1" si="413"/>
        <v>0</v>
      </c>
    </row>
    <row r="2123" spans="1:38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#N/A, OFFSET(data!$A$1, ROW()-1, AA$1-1))</f>
        <v>0</v>
      </c>
      <c r="AB2123">
        <f t="shared" ca="1" si="404"/>
        <v>0</v>
      </c>
      <c r="AC2123" t="e">
        <f t="shared" ca="1" si="405"/>
        <v>#VALUE!</v>
      </c>
      <c r="AD2123" t="str">
        <f t="shared" ca="1" si="406"/>
        <v>0</v>
      </c>
      <c r="AE2123" t="str">
        <f t="shared" ca="1" si="407"/>
        <v/>
      </c>
      <c r="AF2123" s="6">
        <f t="shared" ca="1" si="408"/>
        <v>0</v>
      </c>
      <c r="AG2123">
        <f t="shared" ca="1" si="403"/>
        <v>0</v>
      </c>
      <c r="AH2123">
        <f t="shared" ca="1" si="409"/>
        <v>0</v>
      </c>
      <c r="AI2123">
        <f t="shared" ca="1" si="410"/>
        <v>0</v>
      </c>
      <c r="AJ2123">
        <f t="shared" ca="1" si="411"/>
        <v>0</v>
      </c>
      <c r="AK2123">
        <f t="shared" ca="1" si="412"/>
        <v>0</v>
      </c>
      <c r="AL2123">
        <f t="shared" ca="1" si="413"/>
        <v>0</v>
      </c>
    </row>
    <row r="2124" spans="1:38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#N/A, OFFSET(data!$A$1, ROW()-1, AA$1-1))</f>
        <v>0</v>
      </c>
      <c r="AB2124">
        <f t="shared" ca="1" si="404"/>
        <v>0</v>
      </c>
      <c r="AC2124" t="e">
        <f t="shared" ca="1" si="405"/>
        <v>#VALUE!</v>
      </c>
      <c r="AD2124" t="str">
        <f t="shared" ca="1" si="406"/>
        <v>0</v>
      </c>
      <c r="AE2124" t="str">
        <f t="shared" ca="1" si="407"/>
        <v/>
      </c>
      <c r="AF2124" s="6">
        <f t="shared" ca="1" si="408"/>
        <v>0</v>
      </c>
      <c r="AG2124">
        <f t="shared" ca="1" si="403"/>
        <v>0</v>
      </c>
      <c r="AH2124">
        <f t="shared" ca="1" si="409"/>
        <v>0</v>
      </c>
      <c r="AI2124">
        <f t="shared" ca="1" si="410"/>
        <v>0</v>
      </c>
      <c r="AJ2124">
        <f t="shared" ca="1" si="411"/>
        <v>0</v>
      </c>
      <c r="AK2124">
        <f t="shared" ca="1" si="412"/>
        <v>0</v>
      </c>
      <c r="AL2124">
        <f t="shared" ca="1" si="413"/>
        <v>0</v>
      </c>
    </row>
    <row r="2125" spans="1:38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#N/A, OFFSET(data!$A$1, ROW()-1, AA$1-1))</f>
        <v>0</v>
      </c>
      <c r="AB2125">
        <f t="shared" ca="1" si="404"/>
        <v>0</v>
      </c>
      <c r="AC2125" t="e">
        <f t="shared" ca="1" si="405"/>
        <v>#VALUE!</v>
      </c>
      <c r="AD2125" t="str">
        <f t="shared" ca="1" si="406"/>
        <v>0</v>
      </c>
      <c r="AE2125" t="str">
        <f t="shared" ca="1" si="407"/>
        <v/>
      </c>
      <c r="AF2125" s="6">
        <f t="shared" ca="1" si="408"/>
        <v>0</v>
      </c>
      <c r="AG2125">
        <f t="shared" ca="1" si="403"/>
        <v>0</v>
      </c>
      <c r="AH2125">
        <f t="shared" ca="1" si="409"/>
        <v>0</v>
      </c>
      <c r="AI2125">
        <f t="shared" ca="1" si="410"/>
        <v>0</v>
      </c>
      <c r="AJ2125">
        <f t="shared" ca="1" si="411"/>
        <v>0</v>
      </c>
      <c r="AK2125">
        <f t="shared" ca="1" si="412"/>
        <v>0</v>
      </c>
      <c r="AL2125">
        <f t="shared" ca="1" si="413"/>
        <v>0</v>
      </c>
    </row>
    <row r="2126" spans="1:38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#N/A, OFFSET(data!$A$1, ROW()-1, AA$1-1))</f>
        <v>0</v>
      </c>
      <c r="AB2126">
        <f t="shared" ca="1" si="404"/>
        <v>0</v>
      </c>
      <c r="AC2126" t="e">
        <f t="shared" ca="1" si="405"/>
        <v>#VALUE!</v>
      </c>
      <c r="AD2126" t="str">
        <f t="shared" ca="1" si="406"/>
        <v>0</v>
      </c>
      <c r="AE2126" t="str">
        <f t="shared" ca="1" si="407"/>
        <v/>
      </c>
      <c r="AF2126" s="6">
        <f t="shared" ca="1" si="408"/>
        <v>0</v>
      </c>
      <c r="AG2126">
        <f t="shared" ca="1" si="403"/>
        <v>0</v>
      </c>
      <c r="AH2126">
        <f t="shared" ca="1" si="409"/>
        <v>0</v>
      </c>
      <c r="AI2126">
        <f t="shared" ca="1" si="410"/>
        <v>0</v>
      </c>
      <c r="AJ2126">
        <f t="shared" ca="1" si="411"/>
        <v>0</v>
      </c>
      <c r="AK2126">
        <f t="shared" ca="1" si="412"/>
        <v>0</v>
      </c>
      <c r="AL2126">
        <f t="shared" ca="1" si="413"/>
        <v>0</v>
      </c>
    </row>
    <row r="2127" spans="1:38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#N/A, OFFSET(data!$A$1, ROW()-1, AA$1-1))</f>
        <v>0</v>
      </c>
      <c r="AB2127">
        <f t="shared" ca="1" si="404"/>
        <v>0</v>
      </c>
      <c r="AC2127" t="e">
        <f t="shared" ca="1" si="405"/>
        <v>#VALUE!</v>
      </c>
      <c r="AD2127" t="str">
        <f t="shared" ca="1" si="406"/>
        <v>0</v>
      </c>
      <c r="AE2127" t="str">
        <f t="shared" ca="1" si="407"/>
        <v/>
      </c>
      <c r="AF2127" s="6">
        <f t="shared" ca="1" si="408"/>
        <v>0</v>
      </c>
      <c r="AG2127">
        <f t="shared" ca="1" si="403"/>
        <v>0</v>
      </c>
      <c r="AH2127">
        <f t="shared" ca="1" si="409"/>
        <v>0</v>
      </c>
      <c r="AI2127">
        <f t="shared" ca="1" si="410"/>
        <v>0</v>
      </c>
      <c r="AJ2127">
        <f t="shared" ca="1" si="411"/>
        <v>0</v>
      </c>
      <c r="AK2127">
        <f t="shared" ca="1" si="412"/>
        <v>0</v>
      </c>
      <c r="AL2127">
        <f t="shared" ca="1" si="413"/>
        <v>0</v>
      </c>
    </row>
    <row r="2128" spans="1:38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#N/A, OFFSET(data!$A$1, ROW()-1, AA$1-1))</f>
        <v>0</v>
      </c>
      <c r="AB2128">
        <f t="shared" ca="1" si="404"/>
        <v>0</v>
      </c>
      <c r="AC2128" t="e">
        <f t="shared" ca="1" si="405"/>
        <v>#VALUE!</v>
      </c>
      <c r="AD2128" t="str">
        <f t="shared" ca="1" si="406"/>
        <v>0</v>
      </c>
      <c r="AE2128" t="str">
        <f t="shared" ca="1" si="407"/>
        <v/>
      </c>
      <c r="AF2128" s="6">
        <f t="shared" ca="1" si="408"/>
        <v>0</v>
      </c>
      <c r="AG2128">
        <f t="shared" ca="1" si="403"/>
        <v>0</v>
      </c>
      <c r="AH2128">
        <f t="shared" ca="1" si="409"/>
        <v>0</v>
      </c>
      <c r="AI2128">
        <f t="shared" ca="1" si="410"/>
        <v>0</v>
      </c>
      <c r="AJ2128">
        <f t="shared" ca="1" si="411"/>
        <v>0</v>
      </c>
      <c r="AK2128">
        <f t="shared" ca="1" si="412"/>
        <v>0</v>
      </c>
      <c r="AL2128">
        <f t="shared" ca="1" si="413"/>
        <v>0</v>
      </c>
    </row>
    <row r="2129" spans="1:38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#N/A, OFFSET(data!$A$1, ROW()-1, AA$1-1))</f>
        <v>0</v>
      </c>
      <c r="AB2129">
        <f t="shared" ca="1" si="404"/>
        <v>0</v>
      </c>
      <c r="AC2129" t="e">
        <f t="shared" ca="1" si="405"/>
        <v>#VALUE!</v>
      </c>
      <c r="AD2129" t="str">
        <f t="shared" ca="1" si="406"/>
        <v>0</v>
      </c>
      <c r="AE2129" t="str">
        <f t="shared" ca="1" si="407"/>
        <v/>
      </c>
      <c r="AF2129" s="6">
        <f t="shared" ca="1" si="408"/>
        <v>0</v>
      </c>
      <c r="AG2129">
        <f t="shared" ca="1" si="403"/>
        <v>0</v>
      </c>
      <c r="AH2129">
        <f t="shared" ca="1" si="409"/>
        <v>0</v>
      </c>
      <c r="AI2129">
        <f t="shared" ca="1" si="410"/>
        <v>0</v>
      </c>
      <c r="AJ2129">
        <f t="shared" ca="1" si="411"/>
        <v>0</v>
      </c>
      <c r="AK2129">
        <f t="shared" ca="1" si="412"/>
        <v>0</v>
      </c>
      <c r="AL2129">
        <f t="shared" ca="1" si="413"/>
        <v>0</v>
      </c>
    </row>
    <row r="2130" spans="1:38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#N/A, OFFSET(data!$A$1, ROW()-1, AA$1-1))</f>
        <v>0</v>
      </c>
      <c r="AB2130">
        <f t="shared" ca="1" si="404"/>
        <v>0</v>
      </c>
      <c r="AC2130" t="e">
        <f t="shared" ca="1" si="405"/>
        <v>#VALUE!</v>
      </c>
      <c r="AD2130" t="str">
        <f t="shared" ca="1" si="406"/>
        <v>0</v>
      </c>
      <c r="AE2130" t="str">
        <f t="shared" ca="1" si="407"/>
        <v/>
      </c>
      <c r="AF2130" s="6">
        <f t="shared" ca="1" si="408"/>
        <v>0</v>
      </c>
      <c r="AG2130">
        <f t="shared" ca="1" si="403"/>
        <v>0</v>
      </c>
      <c r="AH2130">
        <f t="shared" ca="1" si="409"/>
        <v>0</v>
      </c>
      <c r="AI2130">
        <f t="shared" ca="1" si="410"/>
        <v>0</v>
      </c>
      <c r="AJ2130">
        <f t="shared" ca="1" si="411"/>
        <v>0</v>
      </c>
      <c r="AK2130">
        <f t="shared" ca="1" si="412"/>
        <v>0</v>
      </c>
      <c r="AL2130">
        <f t="shared" ca="1" si="413"/>
        <v>0</v>
      </c>
    </row>
    <row r="2131" spans="1:38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#N/A, OFFSET(data!$A$1, ROW()-1, AA$1-1))</f>
        <v>0</v>
      </c>
      <c r="AB2131">
        <f t="shared" ca="1" si="404"/>
        <v>0</v>
      </c>
      <c r="AC2131" t="e">
        <f t="shared" ca="1" si="405"/>
        <v>#VALUE!</v>
      </c>
      <c r="AD2131" t="str">
        <f t="shared" ca="1" si="406"/>
        <v>0</v>
      </c>
      <c r="AE2131" t="str">
        <f t="shared" ca="1" si="407"/>
        <v/>
      </c>
      <c r="AF2131" s="6">
        <f t="shared" ca="1" si="408"/>
        <v>0</v>
      </c>
      <c r="AG2131">
        <f t="shared" ca="1" si="403"/>
        <v>0</v>
      </c>
      <c r="AH2131">
        <f t="shared" ca="1" si="409"/>
        <v>0</v>
      </c>
      <c r="AI2131">
        <f t="shared" ca="1" si="410"/>
        <v>0</v>
      </c>
      <c r="AJ2131">
        <f t="shared" ca="1" si="411"/>
        <v>0</v>
      </c>
      <c r="AK2131">
        <f t="shared" ca="1" si="412"/>
        <v>0</v>
      </c>
      <c r="AL2131">
        <f t="shared" ca="1" si="413"/>
        <v>0</v>
      </c>
    </row>
    <row r="2132" spans="1:38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#N/A, OFFSET(data!$A$1, ROW()-1, AA$1-1))</f>
        <v>0</v>
      </c>
      <c r="AB2132">
        <f t="shared" ca="1" si="404"/>
        <v>0</v>
      </c>
      <c r="AC2132" t="e">
        <f t="shared" ca="1" si="405"/>
        <v>#VALUE!</v>
      </c>
      <c r="AD2132" t="str">
        <f t="shared" ca="1" si="406"/>
        <v>0</v>
      </c>
      <c r="AE2132" t="str">
        <f t="shared" ca="1" si="407"/>
        <v/>
      </c>
      <c r="AF2132" s="6">
        <f t="shared" ca="1" si="408"/>
        <v>0</v>
      </c>
      <c r="AG2132">
        <f t="shared" ca="1" si="403"/>
        <v>0</v>
      </c>
      <c r="AH2132">
        <f t="shared" ca="1" si="409"/>
        <v>0</v>
      </c>
      <c r="AI2132">
        <f t="shared" ca="1" si="410"/>
        <v>0</v>
      </c>
      <c r="AJ2132">
        <f t="shared" ca="1" si="411"/>
        <v>0</v>
      </c>
      <c r="AK2132">
        <f t="shared" ca="1" si="412"/>
        <v>0</v>
      </c>
      <c r="AL2132">
        <f t="shared" ca="1" si="413"/>
        <v>0</v>
      </c>
    </row>
    <row r="2133" spans="1:38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#N/A, OFFSET(data!$A$1, ROW()-1, AA$1-1))</f>
        <v>0</v>
      </c>
      <c r="AB2133">
        <f t="shared" ca="1" si="404"/>
        <v>0</v>
      </c>
      <c r="AC2133" t="e">
        <f t="shared" ca="1" si="405"/>
        <v>#VALUE!</v>
      </c>
      <c r="AD2133" t="str">
        <f t="shared" ca="1" si="406"/>
        <v>0</v>
      </c>
      <c r="AE2133" t="str">
        <f t="shared" ca="1" si="407"/>
        <v/>
      </c>
      <c r="AF2133" s="6">
        <f t="shared" ca="1" si="408"/>
        <v>0</v>
      </c>
      <c r="AG2133">
        <f t="shared" ca="1" si="403"/>
        <v>0</v>
      </c>
      <c r="AH2133">
        <f t="shared" ca="1" si="409"/>
        <v>0</v>
      </c>
      <c r="AI2133">
        <f t="shared" ca="1" si="410"/>
        <v>0</v>
      </c>
      <c r="AJ2133">
        <f t="shared" ca="1" si="411"/>
        <v>0</v>
      </c>
      <c r="AK2133">
        <f t="shared" ca="1" si="412"/>
        <v>0</v>
      </c>
      <c r="AL2133">
        <f t="shared" ca="1" si="413"/>
        <v>0</v>
      </c>
    </row>
    <row r="2134" spans="1:38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#N/A, OFFSET(data!$A$1, ROW()-1, AA$1-1))</f>
        <v>0</v>
      </c>
      <c r="AB2134">
        <f t="shared" ca="1" si="404"/>
        <v>0</v>
      </c>
      <c r="AC2134" t="e">
        <f t="shared" ca="1" si="405"/>
        <v>#VALUE!</v>
      </c>
      <c r="AD2134" t="str">
        <f t="shared" ca="1" si="406"/>
        <v>0</v>
      </c>
      <c r="AE2134" t="str">
        <f t="shared" ca="1" si="407"/>
        <v/>
      </c>
      <c r="AF2134" s="6">
        <f t="shared" ca="1" si="408"/>
        <v>0</v>
      </c>
      <c r="AG2134">
        <f t="shared" ca="1" si="403"/>
        <v>0</v>
      </c>
      <c r="AH2134">
        <f t="shared" ca="1" si="409"/>
        <v>0</v>
      </c>
      <c r="AI2134">
        <f t="shared" ca="1" si="410"/>
        <v>0</v>
      </c>
      <c r="AJ2134">
        <f t="shared" ca="1" si="411"/>
        <v>0</v>
      </c>
      <c r="AK2134">
        <f t="shared" ca="1" si="412"/>
        <v>0</v>
      </c>
      <c r="AL2134">
        <f t="shared" ca="1" si="413"/>
        <v>0</v>
      </c>
    </row>
    <row r="2135" spans="1:38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#N/A, OFFSET(data!$A$1, ROW()-1, AA$1-1))</f>
        <v>0</v>
      </c>
      <c r="AB2135">
        <f t="shared" ca="1" si="404"/>
        <v>0</v>
      </c>
      <c r="AC2135" t="e">
        <f t="shared" ca="1" si="405"/>
        <v>#VALUE!</v>
      </c>
      <c r="AD2135" t="str">
        <f t="shared" ca="1" si="406"/>
        <v>0</v>
      </c>
      <c r="AE2135" t="str">
        <f t="shared" ca="1" si="407"/>
        <v/>
      </c>
      <c r="AF2135" s="6">
        <f t="shared" ca="1" si="408"/>
        <v>0</v>
      </c>
      <c r="AG2135">
        <f t="shared" ca="1" si="403"/>
        <v>0</v>
      </c>
      <c r="AH2135">
        <f t="shared" ca="1" si="409"/>
        <v>0</v>
      </c>
      <c r="AI2135">
        <f t="shared" ca="1" si="410"/>
        <v>0</v>
      </c>
      <c r="AJ2135">
        <f t="shared" ca="1" si="411"/>
        <v>0</v>
      </c>
      <c r="AK2135">
        <f t="shared" ca="1" si="412"/>
        <v>0</v>
      </c>
      <c r="AL2135">
        <f t="shared" ca="1" si="413"/>
        <v>0</v>
      </c>
    </row>
    <row r="2136" spans="1:38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#N/A, OFFSET(data!$A$1, ROW()-1, AA$1-1))</f>
        <v>0</v>
      </c>
      <c r="AB2136">
        <f t="shared" ca="1" si="404"/>
        <v>0</v>
      </c>
      <c r="AC2136" t="e">
        <f t="shared" ca="1" si="405"/>
        <v>#VALUE!</v>
      </c>
      <c r="AD2136" t="str">
        <f t="shared" ca="1" si="406"/>
        <v>0</v>
      </c>
      <c r="AE2136" t="str">
        <f t="shared" ca="1" si="407"/>
        <v/>
      </c>
      <c r="AF2136" s="6">
        <f t="shared" ca="1" si="408"/>
        <v>0</v>
      </c>
      <c r="AG2136">
        <f t="shared" ca="1" si="403"/>
        <v>0</v>
      </c>
      <c r="AH2136">
        <f t="shared" ca="1" si="409"/>
        <v>0</v>
      </c>
      <c r="AI2136">
        <f t="shared" ca="1" si="410"/>
        <v>0</v>
      </c>
      <c r="AJ2136">
        <f t="shared" ca="1" si="411"/>
        <v>0</v>
      </c>
      <c r="AK2136">
        <f t="shared" ca="1" si="412"/>
        <v>0</v>
      </c>
      <c r="AL2136">
        <f t="shared" ca="1" si="413"/>
        <v>0</v>
      </c>
    </row>
    <row r="2137" spans="1:38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#N/A, OFFSET(data!$A$1, ROW()-1, AA$1-1))</f>
        <v>0</v>
      </c>
      <c r="AB2137">
        <f t="shared" ca="1" si="404"/>
        <v>0</v>
      </c>
      <c r="AC2137" t="e">
        <f t="shared" ca="1" si="405"/>
        <v>#VALUE!</v>
      </c>
      <c r="AD2137" t="str">
        <f t="shared" ca="1" si="406"/>
        <v>0</v>
      </c>
      <c r="AE2137" t="str">
        <f t="shared" ca="1" si="407"/>
        <v/>
      </c>
      <c r="AF2137" s="6">
        <f t="shared" ca="1" si="408"/>
        <v>0</v>
      </c>
      <c r="AG2137">
        <f t="shared" ca="1" si="403"/>
        <v>0</v>
      </c>
      <c r="AH2137">
        <f t="shared" ca="1" si="409"/>
        <v>0</v>
      </c>
      <c r="AI2137">
        <f t="shared" ca="1" si="410"/>
        <v>0</v>
      </c>
      <c r="AJ2137">
        <f t="shared" ca="1" si="411"/>
        <v>0</v>
      </c>
      <c r="AK2137">
        <f t="shared" ca="1" si="412"/>
        <v>0</v>
      </c>
      <c r="AL2137">
        <f t="shared" ca="1" si="413"/>
        <v>0</v>
      </c>
    </row>
    <row r="2138" spans="1:38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#N/A, OFFSET(data!$A$1, ROW()-1, AA$1-1))</f>
        <v>0</v>
      </c>
      <c r="AB2138">
        <f t="shared" ca="1" si="404"/>
        <v>0</v>
      </c>
      <c r="AC2138" t="e">
        <f t="shared" ca="1" si="405"/>
        <v>#VALUE!</v>
      </c>
      <c r="AD2138" t="str">
        <f t="shared" ca="1" si="406"/>
        <v>0</v>
      </c>
      <c r="AE2138" t="str">
        <f t="shared" ca="1" si="407"/>
        <v/>
      </c>
      <c r="AF2138" s="6">
        <f t="shared" ca="1" si="408"/>
        <v>0</v>
      </c>
      <c r="AG2138">
        <f t="shared" ca="1" si="403"/>
        <v>0</v>
      </c>
      <c r="AH2138">
        <f t="shared" ca="1" si="409"/>
        <v>0</v>
      </c>
      <c r="AI2138">
        <f t="shared" ca="1" si="410"/>
        <v>0</v>
      </c>
      <c r="AJ2138">
        <f t="shared" ca="1" si="411"/>
        <v>0</v>
      </c>
      <c r="AK2138">
        <f t="shared" ca="1" si="412"/>
        <v>0</v>
      </c>
      <c r="AL2138">
        <f t="shared" ca="1" si="413"/>
        <v>0</v>
      </c>
    </row>
    <row r="2139" spans="1:38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#N/A, OFFSET(data!$A$1, ROW()-1, AA$1-1))</f>
        <v>0</v>
      </c>
      <c r="AB2139">
        <f t="shared" ca="1" si="404"/>
        <v>0</v>
      </c>
      <c r="AC2139" t="e">
        <f t="shared" ca="1" si="405"/>
        <v>#VALUE!</v>
      </c>
      <c r="AD2139" t="str">
        <f t="shared" ca="1" si="406"/>
        <v>0</v>
      </c>
      <c r="AE2139" t="str">
        <f t="shared" ca="1" si="407"/>
        <v/>
      </c>
      <c r="AF2139" s="6">
        <f t="shared" ca="1" si="408"/>
        <v>0</v>
      </c>
      <c r="AG2139">
        <f t="shared" ca="1" si="403"/>
        <v>0</v>
      </c>
      <c r="AH2139">
        <f t="shared" ca="1" si="409"/>
        <v>0</v>
      </c>
      <c r="AI2139">
        <f t="shared" ca="1" si="410"/>
        <v>0</v>
      </c>
      <c r="AJ2139">
        <f t="shared" ca="1" si="411"/>
        <v>0</v>
      </c>
      <c r="AK2139">
        <f t="shared" ca="1" si="412"/>
        <v>0</v>
      </c>
      <c r="AL2139">
        <f t="shared" ca="1" si="413"/>
        <v>0</v>
      </c>
    </row>
    <row r="2140" spans="1:38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#N/A, OFFSET(data!$A$1, ROW()-1, AA$1-1))</f>
        <v>0</v>
      </c>
      <c r="AB2140">
        <f t="shared" ca="1" si="404"/>
        <v>0</v>
      </c>
      <c r="AC2140" t="e">
        <f t="shared" ca="1" si="405"/>
        <v>#VALUE!</v>
      </c>
      <c r="AD2140" t="str">
        <f t="shared" ca="1" si="406"/>
        <v>0</v>
      </c>
      <c r="AE2140" t="str">
        <f t="shared" ca="1" si="407"/>
        <v/>
      </c>
      <c r="AF2140" s="6">
        <f t="shared" ca="1" si="408"/>
        <v>0</v>
      </c>
      <c r="AG2140">
        <f t="shared" ca="1" si="403"/>
        <v>0</v>
      </c>
      <c r="AH2140">
        <f t="shared" ca="1" si="409"/>
        <v>0</v>
      </c>
      <c r="AI2140">
        <f t="shared" ca="1" si="410"/>
        <v>0</v>
      </c>
      <c r="AJ2140">
        <f t="shared" ca="1" si="411"/>
        <v>0</v>
      </c>
      <c r="AK2140">
        <f t="shared" ca="1" si="412"/>
        <v>0</v>
      </c>
      <c r="AL2140">
        <f t="shared" ca="1" si="413"/>
        <v>0</v>
      </c>
    </row>
    <row r="2141" spans="1:38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#N/A, OFFSET(data!$A$1, ROW()-1, AA$1-1))</f>
        <v>0</v>
      </c>
      <c r="AB2141">
        <f t="shared" ca="1" si="404"/>
        <v>0</v>
      </c>
      <c r="AC2141" t="e">
        <f t="shared" ca="1" si="405"/>
        <v>#VALUE!</v>
      </c>
      <c r="AD2141" t="str">
        <f t="shared" ca="1" si="406"/>
        <v>0</v>
      </c>
      <c r="AE2141" t="str">
        <f t="shared" ca="1" si="407"/>
        <v/>
      </c>
      <c r="AF2141" s="6">
        <f t="shared" ca="1" si="408"/>
        <v>0</v>
      </c>
      <c r="AG2141">
        <f t="shared" ca="1" si="403"/>
        <v>0</v>
      </c>
      <c r="AH2141">
        <f t="shared" ca="1" si="409"/>
        <v>0</v>
      </c>
      <c r="AI2141">
        <f t="shared" ca="1" si="410"/>
        <v>0</v>
      </c>
      <c r="AJ2141">
        <f t="shared" ca="1" si="411"/>
        <v>0</v>
      </c>
      <c r="AK2141">
        <f t="shared" ca="1" si="412"/>
        <v>0</v>
      </c>
      <c r="AL2141">
        <f t="shared" ca="1" si="413"/>
        <v>0</v>
      </c>
    </row>
    <row r="2142" spans="1:38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#N/A, OFFSET(data!$A$1, ROW()-1, AA$1-1))</f>
        <v>0</v>
      </c>
      <c r="AB2142">
        <f t="shared" ca="1" si="404"/>
        <v>0</v>
      </c>
      <c r="AC2142" t="e">
        <f t="shared" ca="1" si="405"/>
        <v>#VALUE!</v>
      </c>
      <c r="AD2142" t="str">
        <f t="shared" ca="1" si="406"/>
        <v>0</v>
      </c>
      <c r="AE2142" t="str">
        <f t="shared" ca="1" si="407"/>
        <v/>
      </c>
      <c r="AF2142" s="6">
        <f t="shared" ca="1" si="408"/>
        <v>0</v>
      </c>
      <c r="AG2142">
        <f t="shared" ca="1" si="403"/>
        <v>0</v>
      </c>
      <c r="AH2142">
        <f t="shared" ca="1" si="409"/>
        <v>0</v>
      </c>
      <c r="AI2142">
        <f t="shared" ca="1" si="410"/>
        <v>0</v>
      </c>
      <c r="AJ2142">
        <f t="shared" ca="1" si="411"/>
        <v>0</v>
      </c>
      <c r="AK2142">
        <f t="shared" ca="1" si="412"/>
        <v>0</v>
      </c>
      <c r="AL2142">
        <f t="shared" ca="1" si="413"/>
        <v>0</v>
      </c>
    </row>
    <row r="2143" spans="1:38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#N/A, OFFSET(data!$A$1, ROW()-1, AA$1-1))</f>
        <v>0</v>
      </c>
      <c r="AB2143">
        <f t="shared" ca="1" si="404"/>
        <v>0</v>
      </c>
      <c r="AC2143" t="e">
        <f t="shared" ca="1" si="405"/>
        <v>#VALUE!</v>
      </c>
      <c r="AD2143" t="str">
        <f t="shared" ca="1" si="406"/>
        <v>0</v>
      </c>
      <c r="AE2143" t="str">
        <f t="shared" ca="1" si="407"/>
        <v/>
      </c>
      <c r="AF2143" s="6">
        <f t="shared" ca="1" si="408"/>
        <v>0</v>
      </c>
      <c r="AG2143">
        <f t="shared" ca="1" si="403"/>
        <v>0</v>
      </c>
      <c r="AH2143">
        <f t="shared" ca="1" si="409"/>
        <v>0</v>
      </c>
      <c r="AI2143">
        <f t="shared" ca="1" si="410"/>
        <v>0</v>
      </c>
      <c r="AJ2143">
        <f t="shared" ca="1" si="411"/>
        <v>0</v>
      </c>
      <c r="AK2143">
        <f t="shared" ca="1" si="412"/>
        <v>0</v>
      </c>
      <c r="AL2143">
        <f t="shared" ca="1" si="413"/>
        <v>0</v>
      </c>
    </row>
    <row r="2144" spans="1:38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#N/A, OFFSET(data!$A$1, ROW()-1, AA$1-1))</f>
        <v>0</v>
      </c>
      <c r="AB2144">
        <f t="shared" ca="1" si="404"/>
        <v>0</v>
      </c>
      <c r="AC2144" t="e">
        <f t="shared" ca="1" si="405"/>
        <v>#VALUE!</v>
      </c>
      <c r="AD2144" t="str">
        <f t="shared" ca="1" si="406"/>
        <v>0</v>
      </c>
      <c r="AE2144" t="str">
        <f t="shared" ca="1" si="407"/>
        <v/>
      </c>
      <c r="AF2144" s="6">
        <f t="shared" ca="1" si="408"/>
        <v>0</v>
      </c>
      <c r="AG2144">
        <f t="shared" ca="1" si="403"/>
        <v>0</v>
      </c>
      <c r="AH2144">
        <f t="shared" ca="1" si="409"/>
        <v>0</v>
      </c>
      <c r="AI2144">
        <f t="shared" ca="1" si="410"/>
        <v>0</v>
      </c>
      <c r="AJ2144">
        <f t="shared" ca="1" si="411"/>
        <v>0</v>
      </c>
      <c r="AK2144">
        <f t="shared" ca="1" si="412"/>
        <v>0</v>
      </c>
      <c r="AL2144">
        <f t="shared" ca="1" si="413"/>
        <v>0</v>
      </c>
    </row>
    <row r="2145" spans="1:38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#N/A, OFFSET(data!$A$1, ROW()-1, AA$1-1))</f>
        <v>0</v>
      </c>
      <c r="AB2145">
        <f t="shared" ca="1" si="404"/>
        <v>0</v>
      </c>
      <c r="AC2145" t="e">
        <f t="shared" ca="1" si="405"/>
        <v>#VALUE!</v>
      </c>
      <c r="AD2145" t="str">
        <f t="shared" ca="1" si="406"/>
        <v>0</v>
      </c>
      <c r="AE2145" t="str">
        <f t="shared" ca="1" si="407"/>
        <v/>
      </c>
      <c r="AF2145" s="6">
        <f t="shared" ca="1" si="408"/>
        <v>0</v>
      </c>
      <c r="AG2145">
        <f t="shared" ca="1" si="403"/>
        <v>0</v>
      </c>
      <c r="AH2145">
        <f t="shared" ca="1" si="409"/>
        <v>0</v>
      </c>
      <c r="AI2145">
        <f t="shared" ca="1" si="410"/>
        <v>0</v>
      </c>
      <c r="AJ2145">
        <f t="shared" ca="1" si="411"/>
        <v>0</v>
      </c>
      <c r="AK2145">
        <f t="shared" ca="1" si="412"/>
        <v>0</v>
      </c>
      <c r="AL2145">
        <f t="shared" ca="1" si="413"/>
        <v>0</v>
      </c>
    </row>
    <row r="2146" spans="1:38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#N/A, OFFSET(data!$A$1, ROW()-1, AA$1-1))</f>
        <v>0</v>
      </c>
      <c r="AB2146">
        <f t="shared" ca="1" si="404"/>
        <v>0</v>
      </c>
      <c r="AC2146" t="e">
        <f t="shared" ca="1" si="405"/>
        <v>#VALUE!</v>
      </c>
      <c r="AD2146" t="str">
        <f t="shared" ca="1" si="406"/>
        <v>0</v>
      </c>
      <c r="AE2146" t="str">
        <f t="shared" ca="1" si="407"/>
        <v/>
      </c>
      <c r="AF2146" s="6">
        <f t="shared" ca="1" si="408"/>
        <v>0</v>
      </c>
      <c r="AG2146">
        <f t="shared" ca="1" si="403"/>
        <v>0</v>
      </c>
      <c r="AH2146">
        <f t="shared" ca="1" si="409"/>
        <v>0</v>
      </c>
      <c r="AI2146">
        <f t="shared" ca="1" si="410"/>
        <v>0</v>
      </c>
      <c r="AJ2146">
        <f t="shared" ca="1" si="411"/>
        <v>0</v>
      </c>
      <c r="AK2146">
        <f t="shared" ca="1" si="412"/>
        <v>0</v>
      </c>
      <c r="AL2146">
        <f t="shared" ca="1" si="413"/>
        <v>0</v>
      </c>
    </row>
    <row r="2147" spans="1:38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#N/A, OFFSET(data!$A$1, ROW()-1, AA$1-1))</f>
        <v>0</v>
      </c>
      <c r="AB2147">
        <f t="shared" ca="1" si="404"/>
        <v>0</v>
      </c>
      <c r="AC2147" t="e">
        <f t="shared" ca="1" si="405"/>
        <v>#VALUE!</v>
      </c>
      <c r="AD2147" t="str">
        <f t="shared" ca="1" si="406"/>
        <v>0</v>
      </c>
      <c r="AE2147" t="str">
        <f t="shared" ca="1" si="407"/>
        <v/>
      </c>
      <c r="AF2147" s="6">
        <f t="shared" ca="1" si="408"/>
        <v>0</v>
      </c>
      <c r="AG2147">
        <f t="shared" ca="1" si="403"/>
        <v>0</v>
      </c>
      <c r="AH2147">
        <f t="shared" ca="1" si="409"/>
        <v>0</v>
      </c>
      <c r="AI2147">
        <f t="shared" ca="1" si="410"/>
        <v>0</v>
      </c>
      <c r="AJ2147">
        <f t="shared" ca="1" si="411"/>
        <v>0</v>
      </c>
      <c r="AK2147">
        <f t="shared" ca="1" si="412"/>
        <v>0</v>
      </c>
      <c r="AL2147">
        <f t="shared" ca="1" si="413"/>
        <v>0</v>
      </c>
    </row>
    <row r="2148" spans="1:38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#N/A, OFFSET(data!$A$1, ROW()-1, AA$1-1))</f>
        <v>0</v>
      </c>
      <c r="AB2148">
        <f t="shared" ca="1" si="404"/>
        <v>0</v>
      </c>
      <c r="AC2148" t="e">
        <f t="shared" ca="1" si="405"/>
        <v>#VALUE!</v>
      </c>
      <c r="AD2148" t="str">
        <f t="shared" ca="1" si="406"/>
        <v>0</v>
      </c>
      <c r="AE2148" t="str">
        <f t="shared" ca="1" si="407"/>
        <v/>
      </c>
      <c r="AF2148" s="6">
        <f t="shared" ca="1" si="408"/>
        <v>0</v>
      </c>
      <c r="AG2148">
        <f t="shared" ca="1" si="403"/>
        <v>0</v>
      </c>
      <c r="AH2148">
        <f t="shared" ca="1" si="409"/>
        <v>0</v>
      </c>
      <c r="AI2148">
        <f t="shared" ca="1" si="410"/>
        <v>0</v>
      </c>
      <c r="AJ2148">
        <f t="shared" ca="1" si="411"/>
        <v>0</v>
      </c>
      <c r="AK2148">
        <f t="shared" ca="1" si="412"/>
        <v>0</v>
      </c>
      <c r="AL2148">
        <f t="shared" ca="1" si="413"/>
        <v>0</v>
      </c>
    </row>
    <row r="2149" spans="1:38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#N/A, OFFSET(data!$A$1, ROW()-1, AA$1-1))</f>
        <v>0</v>
      </c>
      <c r="AB2149">
        <f t="shared" ca="1" si="404"/>
        <v>0</v>
      </c>
      <c r="AC2149" t="e">
        <f t="shared" ca="1" si="405"/>
        <v>#VALUE!</v>
      </c>
      <c r="AD2149" t="str">
        <f t="shared" ca="1" si="406"/>
        <v>0</v>
      </c>
      <c r="AE2149" t="str">
        <f t="shared" ca="1" si="407"/>
        <v/>
      </c>
      <c r="AF2149" s="6">
        <f t="shared" ca="1" si="408"/>
        <v>0</v>
      </c>
      <c r="AG2149">
        <f t="shared" ca="1" si="403"/>
        <v>0</v>
      </c>
      <c r="AH2149">
        <f t="shared" ca="1" si="409"/>
        <v>0</v>
      </c>
      <c r="AI2149">
        <f t="shared" ca="1" si="410"/>
        <v>0</v>
      </c>
      <c r="AJ2149">
        <f t="shared" ca="1" si="411"/>
        <v>0</v>
      </c>
      <c r="AK2149">
        <f t="shared" ca="1" si="412"/>
        <v>0</v>
      </c>
      <c r="AL2149">
        <f t="shared" ca="1" si="413"/>
        <v>0</v>
      </c>
    </row>
    <row r="2150" spans="1:38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#N/A, OFFSET(data!$A$1, ROW()-1, AA$1-1))</f>
        <v>0</v>
      </c>
      <c r="AB2150">
        <f t="shared" ca="1" si="404"/>
        <v>0</v>
      </c>
      <c r="AC2150" t="e">
        <f t="shared" ca="1" si="405"/>
        <v>#VALUE!</v>
      </c>
      <c r="AD2150" t="str">
        <f t="shared" ca="1" si="406"/>
        <v>0</v>
      </c>
      <c r="AE2150" t="str">
        <f t="shared" ca="1" si="407"/>
        <v/>
      </c>
      <c r="AF2150" s="6">
        <f t="shared" ca="1" si="408"/>
        <v>0</v>
      </c>
      <c r="AG2150">
        <f t="shared" ca="1" si="403"/>
        <v>0</v>
      </c>
      <c r="AH2150">
        <f t="shared" ca="1" si="409"/>
        <v>0</v>
      </c>
      <c r="AI2150">
        <f t="shared" ca="1" si="410"/>
        <v>0</v>
      </c>
      <c r="AJ2150">
        <f t="shared" ca="1" si="411"/>
        <v>0</v>
      </c>
      <c r="AK2150">
        <f t="shared" ca="1" si="412"/>
        <v>0</v>
      </c>
      <c r="AL2150">
        <f t="shared" ca="1" si="413"/>
        <v>0</v>
      </c>
    </row>
    <row r="2151" spans="1:38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#N/A, OFFSET(data!$A$1, ROW()-1, AA$1-1))</f>
        <v>0</v>
      </c>
      <c r="AB2151">
        <f t="shared" ca="1" si="404"/>
        <v>0</v>
      </c>
      <c r="AC2151" t="e">
        <f t="shared" ca="1" si="405"/>
        <v>#VALUE!</v>
      </c>
      <c r="AD2151" t="str">
        <f t="shared" ca="1" si="406"/>
        <v>0</v>
      </c>
      <c r="AE2151" t="str">
        <f t="shared" ca="1" si="407"/>
        <v/>
      </c>
      <c r="AF2151" s="6">
        <f t="shared" ca="1" si="408"/>
        <v>0</v>
      </c>
      <c r="AG2151">
        <f t="shared" ca="1" si="403"/>
        <v>0</v>
      </c>
      <c r="AH2151">
        <f t="shared" ca="1" si="409"/>
        <v>0</v>
      </c>
      <c r="AI2151">
        <f t="shared" ca="1" si="410"/>
        <v>0</v>
      </c>
      <c r="AJ2151">
        <f t="shared" ca="1" si="411"/>
        <v>0</v>
      </c>
      <c r="AK2151">
        <f t="shared" ca="1" si="412"/>
        <v>0</v>
      </c>
      <c r="AL2151">
        <f t="shared" ca="1" si="413"/>
        <v>0</v>
      </c>
    </row>
    <row r="2152" spans="1:38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#N/A, OFFSET(data!$A$1, ROW()-1, AA$1-1))</f>
        <v>0</v>
      </c>
      <c r="AB2152">
        <f t="shared" ca="1" si="404"/>
        <v>0</v>
      </c>
      <c r="AC2152" t="e">
        <f t="shared" ca="1" si="405"/>
        <v>#VALUE!</v>
      </c>
      <c r="AD2152" t="str">
        <f t="shared" ca="1" si="406"/>
        <v>0</v>
      </c>
      <c r="AE2152" t="str">
        <f t="shared" ca="1" si="407"/>
        <v/>
      </c>
      <c r="AF2152" s="6">
        <f t="shared" ca="1" si="408"/>
        <v>0</v>
      </c>
      <c r="AG2152">
        <f t="shared" ca="1" si="403"/>
        <v>0</v>
      </c>
      <c r="AH2152">
        <f t="shared" ca="1" si="409"/>
        <v>0</v>
      </c>
      <c r="AI2152">
        <f t="shared" ca="1" si="410"/>
        <v>0</v>
      </c>
      <c r="AJ2152">
        <f t="shared" ca="1" si="411"/>
        <v>0</v>
      </c>
      <c r="AK2152">
        <f t="shared" ca="1" si="412"/>
        <v>0</v>
      </c>
      <c r="AL2152">
        <f t="shared" ca="1" si="413"/>
        <v>0</v>
      </c>
    </row>
    <row r="2153" spans="1:38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#N/A, OFFSET(data!$A$1, ROW()-1, AA$1-1))</f>
        <v>0</v>
      </c>
      <c r="AB2153">
        <f t="shared" ca="1" si="404"/>
        <v>0</v>
      </c>
      <c r="AC2153" t="e">
        <f t="shared" ca="1" si="405"/>
        <v>#VALUE!</v>
      </c>
      <c r="AD2153" t="str">
        <f t="shared" ca="1" si="406"/>
        <v>0</v>
      </c>
      <c r="AE2153" t="str">
        <f t="shared" ca="1" si="407"/>
        <v/>
      </c>
      <c r="AF2153" s="6">
        <f t="shared" ca="1" si="408"/>
        <v>0</v>
      </c>
      <c r="AG2153">
        <f t="shared" ca="1" si="403"/>
        <v>0</v>
      </c>
      <c r="AH2153">
        <f t="shared" ca="1" si="409"/>
        <v>0</v>
      </c>
      <c r="AI2153">
        <f t="shared" ca="1" si="410"/>
        <v>0</v>
      </c>
      <c r="AJ2153">
        <f t="shared" ca="1" si="411"/>
        <v>0</v>
      </c>
      <c r="AK2153">
        <f t="shared" ca="1" si="412"/>
        <v>0</v>
      </c>
      <c r="AL2153">
        <f t="shared" ca="1" si="413"/>
        <v>0</v>
      </c>
    </row>
    <row r="2154" spans="1:38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#N/A, OFFSET(data!$A$1, ROW()-1, AA$1-1))</f>
        <v>0</v>
      </c>
      <c r="AB2154">
        <f t="shared" ca="1" si="404"/>
        <v>0</v>
      </c>
      <c r="AC2154" t="e">
        <f t="shared" ca="1" si="405"/>
        <v>#VALUE!</v>
      </c>
      <c r="AD2154" t="str">
        <f t="shared" ca="1" si="406"/>
        <v>0</v>
      </c>
      <c r="AE2154" t="str">
        <f t="shared" ca="1" si="407"/>
        <v/>
      </c>
      <c r="AF2154" s="6">
        <f t="shared" ca="1" si="408"/>
        <v>0</v>
      </c>
      <c r="AG2154">
        <f t="shared" ca="1" si="403"/>
        <v>0</v>
      </c>
      <c r="AH2154">
        <f t="shared" ca="1" si="409"/>
        <v>0</v>
      </c>
      <c r="AI2154">
        <f t="shared" ca="1" si="410"/>
        <v>0</v>
      </c>
      <c r="AJ2154">
        <f t="shared" ca="1" si="411"/>
        <v>0</v>
      </c>
      <c r="AK2154">
        <f t="shared" ca="1" si="412"/>
        <v>0</v>
      </c>
      <c r="AL2154">
        <f t="shared" ca="1" si="413"/>
        <v>0</v>
      </c>
    </row>
    <row r="2155" spans="1:38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#N/A, OFFSET(data!$A$1, ROW()-1, AA$1-1))</f>
        <v>0</v>
      </c>
      <c r="AB2155">
        <f t="shared" ca="1" si="404"/>
        <v>0</v>
      </c>
      <c r="AC2155" t="e">
        <f t="shared" ca="1" si="405"/>
        <v>#VALUE!</v>
      </c>
      <c r="AD2155" t="str">
        <f t="shared" ca="1" si="406"/>
        <v>0</v>
      </c>
      <c r="AE2155" t="str">
        <f t="shared" ca="1" si="407"/>
        <v/>
      </c>
      <c r="AF2155" s="6">
        <f t="shared" ca="1" si="408"/>
        <v>0</v>
      </c>
      <c r="AG2155">
        <f t="shared" ca="1" si="403"/>
        <v>0</v>
      </c>
      <c r="AH2155">
        <f t="shared" ca="1" si="409"/>
        <v>0</v>
      </c>
      <c r="AI2155">
        <f t="shared" ca="1" si="410"/>
        <v>0</v>
      </c>
      <c r="AJ2155">
        <f t="shared" ca="1" si="411"/>
        <v>0</v>
      </c>
      <c r="AK2155">
        <f t="shared" ca="1" si="412"/>
        <v>0</v>
      </c>
      <c r="AL2155">
        <f t="shared" ca="1" si="413"/>
        <v>0</v>
      </c>
    </row>
    <row r="2156" spans="1:38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#N/A, OFFSET(data!$A$1, ROW()-1, AA$1-1))</f>
        <v>0</v>
      </c>
      <c r="AB2156">
        <f t="shared" ca="1" si="404"/>
        <v>0</v>
      </c>
      <c r="AC2156" t="e">
        <f t="shared" ca="1" si="405"/>
        <v>#VALUE!</v>
      </c>
      <c r="AD2156" t="str">
        <f t="shared" ca="1" si="406"/>
        <v>0</v>
      </c>
      <c r="AE2156" t="str">
        <f t="shared" ca="1" si="407"/>
        <v/>
      </c>
      <c r="AF2156" s="6">
        <f t="shared" ca="1" si="408"/>
        <v>0</v>
      </c>
      <c r="AG2156">
        <f t="shared" ca="1" si="403"/>
        <v>0</v>
      </c>
      <c r="AH2156">
        <f t="shared" ca="1" si="409"/>
        <v>0</v>
      </c>
      <c r="AI2156">
        <f t="shared" ca="1" si="410"/>
        <v>0</v>
      </c>
      <c r="AJ2156">
        <f t="shared" ca="1" si="411"/>
        <v>0</v>
      </c>
      <c r="AK2156">
        <f t="shared" ca="1" si="412"/>
        <v>0</v>
      </c>
      <c r="AL2156">
        <f t="shared" ca="1" si="413"/>
        <v>0</v>
      </c>
    </row>
    <row r="2157" spans="1:38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#N/A, OFFSET(data!$A$1, ROW()-1, AA$1-1))</f>
        <v>0</v>
      </c>
      <c r="AB2157">
        <f t="shared" ca="1" si="404"/>
        <v>0</v>
      </c>
      <c r="AC2157" t="e">
        <f t="shared" ca="1" si="405"/>
        <v>#VALUE!</v>
      </c>
      <c r="AD2157" t="str">
        <f t="shared" ca="1" si="406"/>
        <v>0</v>
      </c>
      <c r="AE2157" t="str">
        <f t="shared" ca="1" si="407"/>
        <v/>
      </c>
      <c r="AF2157" s="6">
        <f t="shared" ca="1" si="408"/>
        <v>0</v>
      </c>
      <c r="AG2157">
        <f t="shared" ca="1" si="403"/>
        <v>0</v>
      </c>
      <c r="AH2157">
        <f t="shared" ca="1" si="409"/>
        <v>0</v>
      </c>
      <c r="AI2157">
        <f t="shared" ca="1" si="410"/>
        <v>0</v>
      </c>
      <c r="AJ2157">
        <f t="shared" ca="1" si="411"/>
        <v>0</v>
      </c>
      <c r="AK2157">
        <f t="shared" ca="1" si="412"/>
        <v>0</v>
      </c>
      <c r="AL2157">
        <f t="shared" ca="1" si="413"/>
        <v>0</v>
      </c>
    </row>
    <row r="2158" spans="1:38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#N/A, OFFSET(data!$A$1, ROW()-1, AA$1-1))</f>
        <v>0</v>
      </c>
      <c r="AB2158">
        <f t="shared" ca="1" si="404"/>
        <v>0</v>
      </c>
      <c r="AC2158" t="e">
        <f t="shared" ca="1" si="405"/>
        <v>#VALUE!</v>
      </c>
      <c r="AD2158" t="str">
        <f t="shared" ca="1" si="406"/>
        <v>0</v>
      </c>
      <c r="AE2158" t="str">
        <f t="shared" ca="1" si="407"/>
        <v/>
      </c>
      <c r="AF2158" s="6">
        <f t="shared" ca="1" si="408"/>
        <v>0</v>
      </c>
      <c r="AG2158">
        <f t="shared" ca="1" si="403"/>
        <v>0</v>
      </c>
      <c r="AH2158">
        <f t="shared" ca="1" si="409"/>
        <v>0</v>
      </c>
      <c r="AI2158">
        <f t="shared" ca="1" si="410"/>
        <v>0</v>
      </c>
      <c r="AJ2158">
        <f t="shared" ca="1" si="411"/>
        <v>0</v>
      </c>
      <c r="AK2158">
        <f t="shared" ca="1" si="412"/>
        <v>0</v>
      </c>
      <c r="AL2158">
        <f t="shared" ca="1" si="413"/>
        <v>0</v>
      </c>
    </row>
    <row r="2159" spans="1:38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#N/A, OFFSET(data!$A$1, ROW()-1, AA$1-1))</f>
        <v>0</v>
      </c>
      <c r="AB2159">
        <f t="shared" ca="1" si="404"/>
        <v>0</v>
      </c>
      <c r="AC2159" t="e">
        <f t="shared" ca="1" si="405"/>
        <v>#VALUE!</v>
      </c>
      <c r="AD2159" t="str">
        <f t="shared" ca="1" si="406"/>
        <v>0</v>
      </c>
      <c r="AE2159" t="str">
        <f t="shared" ca="1" si="407"/>
        <v/>
      </c>
      <c r="AF2159" s="6">
        <f t="shared" ca="1" si="408"/>
        <v>0</v>
      </c>
      <c r="AG2159">
        <f t="shared" ca="1" si="403"/>
        <v>0</v>
      </c>
      <c r="AH2159">
        <f t="shared" ca="1" si="409"/>
        <v>0</v>
      </c>
      <c r="AI2159">
        <f t="shared" ca="1" si="410"/>
        <v>0</v>
      </c>
      <c r="AJ2159">
        <f t="shared" ca="1" si="411"/>
        <v>0</v>
      </c>
      <c r="AK2159">
        <f t="shared" ca="1" si="412"/>
        <v>0</v>
      </c>
      <c r="AL2159">
        <f t="shared" ca="1" si="413"/>
        <v>0</v>
      </c>
    </row>
    <row r="2160" spans="1:38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#N/A, OFFSET(data!$A$1, ROW()-1, AA$1-1))</f>
        <v>0</v>
      </c>
      <c r="AB2160">
        <f t="shared" ca="1" si="404"/>
        <v>0</v>
      </c>
      <c r="AC2160" t="e">
        <f t="shared" ca="1" si="405"/>
        <v>#VALUE!</v>
      </c>
      <c r="AD2160" t="str">
        <f t="shared" ca="1" si="406"/>
        <v>0</v>
      </c>
      <c r="AE2160" t="str">
        <f t="shared" ca="1" si="407"/>
        <v/>
      </c>
      <c r="AF2160" s="6">
        <f t="shared" ca="1" si="408"/>
        <v>0</v>
      </c>
      <c r="AG2160">
        <f t="shared" ca="1" si="403"/>
        <v>0</v>
      </c>
      <c r="AH2160">
        <f t="shared" ca="1" si="409"/>
        <v>0</v>
      </c>
      <c r="AI2160">
        <f t="shared" ca="1" si="410"/>
        <v>0</v>
      </c>
      <c r="AJ2160">
        <f t="shared" ca="1" si="411"/>
        <v>0</v>
      </c>
      <c r="AK2160">
        <f t="shared" ca="1" si="412"/>
        <v>0</v>
      </c>
      <c r="AL2160">
        <f t="shared" ca="1" si="413"/>
        <v>0</v>
      </c>
    </row>
    <row r="2161" spans="1:38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#N/A, OFFSET(data!$A$1, ROW()-1, AA$1-1))</f>
        <v>0</v>
      </c>
      <c r="AB2161">
        <f t="shared" ca="1" si="404"/>
        <v>0</v>
      </c>
      <c r="AC2161" t="e">
        <f t="shared" ca="1" si="405"/>
        <v>#VALUE!</v>
      </c>
      <c r="AD2161" t="str">
        <f t="shared" ca="1" si="406"/>
        <v>0</v>
      </c>
      <c r="AE2161" t="str">
        <f t="shared" ca="1" si="407"/>
        <v/>
      </c>
      <c r="AF2161" s="6">
        <f t="shared" ca="1" si="408"/>
        <v>0</v>
      </c>
      <c r="AG2161">
        <f t="shared" ca="1" si="403"/>
        <v>0</v>
      </c>
      <c r="AH2161">
        <f t="shared" ca="1" si="409"/>
        <v>0</v>
      </c>
      <c r="AI2161">
        <f t="shared" ca="1" si="410"/>
        <v>0</v>
      </c>
      <c r="AJ2161">
        <f t="shared" ca="1" si="411"/>
        <v>0</v>
      </c>
      <c r="AK2161">
        <f t="shared" ca="1" si="412"/>
        <v>0</v>
      </c>
      <c r="AL2161">
        <f t="shared" ca="1" si="413"/>
        <v>0</v>
      </c>
    </row>
    <row r="2162" spans="1:38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#N/A, OFFSET(data!$A$1, ROW()-1, AA$1-1))</f>
        <v>0</v>
      </c>
      <c r="AB2162">
        <f t="shared" ca="1" si="404"/>
        <v>0</v>
      </c>
      <c r="AC2162" t="e">
        <f t="shared" ca="1" si="405"/>
        <v>#VALUE!</v>
      </c>
      <c r="AD2162" t="str">
        <f t="shared" ca="1" si="406"/>
        <v>0</v>
      </c>
      <c r="AE2162" t="str">
        <f t="shared" ca="1" si="407"/>
        <v/>
      </c>
      <c r="AF2162" s="6">
        <f t="shared" ca="1" si="408"/>
        <v>0</v>
      </c>
      <c r="AG2162">
        <f t="shared" ca="1" si="403"/>
        <v>0</v>
      </c>
      <c r="AH2162">
        <f t="shared" ca="1" si="409"/>
        <v>0</v>
      </c>
      <c r="AI2162">
        <f t="shared" ca="1" si="410"/>
        <v>0</v>
      </c>
      <c r="AJ2162">
        <f t="shared" ca="1" si="411"/>
        <v>0</v>
      </c>
      <c r="AK2162">
        <f t="shared" ca="1" si="412"/>
        <v>0</v>
      </c>
      <c r="AL2162">
        <f t="shared" ca="1" si="413"/>
        <v>0</v>
      </c>
    </row>
    <row r="2163" spans="1:38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#N/A, OFFSET(data!$A$1, ROW()-1, AA$1-1))</f>
        <v>0</v>
      </c>
      <c r="AB2163">
        <f t="shared" ca="1" si="404"/>
        <v>0</v>
      </c>
      <c r="AC2163" t="e">
        <f t="shared" ca="1" si="405"/>
        <v>#VALUE!</v>
      </c>
      <c r="AD2163" t="str">
        <f t="shared" ca="1" si="406"/>
        <v>0</v>
      </c>
      <c r="AE2163" t="str">
        <f t="shared" ca="1" si="407"/>
        <v/>
      </c>
      <c r="AF2163" s="6">
        <f t="shared" ca="1" si="408"/>
        <v>0</v>
      </c>
      <c r="AG2163">
        <f t="shared" ca="1" si="403"/>
        <v>0</v>
      </c>
      <c r="AH2163">
        <f t="shared" ca="1" si="409"/>
        <v>0</v>
      </c>
      <c r="AI2163">
        <f t="shared" ca="1" si="410"/>
        <v>0</v>
      </c>
      <c r="AJ2163">
        <f t="shared" ca="1" si="411"/>
        <v>0</v>
      </c>
      <c r="AK2163">
        <f t="shared" ca="1" si="412"/>
        <v>0</v>
      </c>
      <c r="AL2163">
        <f t="shared" ca="1" si="413"/>
        <v>0</v>
      </c>
    </row>
    <row r="2164" spans="1:38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#N/A, OFFSET(data!$A$1, ROW()-1, AA$1-1))</f>
        <v>0</v>
      </c>
      <c r="AB2164">
        <f t="shared" ca="1" si="404"/>
        <v>0</v>
      </c>
      <c r="AC2164" t="e">
        <f t="shared" ca="1" si="405"/>
        <v>#VALUE!</v>
      </c>
      <c r="AD2164" t="str">
        <f t="shared" ca="1" si="406"/>
        <v>0</v>
      </c>
      <c r="AE2164" t="str">
        <f t="shared" ca="1" si="407"/>
        <v/>
      </c>
      <c r="AF2164" s="6">
        <f t="shared" ca="1" si="408"/>
        <v>0</v>
      </c>
      <c r="AG2164">
        <f t="shared" ref="AG2164:AG2227" ca="1" si="414">T2164+W2164</f>
        <v>0</v>
      </c>
      <c r="AH2164">
        <f t="shared" ca="1" si="409"/>
        <v>0</v>
      </c>
      <c r="AI2164">
        <f t="shared" ca="1" si="410"/>
        <v>0</v>
      </c>
      <c r="AJ2164">
        <f t="shared" ca="1" si="411"/>
        <v>0</v>
      </c>
      <c r="AK2164">
        <f t="shared" ca="1" si="412"/>
        <v>0</v>
      </c>
      <c r="AL2164">
        <f t="shared" ca="1" si="413"/>
        <v>0</v>
      </c>
    </row>
    <row r="2165" spans="1:38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#N/A, OFFSET(data!$A$1, ROW()-1, AA$1-1))</f>
        <v>0</v>
      </c>
      <c r="AB2165">
        <f t="shared" ca="1" si="404"/>
        <v>0</v>
      </c>
      <c r="AC2165" t="e">
        <f t="shared" ca="1" si="405"/>
        <v>#VALUE!</v>
      </c>
      <c r="AD2165" t="str">
        <f t="shared" ca="1" si="406"/>
        <v>0</v>
      </c>
      <c r="AE2165" t="str">
        <f t="shared" ca="1" si="407"/>
        <v/>
      </c>
      <c r="AF2165" s="6">
        <f t="shared" ca="1" si="408"/>
        <v>0</v>
      </c>
      <c r="AG2165">
        <f t="shared" ca="1" si="414"/>
        <v>0</v>
      </c>
      <c r="AH2165">
        <f t="shared" ca="1" si="409"/>
        <v>0</v>
      </c>
      <c r="AI2165">
        <f t="shared" ca="1" si="410"/>
        <v>0</v>
      </c>
      <c r="AJ2165">
        <f t="shared" ca="1" si="411"/>
        <v>0</v>
      </c>
      <c r="AK2165">
        <f t="shared" ca="1" si="412"/>
        <v>0</v>
      </c>
      <c r="AL2165">
        <f t="shared" ca="1" si="413"/>
        <v>0</v>
      </c>
    </row>
    <row r="2166" spans="1:38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#N/A, OFFSET(data!$A$1, ROW()-1, AA$1-1))</f>
        <v>0</v>
      </c>
      <c r="AB2166">
        <f t="shared" ca="1" si="404"/>
        <v>0</v>
      </c>
      <c r="AC2166" t="e">
        <f t="shared" ca="1" si="405"/>
        <v>#VALUE!</v>
      </c>
      <c r="AD2166" t="str">
        <f t="shared" ca="1" si="406"/>
        <v>0</v>
      </c>
      <c r="AE2166" t="str">
        <f t="shared" ca="1" si="407"/>
        <v/>
      </c>
      <c r="AF2166" s="6">
        <f t="shared" ca="1" si="408"/>
        <v>0</v>
      </c>
      <c r="AG2166">
        <f t="shared" ca="1" si="414"/>
        <v>0</v>
      </c>
      <c r="AH2166">
        <f t="shared" ca="1" si="409"/>
        <v>0</v>
      </c>
      <c r="AI2166">
        <f t="shared" ca="1" si="410"/>
        <v>0</v>
      </c>
      <c r="AJ2166">
        <f t="shared" ca="1" si="411"/>
        <v>0</v>
      </c>
      <c r="AK2166">
        <f t="shared" ca="1" si="412"/>
        <v>0</v>
      </c>
      <c r="AL2166">
        <f t="shared" ca="1" si="413"/>
        <v>0</v>
      </c>
    </row>
    <row r="2167" spans="1:38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#N/A, OFFSET(data!$A$1, ROW()-1, AA$1-1))</f>
        <v>0</v>
      </c>
      <c r="AB2167">
        <f t="shared" ca="1" si="404"/>
        <v>0</v>
      </c>
      <c r="AC2167" t="e">
        <f t="shared" ca="1" si="405"/>
        <v>#VALUE!</v>
      </c>
      <c r="AD2167" t="str">
        <f t="shared" ca="1" si="406"/>
        <v>0</v>
      </c>
      <c r="AE2167" t="str">
        <f t="shared" ca="1" si="407"/>
        <v/>
      </c>
      <c r="AF2167" s="6">
        <f t="shared" ca="1" si="408"/>
        <v>0</v>
      </c>
      <c r="AG2167">
        <f t="shared" ca="1" si="414"/>
        <v>0</v>
      </c>
      <c r="AH2167">
        <f t="shared" ca="1" si="409"/>
        <v>0</v>
      </c>
      <c r="AI2167">
        <f t="shared" ca="1" si="410"/>
        <v>0</v>
      </c>
      <c r="AJ2167">
        <f t="shared" ca="1" si="411"/>
        <v>0</v>
      </c>
      <c r="AK2167">
        <f t="shared" ca="1" si="412"/>
        <v>0</v>
      </c>
      <c r="AL2167">
        <f t="shared" ca="1" si="413"/>
        <v>0</v>
      </c>
    </row>
    <row r="2168" spans="1:38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#N/A, OFFSET(data!$A$1, ROW()-1, AA$1-1))</f>
        <v>0</v>
      </c>
      <c r="AB2168">
        <f t="shared" ca="1" si="404"/>
        <v>0</v>
      </c>
      <c r="AC2168" t="e">
        <f t="shared" ca="1" si="405"/>
        <v>#VALUE!</v>
      </c>
      <c r="AD2168" t="str">
        <f t="shared" ca="1" si="406"/>
        <v>0</v>
      </c>
      <c r="AE2168" t="str">
        <f t="shared" ca="1" si="407"/>
        <v/>
      </c>
      <c r="AF2168" s="6">
        <f t="shared" ca="1" si="408"/>
        <v>0</v>
      </c>
      <c r="AG2168">
        <f t="shared" ca="1" si="414"/>
        <v>0</v>
      </c>
      <c r="AH2168">
        <f t="shared" ca="1" si="409"/>
        <v>0</v>
      </c>
      <c r="AI2168">
        <f t="shared" ca="1" si="410"/>
        <v>0</v>
      </c>
      <c r="AJ2168">
        <f t="shared" ca="1" si="411"/>
        <v>0</v>
      </c>
      <c r="AK2168">
        <f t="shared" ca="1" si="412"/>
        <v>0</v>
      </c>
      <c r="AL2168">
        <f t="shared" ca="1" si="413"/>
        <v>0</v>
      </c>
    </row>
    <row r="2169" spans="1:38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#N/A, OFFSET(data!$A$1, ROW()-1, AA$1-1))</f>
        <v>0</v>
      </c>
      <c r="AB2169">
        <f t="shared" ca="1" si="404"/>
        <v>0</v>
      </c>
      <c r="AC2169" t="e">
        <f t="shared" ca="1" si="405"/>
        <v>#VALUE!</v>
      </c>
      <c r="AD2169" t="str">
        <f t="shared" ca="1" si="406"/>
        <v>0</v>
      </c>
      <c r="AE2169" t="str">
        <f t="shared" ca="1" si="407"/>
        <v/>
      </c>
      <c r="AF2169" s="6">
        <f t="shared" ca="1" si="408"/>
        <v>0</v>
      </c>
      <c r="AG2169">
        <f t="shared" ca="1" si="414"/>
        <v>0</v>
      </c>
      <c r="AH2169">
        <f t="shared" ca="1" si="409"/>
        <v>0</v>
      </c>
      <c r="AI2169">
        <f t="shared" ca="1" si="410"/>
        <v>0</v>
      </c>
      <c r="AJ2169">
        <f t="shared" ca="1" si="411"/>
        <v>0</v>
      </c>
      <c r="AK2169">
        <f t="shared" ca="1" si="412"/>
        <v>0</v>
      </c>
      <c r="AL2169">
        <f t="shared" ca="1" si="413"/>
        <v>0</v>
      </c>
    </row>
    <row r="2170" spans="1:38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#N/A, OFFSET(data!$A$1, ROW()-1, AA$1-1))</f>
        <v>0</v>
      </c>
      <c r="AB2170">
        <f t="shared" ca="1" si="404"/>
        <v>0</v>
      </c>
      <c r="AC2170" t="e">
        <f t="shared" ca="1" si="405"/>
        <v>#VALUE!</v>
      </c>
      <c r="AD2170" t="str">
        <f t="shared" ca="1" si="406"/>
        <v>0</v>
      </c>
      <c r="AE2170" t="str">
        <f t="shared" ca="1" si="407"/>
        <v/>
      </c>
      <c r="AF2170" s="6">
        <f t="shared" ca="1" si="408"/>
        <v>0</v>
      </c>
      <c r="AG2170">
        <f t="shared" ca="1" si="414"/>
        <v>0</v>
      </c>
      <c r="AH2170">
        <f t="shared" ca="1" si="409"/>
        <v>0</v>
      </c>
      <c r="AI2170">
        <f t="shared" ca="1" si="410"/>
        <v>0</v>
      </c>
      <c r="AJ2170">
        <f t="shared" ca="1" si="411"/>
        <v>0</v>
      </c>
      <c r="AK2170">
        <f t="shared" ca="1" si="412"/>
        <v>0</v>
      </c>
      <c r="AL2170">
        <f t="shared" ca="1" si="413"/>
        <v>0</v>
      </c>
    </row>
    <row r="2171" spans="1:38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#N/A, OFFSET(data!$A$1, ROW()-1, AA$1-1))</f>
        <v>0</v>
      </c>
      <c r="AB2171">
        <f t="shared" ca="1" si="404"/>
        <v>0</v>
      </c>
      <c r="AC2171" t="e">
        <f t="shared" ca="1" si="405"/>
        <v>#VALUE!</v>
      </c>
      <c r="AD2171" t="str">
        <f t="shared" ca="1" si="406"/>
        <v>0</v>
      </c>
      <c r="AE2171" t="str">
        <f t="shared" ca="1" si="407"/>
        <v/>
      </c>
      <c r="AF2171" s="6">
        <f t="shared" ca="1" si="408"/>
        <v>0</v>
      </c>
      <c r="AG2171">
        <f t="shared" ca="1" si="414"/>
        <v>0</v>
      </c>
      <c r="AH2171">
        <f t="shared" ca="1" si="409"/>
        <v>0</v>
      </c>
      <c r="AI2171">
        <f t="shared" ca="1" si="410"/>
        <v>0</v>
      </c>
      <c r="AJ2171">
        <f t="shared" ca="1" si="411"/>
        <v>0</v>
      </c>
      <c r="AK2171">
        <f t="shared" ca="1" si="412"/>
        <v>0</v>
      </c>
      <c r="AL2171">
        <f t="shared" ca="1" si="413"/>
        <v>0</v>
      </c>
    </row>
    <row r="2172" spans="1:38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#N/A, OFFSET(data!$A$1, ROW()-1, AA$1-1))</f>
        <v>0</v>
      </c>
      <c r="AB2172">
        <f t="shared" ca="1" si="404"/>
        <v>0</v>
      </c>
      <c r="AC2172" t="e">
        <f t="shared" ca="1" si="405"/>
        <v>#VALUE!</v>
      </c>
      <c r="AD2172" t="str">
        <f t="shared" ca="1" si="406"/>
        <v>0</v>
      </c>
      <c r="AE2172" t="str">
        <f t="shared" ca="1" si="407"/>
        <v/>
      </c>
      <c r="AF2172" s="6">
        <f t="shared" ca="1" si="408"/>
        <v>0</v>
      </c>
      <c r="AG2172">
        <f t="shared" ca="1" si="414"/>
        <v>0</v>
      </c>
      <c r="AH2172">
        <f t="shared" ca="1" si="409"/>
        <v>0</v>
      </c>
      <c r="AI2172">
        <f t="shared" ca="1" si="410"/>
        <v>0</v>
      </c>
      <c r="AJ2172">
        <f t="shared" ca="1" si="411"/>
        <v>0</v>
      </c>
      <c r="AK2172">
        <f t="shared" ca="1" si="412"/>
        <v>0</v>
      </c>
      <c r="AL2172">
        <f t="shared" ca="1" si="413"/>
        <v>0</v>
      </c>
    </row>
    <row r="2173" spans="1:38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#N/A, OFFSET(data!$A$1, ROW()-1, AA$1-1))</f>
        <v>0</v>
      </c>
      <c r="AB2173">
        <f t="shared" ca="1" si="404"/>
        <v>0</v>
      </c>
      <c r="AC2173" t="e">
        <f t="shared" ca="1" si="405"/>
        <v>#VALUE!</v>
      </c>
      <c r="AD2173" t="str">
        <f t="shared" ca="1" si="406"/>
        <v>0</v>
      </c>
      <c r="AE2173" t="str">
        <f t="shared" ca="1" si="407"/>
        <v/>
      </c>
      <c r="AF2173" s="6">
        <f t="shared" ca="1" si="408"/>
        <v>0</v>
      </c>
      <c r="AG2173">
        <f t="shared" ca="1" si="414"/>
        <v>0</v>
      </c>
      <c r="AH2173">
        <f t="shared" ca="1" si="409"/>
        <v>0</v>
      </c>
      <c r="AI2173">
        <f t="shared" ca="1" si="410"/>
        <v>0</v>
      </c>
      <c r="AJ2173">
        <f t="shared" ca="1" si="411"/>
        <v>0</v>
      </c>
      <c r="AK2173">
        <f t="shared" ca="1" si="412"/>
        <v>0</v>
      </c>
      <c r="AL2173">
        <f t="shared" ca="1" si="413"/>
        <v>0</v>
      </c>
    </row>
    <row r="2174" spans="1:38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#N/A, OFFSET(data!$A$1, ROW()-1, AA$1-1))</f>
        <v>0</v>
      </c>
      <c r="AB2174">
        <f t="shared" ca="1" si="404"/>
        <v>0</v>
      </c>
      <c r="AC2174" t="e">
        <f t="shared" ca="1" si="405"/>
        <v>#VALUE!</v>
      </c>
      <c r="AD2174" t="str">
        <f t="shared" ca="1" si="406"/>
        <v>0</v>
      </c>
      <c r="AE2174" t="str">
        <f t="shared" ca="1" si="407"/>
        <v/>
      </c>
      <c r="AF2174" s="6">
        <f t="shared" ca="1" si="408"/>
        <v>0</v>
      </c>
      <c r="AG2174">
        <f t="shared" ca="1" si="414"/>
        <v>0</v>
      </c>
      <c r="AH2174">
        <f t="shared" ca="1" si="409"/>
        <v>0</v>
      </c>
      <c r="AI2174">
        <f t="shared" ca="1" si="410"/>
        <v>0</v>
      </c>
      <c r="AJ2174">
        <f t="shared" ca="1" si="411"/>
        <v>0</v>
      </c>
      <c r="AK2174">
        <f t="shared" ca="1" si="412"/>
        <v>0</v>
      </c>
      <c r="AL2174">
        <f t="shared" ca="1" si="413"/>
        <v>0</v>
      </c>
    </row>
    <row r="2175" spans="1:38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#N/A, OFFSET(data!$A$1, ROW()-1, AA$1-1))</f>
        <v>0</v>
      </c>
      <c r="AB2175">
        <f t="shared" ca="1" si="404"/>
        <v>0</v>
      </c>
      <c r="AC2175" t="e">
        <f t="shared" ca="1" si="405"/>
        <v>#VALUE!</v>
      </c>
      <c r="AD2175" t="str">
        <f t="shared" ca="1" si="406"/>
        <v>0</v>
      </c>
      <c r="AE2175" t="str">
        <f t="shared" ca="1" si="407"/>
        <v/>
      </c>
      <c r="AF2175" s="6">
        <f t="shared" ca="1" si="408"/>
        <v>0</v>
      </c>
      <c r="AG2175">
        <f t="shared" ca="1" si="414"/>
        <v>0</v>
      </c>
      <c r="AH2175">
        <f t="shared" ca="1" si="409"/>
        <v>0</v>
      </c>
      <c r="AI2175">
        <f t="shared" ca="1" si="410"/>
        <v>0</v>
      </c>
      <c r="AJ2175">
        <f t="shared" ca="1" si="411"/>
        <v>0</v>
      </c>
      <c r="AK2175">
        <f t="shared" ca="1" si="412"/>
        <v>0</v>
      </c>
      <c r="AL2175">
        <f t="shared" ca="1" si="413"/>
        <v>0</v>
      </c>
    </row>
    <row r="2176" spans="1:38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#N/A, OFFSET(data!$A$1, ROW()-1, AA$1-1))</f>
        <v>0</v>
      </c>
      <c r="AB2176">
        <f t="shared" ca="1" si="404"/>
        <v>0</v>
      </c>
      <c r="AC2176" t="e">
        <f t="shared" ca="1" si="405"/>
        <v>#VALUE!</v>
      </c>
      <c r="AD2176" t="str">
        <f t="shared" ca="1" si="406"/>
        <v>0</v>
      </c>
      <c r="AE2176" t="str">
        <f t="shared" ca="1" si="407"/>
        <v/>
      </c>
      <c r="AF2176" s="6">
        <f t="shared" ca="1" si="408"/>
        <v>0</v>
      </c>
      <c r="AG2176">
        <f t="shared" ca="1" si="414"/>
        <v>0</v>
      </c>
      <c r="AH2176">
        <f t="shared" ca="1" si="409"/>
        <v>0</v>
      </c>
      <c r="AI2176">
        <f t="shared" ca="1" si="410"/>
        <v>0</v>
      </c>
      <c r="AJ2176">
        <f t="shared" ca="1" si="411"/>
        <v>0</v>
      </c>
      <c r="AK2176">
        <f t="shared" ca="1" si="412"/>
        <v>0</v>
      </c>
      <c r="AL2176">
        <f t="shared" ca="1" si="413"/>
        <v>0</v>
      </c>
    </row>
    <row r="2177" spans="1:38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#N/A, OFFSET(data!$A$1, ROW()-1, AA$1-1))</f>
        <v>0</v>
      </c>
      <c r="AB2177">
        <f t="shared" ca="1" si="404"/>
        <v>0</v>
      </c>
      <c r="AC2177" t="e">
        <f t="shared" ca="1" si="405"/>
        <v>#VALUE!</v>
      </c>
      <c r="AD2177" t="str">
        <f t="shared" ca="1" si="406"/>
        <v>0</v>
      </c>
      <c r="AE2177" t="str">
        <f t="shared" ca="1" si="407"/>
        <v/>
      </c>
      <c r="AF2177" s="6">
        <f t="shared" ca="1" si="408"/>
        <v>0</v>
      </c>
      <c r="AG2177">
        <f t="shared" ca="1" si="414"/>
        <v>0</v>
      </c>
      <c r="AH2177">
        <f t="shared" ca="1" si="409"/>
        <v>0</v>
      </c>
      <c r="AI2177">
        <f t="shared" ca="1" si="410"/>
        <v>0</v>
      </c>
      <c r="AJ2177">
        <f t="shared" ca="1" si="411"/>
        <v>0</v>
      </c>
      <c r="AK2177">
        <f t="shared" ca="1" si="412"/>
        <v>0</v>
      </c>
      <c r="AL2177">
        <f t="shared" ca="1" si="413"/>
        <v>0</v>
      </c>
    </row>
    <row r="2178" spans="1:38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#N/A, OFFSET(data!$A$1, ROW()-1, AA$1-1))</f>
        <v>0</v>
      </c>
      <c r="AB2178">
        <f t="shared" ca="1" si="404"/>
        <v>0</v>
      </c>
      <c r="AC2178" t="e">
        <f t="shared" ca="1" si="405"/>
        <v>#VALUE!</v>
      </c>
      <c r="AD2178" t="str">
        <f t="shared" ca="1" si="406"/>
        <v>0</v>
      </c>
      <c r="AE2178" t="str">
        <f t="shared" ca="1" si="407"/>
        <v/>
      </c>
      <c r="AF2178" s="6">
        <f t="shared" ca="1" si="408"/>
        <v>0</v>
      </c>
      <c r="AG2178">
        <f t="shared" ca="1" si="414"/>
        <v>0</v>
      </c>
      <c r="AH2178">
        <f t="shared" ca="1" si="409"/>
        <v>0</v>
      </c>
      <c r="AI2178">
        <f t="shared" ca="1" si="410"/>
        <v>0</v>
      </c>
      <c r="AJ2178">
        <f t="shared" ca="1" si="411"/>
        <v>0</v>
      </c>
      <c r="AK2178">
        <f t="shared" ca="1" si="412"/>
        <v>0</v>
      </c>
      <c r="AL2178">
        <f t="shared" ca="1" si="413"/>
        <v>0</v>
      </c>
    </row>
    <row r="2179" spans="1:38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#N/A, OFFSET(data!$A$1, ROW()-1, AA$1-1))</f>
        <v>0</v>
      </c>
      <c r="AB2179">
        <f t="shared" ref="AB2179:AB2242" ca="1" si="415">VALUE(LEFT(C2179, 4))</f>
        <v>0</v>
      </c>
      <c r="AC2179" t="e">
        <f t="shared" ref="AC2179:AC2242" ca="1" si="416">VALUE(MID(C2179, 6, 2))</f>
        <v>#VALUE!</v>
      </c>
      <c r="AD2179" t="str">
        <f t="shared" ref="AD2179:AD2242" ca="1" si="417">SUBSTITUTE(MID(C2179,6,6)&amp;LEFT(C2179,4), "-", "/")</f>
        <v>0</v>
      </c>
      <c r="AE2179" t="str">
        <f t="shared" ref="AE2179:AE2242" ca="1" si="418">IF(RIGHT(C2179, 5)="12:00", AD2179, "")</f>
        <v/>
      </c>
      <c r="AF2179" s="6">
        <f t="shared" ref="AF2179:AF2242" ca="1" si="419">Z2179/1000</f>
        <v>0</v>
      </c>
      <c r="AG2179">
        <f t="shared" ca="1" si="414"/>
        <v>0</v>
      </c>
      <c r="AH2179">
        <f t="shared" ca="1" si="409"/>
        <v>0</v>
      </c>
      <c r="AI2179">
        <f t="shared" ca="1" si="410"/>
        <v>0</v>
      </c>
      <c r="AJ2179">
        <f t="shared" ca="1" si="411"/>
        <v>0</v>
      </c>
      <c r="AK2179">
        <f t="shared" ca="1" si="412"/>
        <v>0</v>
      </c>
      <c r="AL2179">
        <f t="shared" ca="1" si="413"/>
        <v>0</v>
      </c>
    </row>
    <row r="2180" spans="1:38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#N/A, OFFSET(data!$A$1, ROW()-1, AA$1-1))</f>
        <v>0</v>
      </c>
      <c r="AB2180">
        <f t="shared" ca="1" si="415"/>
        <v>0</v>
      </c>
      <c r="AC2180" t="e">
        <f t="shared" ca="1" si="416"/>
        <v>#VALUE!</v>
      </c>
      <c r="AD2180" t="str">
        <f t="shared" ca="1" si="417"/>
        <v>0</v>
      </c>
      <c r="AE2180" t="str">
        <f t="shared" ca="1" si="418"/>
        <v/>
      </c>
      <c r="AF2180" s="6">
        <f t="shared" ca="1" si="419"/>
        <v>0</v>
      </c>
      <c r="AG2180">
        <f t="shared" ca="1" si="414"/>
        <v>0</v>
      </c>
      <c r="AH2180">
        <f t="shared" ref="AH2180:AH2243" ca="1" si="420">MAX(S2180,Y2180)</f>
        <v>0</v>
      </c>
      <c r="AI2180">
        <f t="shared" ref="AI2180:AI2243" ca="1" si="421">MAX(R2180,V2180)</f>
        <v>0</v>
      </c>
      <c r="AJ2180">
        <f t="shared" ref="AJ2180:AJ2243" ca="1" si="422">K2180+N2180</f>
        <v>0</v>
      </c>
      <c r="AK2180">
        <f t="shared" ref="AK2180:AK2243" ca="1" si="423">L2180+O2180</f>
        <v>0</v>
      </c>
      <c r="AL2180">
        <f t="shared" ref="AL2180:AL2243" ca="1" si="424">M2180+P2180</f>
        <v>0</v>
      </c>
    </row>
    <row r="2181" spans="1:38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#N/A, OFFSET(data!$A$1, ROW()-1, AA$1-1))</f>
        <v>0</v>
      </c>
      <c r="AB2181">
        <f t="shared" ca="1" si="415"/>
        <v>0</v>
      </c>
      <c r="AC2181" t="e">
        <f t="shared" ca="1" si="416"/>
        <v>#VALUE!</v>
      </c>
      <c r="AD2181" t="str">
        <f t="shared" ca="1" si="417"/>
        <v>0</v>
      </c>
      <c r="AE2181" t="str">
        <f t="shared" ca="1" si="418"/>
        <v/>
      </c>
      <c r="AF2181" s="6">
        <f t="shared" ca="1" si="419"/>
        <v>0</v>
      </c>
      <c r="AG2181">
        <f t="shared" ca="1" si="414"/>
        <v>0</v>
      </c>
      <c r="AH2181">
        <f t="shared" ca="1" si="420"/>
        <v>0</v>
      </c>
      <c r="AI2181">
        <f t="shared" ca="1" si="421"/>
        <v>0</v>
      </c>
      <c r="AJ2181">
        <f t="shared" ca="1" si="422"/>
        <v>0</v>
      </c>
      <c r="AK2181">
        <f t="shared" ca="1" si="423"/>
        <v>0</v>
      </c>
      <c r="AL2181">
        <f t="shared" ca="1" si="424"/>
        <v>0</v>
      </c>
    </row>
    <row r="2182" spans="1:38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#N/A, OFFSET(data!$A$1, ROW()-1, AA$1-1))</f>
        <v>0</v>
      </c>
      <c r="AB2182">
        <f t="shared" ca="1" si="415"/>
        <v>0</v>
      </c>
      <c r="AC2182" t="e">
        <f t="shared" ca="1" si="416"/>
        <v>#VALUE!</v>
      </c>
      <c r="AD2182" t="str">
        <f t="shared" ca="1" si="417"/>
        <v>0</v>
      </c>
      <c r="AE2182" t="str">
        <f t="shared" ca="1" si="418"/>
        <v/>
      </c>
      <c r="AF2182" s="6">
        <f t="shared" ca="1" si="419"/>
        <v>0</v>
      </c>
      <c r="AG2182">
        <f t="shared" ca="1" si="414"/>
        <v>0</v>
      </c>
      <c r="AH2182">
        <f t="shared" ca="1" si="420"/>
        <v>0</v>
      </c>
      <c r="AI2182">
        <f t="shared" ca="1" si="421"/>
        <v>0</v>
      </c>
      <c r="AJ2182">
        <f t="shared" ca="1" si="422"/>
        <v>0</v>
      </c>
      <c r="AK2182">
        <f t="shared" ca="1" si="423"/>
        <v>0</v>
      </c>
      <c r="AL2182">
        <f t="shared" ca="1" si="424"/>
        <v>0</v>
      </c>
    </row>
    <row r="2183" spans="1:38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#N/A, OFFSET(data!$A$1, ROW()-1, AA$1-1))</f>
        <v>0</v>
      </c>
      <c r="AB2183">
        <f t="shared" ca="1" si="415"/>
        <v>0</v>
      </c>
      <c r="AC2183" t="e">
        <f t="shared" ca="1" si="416"/>
        <v>#VALUE!</v>
      </c>
      <c r="AD2183" t="str">
        <f t="shared" ca="1" si="417"/>
        <v>0</v>
      </c>
      <c r="AE2183" t="str">
        <f t="shared" ca="1" si="418"/>
        <v/>
      </c>
      <c r="AF2183" s="6">
        <f t="shared" ca="1" si="419"/>
        <v>0</v>
      </c>
      <c r="AG2183">
        <f t="shared" ca="1" si="414"/>
        <v>0</v>
      </c>
      <c r="AH2183">
        <f t="shared" ca="1" si="420"/>
        <v>0</v>
      </c>
      <c r="AI2183">
        <f t="shared" ca="1" si="421"/>
        <v>0</v>
      </c>
      <c r="AJ2183">
        <f t="shared" ca="1" si="422"/>
        <v>0</v>
      </c>
      <c r="AK2183">
        <f t="shared" ca="1" si="423"/>
        <v>0</v>
      </c>
      <c r="AL2183">
        <f t="shared" ca="1" si="424"/>
        <v>0</v>
      </c>
    </row>
    <row r="2184" spans="1:38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#N/A, OFFSET(data!$A$1, ROW()-1, AA$1-1))</f>
        <v>0</v>
      </c>
      <c r="AB2184">
        <f t="shared" ca="1" si="415"/>
        <v>0</v>
      </c>
      <c r="AC2184" t="e">
        <f t="shared" ca="1" si="416"/>
        <v>#VALUE!</v>
      </c>
      <c r="AD2184" t="str">
        <f t="shared" ca="1" si="417"/>
        <v>0</v>
      </c>
      <c r="AE2184" t="str">
        <f t="shared" ca="1" si="418"/>
        <v/>
      </c>
      <c r="AF2184" s="6">
        <f t="shared" ca="1" si="419"/>
        <v>0</v>
      </c>
      <c r="AG2184">
        <f t="shared" ca="1" si="414"/>
        <v>0</v>
      </c>
      <c r="AH2184">
        <f t="shared" ca="1" si="420"/>
        <v>0</v>
      </c>
      <c r="AI2184">
        <f t="shared" ca="1" si="421"/>
        <v>0</v>
      </c>
      <c r="AJ2184">
        <f t="shared" ca="1" si="422"/>
        <v>0</v>
      </c>
      <c r="AK2184">
        <f t="shared" ca="1" si="423"/>
        <v>0</v>
      </c>
      <c r="AL2184">
        <f t="shared" ca="1" si="424"/>
        <v>0</v>
      </c>
    </row>
    <row r="2185" spans="1:38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#N/A, OFFSET(data!$A$1, ROW()-1, AA$1-1))</f>
        <v>0</v>
      </c>
      <c r="AB2185">
        <f t="shared" ca="1" si="415"/>
        <v>0</v>
      </c>
      <c r="AC2185" t="e">
        <f t="shared" ca="1" si="416"/>
        <v>#VALUE!</v>
      </c>
      <c r="AD2185" t="str">
        <f t="shared" ca="1" si="417"/>
        <v>0</v>
      </c>
      <c r="AE2185" t="str">
        <f t="shared" ca="1" si="418"/>
        <v/>
      </c>
      <c r="AF2185" s="6">
        <f t="shared" ca="1" si="419"/>
        <v>0</v>
      </c>
      <c r="AG2185">
        <f t="shared" ca="1" si="414"/>
        <v>0</v>
      </c>
      <c r="AH2185">
        <f t="shared" ca="1" si="420"/>
        <v>0</v>
      </c>
      <c r="AI2185">
        <f t="shared" ca="1" si="421"/>
        <v>0</v>
      </c>
      <c r="AJ2185">
        <f t="shared" ca="1" si="422"/>
        <v>0</v>
      </c>
      <c r="AK2185">
        <f t="shared" ca="1" si="423"/>
        <v>0</v>
      </c>
      <c r="AL2185">
        <f t="shared" ca="1" si="424"/>
        <v>0</v>
      </c>
    </row>
    <row r="2186" spans="1:38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#N/A, OFFSET(data!$A$1, ROW()-1, AA$1-1))</f>
        <v>0</v>
      </c>
      <c r="AB2186">
        <f t="shared" ca="1" si="415"/>
        <v>0</v>
      </c>
      <c r="AC2186" t="e">
        <f t="shared" ca="1" si="416"/>
        <v>#VALUE!</v>
      </c>
      <c r="AD2186" t="str">
        <f t="shared" ca="1" si="417"/>
        <v>0</v>
      </c>
      <c r="AE2186" t="str">
        <f t="shared" ca="1" si="418"/>
        <v/>
      </c>
      <c r="AF2186" s="6">
        <f t="shared" ca="1" si="419"/>
        <v>0</v>
      </c>
      <c r="AG2186">
        <f t="shared" ca="1" si="414"/>
        <v>0</v>
      </c>
      <c r="AH2186">
        <f t="shared" ca="1" si="420"/>
        <v>0</v>
      </c>
      <c r="AI2186">
        <f t="shared" ca="1" si="421"/>
        <v>0</v>
      </c>
      <c r="AJ2186">
        <f t="shared" ca="1" si="422"/>
        <v>0</v>
      </c>
      <c r="AK2186">
        <f t="shared" ca="1" si="423"/>
        <v>0</v>
      </c>
      <c r="AL2186">
        <f t="shared" ca="1" si="424"/>
        <v>0</v>
      </c>
    </row>
    <row r="2187" spans="1:38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#N/A, OFFSET(data!$A$1, ROW()-1, AA$1-1))</f>
        <v>0</v>
      </c>
      <c r="AB2187">
        <f t="shared" ca="1" si="415"/>
        <v>0</v>
      </c>
      <c r="AC2187" t="e">
        <f t="shared" ca="1" si="416"/>
        <v>#VALUE!</v>
      </c>
      <c r="AD2187" t="str">
        <f t="shared" ca="1" si="417"/>
        <v>0</v>
      </c>
      <c r="AE2187" t="str">
        <f t="shared" ca="1" si="418"/>
        <v/>
      </c>
      <c r="AF2187" s="6">
        <f t="shared" ca="1" si="419"/>
        <v>0</v>
      </c>
      <c r="AG2187">
        <f t="shared" ca="1" si="414"/>
        <v>0</v>
      </c>
      <c r="AH2187">
        <f t="shared" ca="1" si="420"/>
        <v>0</v>
      </c>
      <c r="AI2187">
        <f t="shared" ca="1" si="421"/>
        <v>0</v>
      </c>
      <c r="AJ2187">
        <f t="shared" ca="1" si="422"/>
        <v>0</v>
      </c>
      <c r="AK2187">
        <f t="shared" ca="1" si="423"/>
        <v>0</v>
      </c>
      <c r="AL2187">
        <f t="shared" ca="1" si="424"/>
        <v>0</v>
      </c>
    </row>
    <row r="2188" spans="1:38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#N/A, OFFSET(data!$A$1, ROW()-1, AA$1-1))</f>
        <v>0</v>
      </c>
      <c r="AB2188">
        <f t="shared" ca="1" si="415"/>
        <v>0</v>
      </c>
      <c r="AC2188" t="e">
        <f t="shared" ca="1" si="416"/>
        <v>#VALUE!</v>
      </c>
      <c r="AD2188" t="str">
        <f t="shared" ca="1" si="417"/>
        <v>0</v>
      </c>
      <c r="AE2188" t="str">
        <f t="shared" ca="1" si="418"/>
        <v/>
      </c>
      <c r="AF2188" s="6">
        <f t="shared" ca="1" si="419"/>
        <v>0</v>
      </c>
      <c r="AG2188">
        <f t="shared" ca="1" si="414"/>
        <v>0</v>
      </c>
      <c r="AH2188">
        <f t="shared" ca="1" si="420"/>
        <v>0</v>
      </c>
      <c r="AI2188">
        <f t="shared" ca="1" si="421"/>
        <v>0</v>
      </c>
      <c r="AJ2188">
        <f t="shared" ca="1" si="422"/>
        <v>0</v>
      </c>
      <c r="AK2188">
        <f t="shared" ca="1" si="423"/>
        <v>0</v>
      </c>
      <c r="AL2188">
        <f t="shared" ca="1" si="424"/>
        <v>0</v>
      </c>
    </row>
    <row r="2189" spans="1:38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#N/A, OFFSET(data!$A$1, ROW()-1, AA$1-1))</f>
        <v>0</v>
      </c>
      <c r="AB2189">
        <f t="shared" ca="1" si="415"/>
        <v>0</v>
      </c>
      <c r="AC2189" t="e">
        <f t="shared" ca="1" si="416"/>
        <v>#VALUE!</v>
      </c>
      <c r="AD2189" t="str">
        <f t="shared" ca="1" si="417"/>
        <v>0</v>
      </c>
      <c r="AE2189" t="str">
        <f t="shared" ca="1" si="418"/>
        <v/>
      </c>
      <c r="AF2189" s="6">
        <f t="shared" ca="1" si="419"/>
        <v>0</v>
      </c>
      <c r="AG2189">
        <f t="shared" ca="1" si="414"/>
        <v>0</v>
      </c>
      <c r="AH2189">
        <f t="shared" ca="1" si="420"/>
        <v>0</v>
      </c>
      <c r="AI2189">
        <f t="shared" ca="1" si="421"/>
        <v>0</v>
      </c>
      <c r="AJ2189">
        <f t="shared" ca="1" si="422"/>
        <v>0</v>
      </c>
      <c r="AK2189">
        <f t="shared" ca="1" si="423"/>
        <v>0</v>
      </c>
      <c r="AL2189">
        <f t="shared" ca="1" si="424"/>
        <v>0</v>
      </c>
    </row>
    <row r="2190" spans="1:38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#N/A, OFFSET(data!$A$1, ROW()-1, AA$1-1))</f>
        <v>0</v>
      </c>
      <c r="AB2190">
        <f t="shared" ca="1" si="415"/>
        <v>0</v>
      </c>
      <c r="AC2190" t="e">
        <f t="shared" ca="1" si="416"/>
        <v>#VALUE!</v>
      </c>
      <c r="AD2190" t="str">
        <f t="shared" ca="1" si="417"/>
        <v>0</v>
      </c>
      <c r="AE2190" t="str">
        <f t="shared" ca="1" si="418"/>
        <v/>
      </c>
      <c r="AF2190" s="6">
        <f t="shared" ca="1" si="419"/>
        <v>0</v>
      </c>
      <c r="AG2190">
        <f t="shared" ca="1" si="414"/>
        <v>0</v>
      </c>
      <c r="AH2190">
        <f t="shared" ca="1" si="420"/>
        <v>0</v>
      </c>
      <c r="AI2190">
        <f t="shared" ca="1" si="421"/>
        <v>0</v>
      </c>
      <c r="AJ2190">
        <f t="shared" ca="1" si="422"/>
        <v>0</v>
      </c>
      <c r="AK2190">
        <f t="shared" ca="1" si="423"/>
        <v>0</v>
      </c>
      <c r="AL2190">
        <f t="shared" ca="1" si="424"/>
        <v>0</v>
      </c>
    </row>
    <row r="2191" spans="1:38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#N/A, OFFSET(data!$A$1, ROW()-1, AA$1-1))</f>
        <v>0</v>
      </c>
      <c r="AB2191">
        <f t="shared" ca="1" si="415"/>
        <v>0</v>
      </c>
      <c r="AC2191" t="e">
        <f t="shared" ca="1" si="416"/>
        <v>#VALUE!</v>
      </c>
      <c r="AD2191" t="str">
        <f t="shared" ca="1" si="417"/>
        <v>0</v>
      </c>
      <c r="AE2191" t="str">
        <f t="shared" ca="1" si="418"/>
        <v/>
      </c>
      <c r="AF2191" s="6">
        <f t="shared" ca="1" si="419"/>
        <v>0</v>
      </c>
      <c r="AG2191">
        <f t="shared" ca="1" si="414"/>
        <v>0</v>
      </c>
      <c r="AH2191">
        <f t="shared" ca="1" si="420"/>
        <v>0</v>
      </c>
      <c r="AI2191">
        <f t="shared" ca="1" si="421"/>
        <v>0</v>
      </c>
      <c r="AJ2191">
        <f t="shared" ca="1" si="422"/>
        <v>0</v>
      </c>
      <c r="AK2191">
        <f t="shared" ca="1" si="423"/>
        <v>0</v>
      </c>
      <c r="AL2191">
        <f t="shared" ca="1" si="424"/>
        <v>0</v>
      </c>
    </row>
    <row r="2192" spans="1:38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#N/A, OFFSET(data!$A$1, ROW()-1, AA$1-1))</f>
        <v>0</v>
      </c>
      <c r="AB2192">
        <f t="shared" ca="1" si="415"/>
        <v>0</v>
      </c>
      <c r="AC2192" t="e">
        <f t="shared" ca="1" si="416"/>
        <v>#VALUE!</v>
      </c>
      <c r="AD2192" t="str">
        <f t="shared" ca="1" si="417"/>
        <v>0</v>
      </c>
      <c r="AE2192" t="str">
        <f t="shared" ca="1" si="418"/>
        <v/>
      </c>
      <c r="AF2192" s="6">
        <f t="shared" ca="1" si="419"/>
        <v>0</v>
      </c>
      <c r="AG2192">
        <f t="shared" ca="1" si="414"/>
        <v>0</v>
      </c>
      <c r="AH2192">
        <f t="shared" ca="1" si="420"/>
        <v>0</v>
      </c>
      <c r="AI2192">
        <f t="shared" ca="1" si="421"/>
        <v>0</v>
      </c>
      <c r="AJ2192">
        <f t="shared" ca="1" si="422"/>
        <v>0</v>
      </c>
      <c r="AK2192">
        <f t="shared" ca="1" si="423"/>
        <v>0</v>
      </c>
      <c r="AL2192">
        <f t="shared" ca="1" si="424"/>
        <v>0</v>
      </c>
    </row>
    <row r="2193" spans="1:38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#N/A, OFFSET(data!$A$1, ROW()-1, AA$1-1))</f>
        <v>0</v>
      </c>
      <c r="AB2193">
        <f t="shared" ca="1" si="415"/>
        <v>0</v>
      </c>
      <c r="AC2193" t="e">
        <f t="shared" ca="1" si="416"/>
        <v>#VALUE!</v>
      </c>
      <c r="AD2193" t="str">
        <f t="shared" ca="1" si="417"/>
        <v>0</v>
      </c>
      <c r="AE2193" t="str">
        <f t="shared" ca="1" si="418"/>
        <v/>
      </c>
      <c r="AF2193" s="6">
        <f t="shared" ca="1" si="419"/>
        <v>0</v>
      </c>
      <c r="AG2193">
        <f t="shared" ca="1" si="414"/>
        <v>0</v>
      </c>
      <c r="AH2193">
        <f t="shared" ca="1" si="420"/>
        <v>0</v>
      </c>
      <c r="AI2193">
        <f t="shared" ca="1" si="421"/>
        <v>0</v>
      </c>
      <c r="AJ2193">
        <f t="shared" ca="1" si="422"/>
        <v>0</v>
      </c>
      <c r="AK2193">
        <f t="shared" ca="1" si="423"/>
        <v>0</v>
      </c>
      <c r="AL2193">
        <f t="shared" ca="1" si="424"/>
        <v>0</v>
      </c>
    </row>
    <row r="2194" spans="1:38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#N/A, OFFSET(data!$A$1, ROW()-1, AA$1-1))</f>
        <v>0</v>
      </c>
      <c r="AB2194">
        <f t="shared" ca="1" si="415"/>
        <v>0</v>
      </c>
      <c r="AC2194" t="e">
        <f t="shared" ca="1" si="416"/>
        <v>#VALUE!</v>
      </c>
      <c r="AD2194" t="str">
        <f t="shared" ca="1" si="417"/>
        <v>0</v>
      </c>
      <c r="AE2194" t="str">
        <f t="shared" ca="1" si="418"/>
        <v/>
      </c>
      <c r="AF2194" s="6">
        <f t="shared" ca="1" si="419"/>
        <v>0</v>
      </c>
      <c r="AG2194">
        <f t="shared" ca="1" si="414"/>
        <v>0</v>
      </c>
      <c r="AH2194">
        <f t="shared" ca="1" si="420"/>
        <v>0</v>
      </c>
      <c r="AI2194">
        <f t="shared" ca="1" si="421"/>
        <v>0</v>
      </c>
      <c r="AJ2194">
        <f t="shared" ca="1" si="422"/>
        <v>0</v>
      </c>
      <c r="AK2194">
        <f t="shared" ca="1" si="423"/>
        <v>0</v>
      </c>
      <c r="AL2194">
        <f t="shared" ca="1" si="424"/>
        <v>0</v>
      </c>
    </row>
    <row r="2195" spans="1:38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#N/A, OFFSET(data!$A$1, ROW()-1, AA$1-1))</f>
        <v>0</v>
      </c>
      <c r="AB2195">
        <f t="shared" ca="1" si="415"/>
        <v>0</v>
      </c>
      <c r="AC2195" t="e">
        <f t="shared" ca="1" si="416"/>
        <v>#VALUE!</v>
      </c>
      <c r="AD2195" t="str">
        <f t="shared" ca="1" si="417"/>
        <v>0</v>
      </c>
      <c r="AE2195" t="str">
        <f t="shared" ca="1" si="418"/>
        <v/>
      </c>
      <c r="AF2195" s="6">
        <f t="shared" ca="1" si="419"/>
        <v>0</v>
      </c>
      <c r="AG2195">
        <f t="shared" ca="1" si="414"/>
        <v>0</v>
      </c>
      <c r="AH2195">
        <f t="shared" ca="1" si="420"/>
        <v>0</v>
      </c>
      <c r="AI2195">
        <f t="shared" ca="1" si="421"/>
        <v>0</v>
      </c>
      <c r="AJ2195">
        <f t="shared" ca="1" si="422"/>
        <v>0</v>
      </c>
      <c r="AK2195">
        <f t="shared" ca="1" si="423"/>
        <v>0</v>
      </c>
      <c r="AL2195">
        <f t="shared" ca="1" si="424"/>
        <v>0</v>
      </c>
    </row>
    <row r="2196" spans="1:38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#N/A, OFFSET(data!$A$1, ROW()-1, AA$1-1))</f>
        <v>0</v>
      </c>
      <c r="AB2196">
        <f t="shared" ca="1" si="415"/>
        <v>0</v>
      </c>
      <c r="AC2196" t="e">
        <f t="shared" ca="1" si="416"/>
        <v>#VALUE!</v>
      </c>
      <c r="AD2196" t="str">
        <f t="shared" ca="1" si="417"/>
        <v>0</v>
      </c>
      <c r="AE2196" t="str">
        <f t="shared" ca="1" si="418"/>
        <v/>
      </c>
      <c r="AF2196" s="6">
        <f t="shared" ca="1" si="419"/>
        <v>0</v>
      </c>
      <c r="AG2196">
        <f t="shared" ca="1" si="414"/>
        <v>0</v>
      </c>
      <c r="AH2196">
        <f t="shared" ca="1" si="420"/>
        <v>0</v>
      </c>
      <c r="AI2196">
        <f t="shared" ca="1" si="421"/>
        <v>0</v>
      </c>
      <c r="AJ2196">
        <f t="shared" ca="1" si="422"/>
        <v>0</v>
      </c>
      <c r="AK2196">
        <f t="shared" ca="1" si="423"/>
        <v>0</v>
      </c>
      <c r="AL2196">
        <f t="shared" ca="1" si="424"/>
        <v>0</v>
      </c>
    </row>
    <row r="2197" spans="1:38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#N/A, OFFSET(data!$A$1, ROW()-1, AA$1-1))</f>
        <v>0</v>
      </c>
      <c r="AB2197">
        <f t="shared" ca="1" si="415"/>
        <v>0</v>
      </c>
      <c r="AC2197" t="e">
        <f t="shared" ca="1" si="416"/>
        <v>#VALUE!</v>
      </c>
      <c r="AD2197" t="str">
        <f t="shared" ca="1" si="417"/>
        <v>0</v>
      </c>
      <c r="AE2197" t="str">
        <f t="shared" ca="1" si="418"/>
        <v/>
      </c>
      <c r="AF2197" s="6">
        <f t="shared" ca="1" si="419"/>
        <v>0</v>
      </c>
      <c r="AG2197">
        <f t="shared" ca="1" si="414"/>
        <v>0</v>
      </c>
      <c r="AH2197">
        <f t="shared" ca="1" si="420"/>
        <v>0</v>
      </c>
      <c r="AI2197">
        <f t="shared" ca="1" si="421"/>
        <v>0</v>
      </c>
      <c r="AJ2197">
        <f t="shared" ca="1" si="422"/>
        <v>0</v>
      </c>
      <c r="AK2197">
        <f t="shared" ca="1" si="423"/>
        <v>0</v>
      </c>
      <c r="AL2197">
        <f t="shared" ca="1" si="424"/>
        <v>0</v>
      </c>
    </row>
    <row r="2198" spans="1:38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#N/A, OFFSET(data!$A$1, ROW()-1, AA$1-1))</f>
        <v>0</v>
      </c>
      <c r="AB2198">
        <f t="shared" ca="1" si="415"/>
        <v>0</v>
      </c>
      <c r="AC2198" t="e">
        <f t="shared" ca="1" si="416"/>
        <v>#VALUE!</v>
      </c>
      <c r="AD2198" t="str">
        <f t="shared" ca="1" si="417"/>
        <v>0</v>
      </c>
      <c r="AE2198" t="str">
        <f t="shared" ca="1" si="418"/>
        <v/>
      </c>
      <c r="AF2198" s="6">
        <f t="shared" ca="1" si="419"/>
        <v>0</v>
      </c>
      <c r="AG2198">
        <f t="shared" ca="1" si="414"/>
        <v>0</v>
      </c>
      <c r="AH2198">
        <f t="shared" ca="1" si="420"/>
        <v>0</v>
      </c>
      <c r="AI2198">
        <f t="shared" ca="1" si="421"/>
        <v>0</v>
      </c>
      <c r="AJ2198">
        <f t="shared" ca="1" si="422"/>
        <v>0</v>
      </c>
      <c r="AK2198">
        <f t="shared" ca="1" si="423"/>
        <v>0</v>
      </c>
      <c r="AL2198">
        <f t="shared" ca="1" si="424"/>
        <v>0</v>
      </c>
    </row>
    <row r="2199" spans="1:38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#N/A, OFFSET(data!$A$1, ROW()-1, AA$1-1))</f>
        <v>0</v>
      </c>
      <c r="AB2199">
        <f t="shared" ca="1" si="415"/>
        <v>0</v>
      </c>
      <c r="AC2199" t="e">
        <f t="shared" ca="1" si="416"/>
        <v>#VALUE!</v>
      </c>
      <c r="AD2199" t="str">
        <f t="shared" ca="1" si="417"/>
        <v>0</v>
      </c>
      <c r="AE2199" t="str">
        <f t="shared" ca="1" si="418"/>
        <v/>
      </c>
      <c r="AF2199" s="6">
        <f t="shared" ca="1" si="419"/>
        <v>0</v>
      </c>
      <c r="AG2199">
        <f t="shared" ca="1" si="414"/>
        <v>0</v>
      </c>
      <c r="AH2199">
        <f t="shared" ca="1" si="420"/>
        <v>0</v>
      </c>
      <c r="AI2199">
        <f t="shared" ca="1" si="421"/>
        <v>0</v>
      </c>
      <c r="AJ2199">
        <f t="shared" ca="1" si="422"/>
        <v>0</v>
      </c>
      <c r="AK2199">
        <f t="shared" ca="1" si="423"/>
        <v>0</v>
      </c>
      <c r="AL2199">
        <f t="shared" ca="1" si="424"/>
        <v>0</v>
      </c>
    </row>
    <row r="2200" spans="1:38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#N/A, OFFSET(data!$A$1, ROW()-1, AA$1-1))</f>
        <v>0</v>
      </c>
      <c r="AB2200">
        <f t="shared" ca="1" si="415"/>
        <v>0</v>
      </c>
      <c r="AC2200" t="e">
        <f t="shared" ca="1" si="416"/>
        <v>#VALUE!</v>
      </c>
      <c r="AD2200" t="str">
        <f t="shared" ca="1" si="417"/>
        <v>0</v>
      </c>
      <c r="AE2200" t="str">
        <f t="shared" ca="1" si="418"/>
        <v/>
      </c>
      <c r="AF2200" s="6">
        <f t="shared" ca="1" si="419"/>
        <v>0</v>
      </c>
      <c r="AG2200">
        <f t="shared" ca="1" si="414"/>
        <v>0</v>
      </c>
      <c r="AH2200">
        <f t="shared" ca="1" si="420"/>
        <v>0</v>
      </c>
      <c r="AI2200">
        <f t="shared" ca="1" si="421"/>
        <v>0</v>
      </c>
      <c r="AJ2200">
        <f t="shared" ca="1" si="422"/>
        <v>0</v>
      </c>
      <c r="AK2200">
        <f t="shared" ca="1" si="423"/>
        <v>0</v>
      </c>
      <c r="AL2200">
        <f t="shared" ca="1" si="424"/>
        <v>0</v>
      </c>
    </row>
    <row r="2201" spans="1:38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#N/A, OFFSET(data!$A$1, ROW()-1, AA$1-1))</f>
        <v>0</v>
      </c>
      <c r="AB2201">
        <f t="shared" ca="1" si="415"/>
        <v>0</v>
      </c>
      <c r="AC2201" t="e">
        <f t="shared" ca="1" si="416"/>
        <v>#VALUE!</v>
      </c>
      <c r="AD2201" t="str">
        <f t="shared" ca="1" si="417"/>
        <v>0</v>
      </c>
      <c r="AE2201" t="str">
        <f t="shared" ca="1" si="418"/>
        <v/>
      </c>
      <c r="AF2201" s="6">
        <f t="shared" ca="1" si="419"/>
        <v>0</v>
      </c>
      <c r="AG2201">
        <f t="shared" ca="1" si="414"/>
        <v>0</v>
      </c>
      <c r="AH2201">
        <f t="shared" ca="1" si="420"/>
        <v>0</v>
      </c>
      <c r="AI2201">
        <f t="shared" ca="1" si="421"/>
        <v>0</v>
      </c>
      <c r="AJ2201">
        <f t="shared" ca="1" si="422"/>
        <v>0</v>
      </c>
      <c r="AK2201">
        <f t="shared" ca="1" si="423"/>
        <v>0</v>
      </c>
      <c r="AL2201">
        <f t="shared" ca="1" si="424"/>
        <v>0</v>
      </c>
    </row>
    <row r="2202" spans="1:38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#N/A, OFFSET(data!$A$1, ROW()-1, AA$1-1))</f>
        <v>0</v>
      </c>
      <c r="AB2202">
        <f t="shared" ca="1" si="415"/>
        <v>0</v>
      </c>
      <c r="AC2202" t="e">
        <f t="shared" ca="1" si="416"/>
        <v>#VALUE!</v>
      </c>
      <c r="AD2202" t="str">
        <f t="shared" ca="1" si="417"/>
        <v>0</v>
      </c>
      <c r="AE2202" t="str">
        <f t="shared" ca="1" si="418"/>
        <v/>
      </c>
      <c r="AF2202" s="6">
        <f t="shared" ca="1" si="419"/>
        <v>0</v>
      </c>
      <c r="AG2202">
        <f t="shared" ca="1" si="414"/>
        <v>0</v>
      </c>
      <c r="AH2202">
        <f t="shared" ca="1" si="420"/>
        <v>0</v>
      </c>
      <c r="AI2202">
        <f t="shared" ca="1" si="421"/>
        <v>0</v>
      </c>
      <c r="AJ2202">
        <f t="shared" ca="1" si="422"/>
        <v>0</v>
      </c>
      <c r="AK2202">
        <f t="shared" ca="1" si="423"/>
        <v>0</v>
      </c>
      <c r="AL2202">
        <f t="shared" ca="1" si="424"/>
        <v>0</v>
      </c>
    </row>
    <row r="2203" spans="1:38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#N/A, OFFSET(data!$A$1, ROW()-1, AA$1-1))</f>
        <v>0</v>
      </c>
      <c r="AB2203">
        <f t="shared" ca="1" si="415"/>
        <v>0</v>
      </c>
      <c r="AC2203" t="e">
        <f t="shared" ca="1" si="416"/>
        <v>#VALUE!</v>
      </c>
      <c r="AD2203" t="str">
        <f t="shared" ca="1" si="417"/>
        <v>0</v>
      </c>
      <c r="AE2203" t="str">
        <f t="shared" ca="1" si="418"/>
        <v/>
      </c>
      <c r="AF2203" s="6">
        <f t="shared" ca="1" si="419"/>
        <v>0</v>
      </c>
      <c r="AG2203">
        <f t="shared" ca="1" si="414"/>
        <v>0</v>
      </c>
      <c r="AH2203">
        <f t="shared" ca="1" si="420"/>
        <v>0</v>
      </c>
      <c r="AI2203">
        <f t="shared" ca="1" si="421"/>
        <v>0</v>
      </c>
      <c r="AJ2203">
        <f t="shared" ca="1" si="422"/>
        <v>0</v>
      </c>
      <c r="AK2203">
        <f t="shared" ca="1" si="423"/>
        <v>0</v>
      </c>
      <c r="AL2203">
        <f t="shared" ca="1" si="424"/>
        <v>0</v>
      </c>
    </row>
    <row r="2204" spans="1:38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#N/A, OFFSET(data!$A$1, ROW()-1, AA$1-1))</f>
        <v>0</v>
      </c>
      <c r="AB2204">
        <f t="shared" ca="1" si="415"/>
        <v>0</v>
      </c>
      <c r="AC2204" t="e">
        <f t="shared" ca="1" si="416"/>
        <v>#VALUE!</v>
      </c>
      <c r="AD2204" t="str">
        <f t="shared" ca="1" si="417"/>
        <v>0</v>
      </c>
      <c r="AE2204" t="str">
        <f t="shared" ca="1" si="418"/>
        <v/>
      </c>
      <c r="AF2204" s="6">
        <f t="shared" ca="1" si="419"/>
        <v>0</v>
      </c>
      <c r="AG2204">
        <f t="shared" ca="1" si="414"/>
        <v>0</v>
      </c>
      <c r="AH2204">
        <f t="shared" ca="1" si="420"/>
        <v>0</v>
      </c>
      <c r="AI2204">
        <f t="shared" ca="1" si="421"/>
        <v>0</v>
      </c>
      <c r="AJ2204">
        <f t="shared" ca="1" si="422"/>
        <v>0</v>
      </c>
      <c r="AK2204">
        <f t="shared" ca="1" si="423"/>
        <v>0</v>
      </c>
      <c r="AL2204">
        <f t="shared" ca="1" si="424"/>
        <v>0</v>
      </c>
    </row>
    <row r="2205" spans="1:38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#N/A, OFFSET(data!$A$1, ROW()-1, AA$1-1))</f>
        <v>0</v>
      </c>
      <c r="AB2205">
        <f t="shared" ca="1" si="415"/>
        <v>0</v>
      </c>
      <c r="AC2205" t="e">
        <f t="shared" ca="1" si="416"/>
        <v>#VALUE!</v>
      </c>
      <c r="AD2205" t="str">
        <f t="shared" ca="1" si="417"/>
        <v>0</v>
      </c>
      <c r="AE2205" t="str">
        <f t="shared" ca="1" si="418"/>
        <v/>
      </c>
      <c r="AF2205" s="6">
        <f t="shared" ca="1" si="419"/>
        <v>0</v>
      </c>
      <c r="AG2205">
        <f t="shared" ca="1" si="414"/>
        <v>0</v>
      </c>
      <c r="AH2205">
        <f t="shared" ca="1" si="420"/>
        <v>0</v>
      </c>
      <c r="AI2205">
        <f t="shared" ca="1" si="421"/>
        <v>0</v>
      </c>
      <c r="AJ2205">
        <f t="shared" ca="1" si="422"/>
        <v>0</v>
      </c>
      <c r="AK2205">
        <f t="shared" ca="1" si="423"/>
        <v>0</v>
      </c>
      <c r="AL2205">
        <f t="shared" ca="1" si="424"/>
        <v>0</v>
      </c>
    </row>
    <row r="2206" spans="1:38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#N/A, OFFSET(data!$A$1, ROW()-1, AA$1-1))</f>
        <v>0</v>
      </c>
      <c r="AB2206">
        <f t="shared" ca="1" si="415"/>
        <v>0</v>
      </c>
      <c r="AC2206" t="e">
        <f t="shared" ca="1" si="416"/>
        <v>#VALUE!</v>
      </c>
      <c r="AD2206" t="str">
        <f t="shared" ca="1" si="417"/>
        <v>0</v>
      </c>
      <c r="AE2206" t="str">
        <f t="shared" ca="1" si="418"/>
        <v/>
      </c>
      <c r="AF2206" s="6">
        <f t="shared" ca="1" si="419"/>
        <v>0</v>
      </c>
      <c r="AG2206">
        <f t="shared" ca="1" si="414"/>
        <v>0</v>
      </c>
      <c r="AH2206">
        <f t="shared" ca="1" si="420"/>
        <v>0</v>
      </c>
      <c r="AI2206">
        <f t="shared" ca="1" si="421"/>
        <v>0</v>
      </c>
      <c r="AJ2206">
        <f t="shared" ca="1" si="422"/>
        <v>0</v>
      </c>
      <c r="AK2206">
        <f t="shared" ca="1" si="423"/>
        <v>0</v>
      </c>
      <c r="AL2206">
        <f t="shared" ca="1" si="424"/>
        <v>0</v>
      </c>
    </row>
    <row r="2207" spans="1:38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#N/A, OFFSET(data!$A$1, ROW()-1, AA$1-1))</f>
        <v>0</v>
      </c>
      <c r="AB2207">
        <f t="shared" ca="1" si="415"/>
        <v>0</v>
      </c>
      <c r="AC2207" t="e">
        <f t="shared" ca="1" si="416"/>
        <v>#VALUE!</v>
      </c>
      <c r="AD2207" t="str">
        <f t="shared" ca="1" si="417"/>
        <v>0</v>
      </c>
      <c r="AE2207" t="str">
        <f t="shared" ca="1" si="418"/>
        <v/>
      </c>
      <c r="AF2207" s="6">
        <f t="shared" ca="1" si="419"/>
        <v>0</v>
      </c>
      <c r="AG2207">
        <f t="shared" ca="1" si="414"/>
        <v>0</v>
      </c>
      <c r="AH2207">
        <f t="shared" ca="1" si="420"/>
        <v>0</v>
      </c>
      <c r="AI2207">
        <f t="shared" ca="1" si="421"/>
        <v>0</v>
      </c>
      <c r="AJ2207">
        <f t="shared" ca="1" si="422"/>
        <v>0</v>
      </c>
      <c r="AK2207">
        <f t="shared" ca="1" si="423"/>
        <v>0</v>
      </c>
      <c r="AL2207">
        <f t="shared" ca="1" si="424"/>
        <v>0</v>
      </c>
    </row>
    <row r="2208" spans="1:38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#N/A, OFFSET(data!$A$1, ROW()-1, AA$1-1))</f>
        <v>0</v>
      </c>
      <c r="AB2208">
        <f t="shared" ca="1" si="415"/>
        <v>0</v>
      </c>
      <c r="AC2208" t="e">
        <f t="shared" ca="1" si="416"/>
        <v>#VALUE!</v>
      </c>
      <c r="AD2208" t="str">
        <f t="shared" ca="1" si="417"/>
        <v>0</v>
      </c>
      <c r="AE2208" t="str">
        <f t="shared" ca="1" si="418"/>
        <v/>
      </c>
      <c r="AF2208" s="6">
        <f t="shared" ca="1" si="419"/>
        <v>0</v>
      </c>
      <c r="AG2208">
        <f t="shared" ca="1" si="414"/>
        <v>0</v>
      </c>
      <c r="AH2208">
        <f t="shared" ca="1" si="420"/>
        <v>0</v>
      </c>
      <c r="AI2208">
        <f t="shared" ca="1" si="421"/>
        <v>0</v>
      </c>
      <c r="AJ2208">
        <f t="shared" ca="1" si="422"/>
        <v>0</v>
      </c>
      <c r="AK2208">
        <f t="shared" ca="1" si="423"/>
        <v>0</v>
      </c>
      <c r="AL2208">
        <f t="shared" ca="1" si="424"/>
        <v>0</v>
      </c>
    </row>
    <row r="2209" spans="1:38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#N/A, OFFSET(data!$A$1, ROW()-1, AA$1-1))</f>
        <v>0</v>
      </c>
      <c r="AB2209">
        <f t="shared" ca="1" si="415"/>
        <v>0</v>
      </c>
      <c r="AC2209" t="e">
        <f t="shared" ca="1" si="416"/>
        <v>#VALUE!</v>
      </c>
      <c r="AD2209" t="str">
        <f t="shared" ca="1" si="417"/>
        <v>0</v>
      </c>
      <c r="AE2209" t="str">
        <f t="shared" ca="1" si="418"/>
        <v/>
      </c>
      <c r="AF2209" s="6">
        <f t="shared" ca="1" si="419"/>
        <v>0</v>
      </c>
      <c r="AG2209">
        <f t="shared" ca="1" si="414"/>
        <v>0</v>
      </c>
      <c r="AH2209">
        <f t="shared" ca="1" si="420"/>
        <v>0</v>
      </c>
      <c r="AI2209">
        <f t="shared" ca="1" si="421"/>
        <v>0</v>
      </c>
      <c r="AJ2209">
        <f t="shared" ca="1" si="422"/>
        <v>0</v>
      </c>
      <c r="AK2209">
        <f t="shared" ca="1" si="423"/>
        <v>0</v>
      </c>
      <c r="AL2209">
        <f t="shared" ca="1" si="424"/>
        <v>0</v>
      </c>
    </row>
    <row r="2210" spans="1:38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#N/A, OFFSET(data!$A$1, ROW()-1, AA$1-1))</f>
        <v>0</v>
      </c>
      <c r="AB2210">
        <f t="shared" ca="1" si="415"/>
        <v>0</v>
      </c>
      <c r="AC2210" t="e">
        <f t="shared" ca="1" si="416"/>
        <v>#VALUE!</v>
      </c>
      <c r="AD2210" t="str">
        <f t="shared" ca="1" si="417"/>
        <v>0</v>
      </c>
      <c r="AE2210" t="str">
        <f t="shared" ca="1" si="418"/>
        <v/>
      </c>
      <c r="AF2210" s="6">
        <f t="shared" ca="1" si="419"/>
        <v>0</v>
      </c>
      <c r="AG2210">
        <f t="shared" ca="1" si="414"/>
        <v>0</v>
      </c>
      <c r="AH2210">
        <f t="shared" ca="1" si="420"/>
        <v>0</v>
      </c>
      <c r="AI2210">
        <f t="shared" ca="1" si="421"/>
        <v>0</v>
      </c>
      <c r="AJ2210">
        <f t="shared" ca="1" si="422"/>
        <v>0</v>
      </c>
      <c r="AK2210">
        <f t="shared" ca="1" si="423"/>
        <v>0</v>
      </c>
      <c r="AL2210">
        <f t="shared" ca="1" si="424"/>
        <v>0</v>
      </c>
    </row>
    <row r="2211" spans="1:38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#N/A, OFFSET(data!$A$1, ROW()-1, AA$1-1))</f>
        <v>0</v>
      </c>
      <c r="AB2211">
        <f t="shared" ca="1" si="415"/>
        <v>0</v>
      </c>
      <c r="AC2211" t="e">
        <f t="shared" ca="1" si="416"/>
        <v>#VALUE!</v>
      </c>
      <c r="AD2211" t="str">
        <f t="shared" ca="1" si="417"/>
        <v>0</v>
      </c>
      <c r="AE2211" t="str">
        <f t="shared" ca="1" si="418"/>
        <v/>
      </c>
      <c r="AF2211" s="6">
        <f t="shared" ca="1" si="419"/>
        <v>0</v>
      </c>
      <c r="AG2211">
        <f t="shared" ca="1" si="414"/>
        <v>0</v>
      </c>
      <c r="AH2211">
        <f t="shared" ca="1" si="420"/>
        <v>0</v>
      </c>
      <c r="AI2211">
        <f t="shared" ca="1" si="421"/>
        <v>0</v>
      </c>
      <c r="AJ2211">
        <f t="shared" ca="1" si="422"/>
        <v>0</v>
      </c>
      <c r="AK2211">
        <f t="shared" ca="1" si="423"/>
        <v>0</v>
      </c>
      <c r="AL2211">
        <f t="shared" ca="1" si="424"/>
        <v>0</v>
      </c>
    </row>
    <row r="2212" spans="1:38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#N/A, OFFSET(data!$A$1, ROW()-1, AA$1-1))</f>
        <v>0</v>
      </c>
      <c r="AB2212">
        <f t="shared" ca="1" si="415"/>
        <v>0</v>
      </c>
      <c r="AC2212" t="e">
        <f t="shared" ca="1" si="416"/>
        <v>#VALUE!</v>
      </c>
      <c r="AD2212" t="str">
        <f t="shared" ca="1" si="417"/>
        <v>0</v>
      </c>
      <c r="AE2212" t="str">
        <f t="shared" ca="1" si="418"/>
        <v/>
      </c>
      <c r="AF2212" s="6">
        <f t="shared" ca="1" si="419"/>
        <v>0</v>
      </c>
      <c r="AG2212">
        <f t="shared" ca="1" si="414"/>
        <v>0</v>
      </c>
      <c r="AH2212">
        <f t="shared" ca="1" si="420"/>
        <v>0</v>
      </c>
      <c r="AI2212">
        <f t="shared" ca="1" si="421"/>
        <v>0</v>
      </c>
      <c r="AJ2212">
        <f t="shared" ca="1" si="422"/>
        <v>0</v>
      </c>
      <c r="AK2212">
        <f t="shared" ca="1" si="423"/>
        <v>0</v>
      </c>
      <c r="AL2212">
        <f t="shared" ca="1" si="424"/>
        <v>0</v>
      </c>
    </row>
    <row r="2213" spans="1:38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#N/A, OFFSET(data!$A$1, ROW()-1, AA$1-1))</f>
        <v>0</v>
      </c>
      <c r="AB2213">
        <f t="shared" ca="1" si="415"/>
        <v>0</v>
      </c>
      <c r="AC2213" t="e">
        <f t="shared" ca="1" si="416"/>
        <v>#VALUE!</v>
      </c>
      <c r="AD2213" t="str">
        <f t="shared" ca="1" si="417"/>
        <v>0</v>
      </c>
      <c r="AE2213" t="str">
        <f t="shared" ca="1" si="418"/>
        <v/>
      </c>
      <c r="AF2213" s="6">
        <f t="shared" ca="1" si="419"/>
        <v>0</v>
      </c>
      <c r="AG2213">
        <f t="shared" ca="1" si="414"/>
        <v>0</v>
      </c>
      <c r="AH2213">
        <f t="shared" ca="1" si="420"/>
        <v>0</v>
      </c>
      <c r="AI2213">
        <f t="shared" ca="1" si="421"/>
        <v>0</v>
      </c>
      <c r="AJ2213">
        <f t="shared" ca="1" si="422"/>
        <v>0</v>
      </c>
      <c r="AK2213">
        <f t="shared" ca="1" si="423"/>
        <v>0</v>
      </c>
      <c r="AL2213">
        <f t="shared" ca="1" si="424"/>
        <v>0</v>
      </c>
    </row>
    <row r="2214" spans="1:38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#N/A, OFFSET(data!$A$1, ROW()-1, AA$1-1))</f>
        <v>0</v>
      </c>
      <c r="AB2214">
        <f t="shared" ca="1" si="415"/>
        <v>0</v>
      </c>
      <c r="AC2214" t="e">
        <f t="shared" ca="1" si="416"/>
        <v>#VALUE!</v>
      </c>
      <c r="AD2214" t="str">
        <f t="shared" ca="1" si="417"/>
        <v>0</v>
      </c>
      <c r="AE2214" t="str">
        <f t="shared" ca="1" si="418"/>
        <v/>
      </c>
      <c r="AF2214" s="6">
        <f t="shared" ca="1" si="419"/>
        <v>0</v>
      </c>
      <c r="AG2214">
        <f t="shared" ca="1" si="414"/>
        <v>0</v>
      </c>
      <c r="AH2214">
        <f t="shared" ca="1" si="420"/>
        <v>0</v>
      </c>
      <c r="AI2214">
        <f t="shared" ca="1" si="421"/>
        <v>0</v>
      </c>
      <c r="AJ2214">
        <f t="shared" ca="1" si="422"/>
        <v>0</v>
      </c>
      <c r="AK2214">
        <f t="shared" ca="1" si="423"/>
        <v>0</v>
      </c>
      <c r="AL2214">
        <f t="shared" ca="1" si="424"/>
        <v>0</v>
      </c>
    </row>
    <row r="2215" spans="1:38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#N/A, OFFSET(data!$A$1, ROW()-1, AA$1-1))</f>
        <v>0</v>
      </c>
      <c r="AB2215">
        <f t="shared" ca="1" si="415"/>
        <v>0</v>
      </c>
      <c r="AC2215" t="e">
        <f t="shared" ca="1" si="416"/>
        <v>#VALUE!</v>
      </c>
      <c r="AD2215" t="str">
        <f t="shared" ca="1" si="417"/>
        <v>0</v>
      </c>
      <c r="AE2215" t="str">
        <f t="shared" ca="1" si="418"/>
        <v/>
      </c>
      <c r="AF2215" s="6">
        <f t="shared" ca="1" si="419"/>
        <v>0</v>
      </c>
      <c r="AG2215">
        <f t="shared" ca="1" si="414"/>
        <v>0</v>
      </c>
      <c r="AH2215">
        <f t="shared" ca="1" si="420"/>
        <v>0</v>
      </c>
      <c r="AI2215">
        <f t="shared" ca="1" si="421"/>
        <v>0</v>
      </c>
      <c r="AJ2215">
        <f t="shared" ca="1" si="422"/>
        <v>0</v>
      </c>
      <c r="AK2215">
        <f t="shared" ca="1" si="423"/>
        <v>0</v>
      </c>
      <c r="AL2215">
        <f t="shared" ca="1" si="424"/>
        <v>0</v>
      </c>
    </row>
    <row r="2216" spans="1:38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#N/A, OFFSET(data!$A$1, ROW()-1, AA$1-1))</f>
        <v>0</v>
      </c>
      <c r="AB2216">
        <f t="shared" ca="1" si="415"/>
        <v>0</v>
      </c>
      <c r="AC2216" t="e">
        <f t="shared" ca="1" si="416"/>
        <v>#VALUE!</v>
      </c>
      <c r="AD2216" t="str">
        <f t="shared" ca="1" si="417"/>
        <v>0</v>
      </c>
      <c r="AE2216" t="str">
        <f t="shared" ca="1" si="418"/>
        <v/>
      </c>
      <c r="AF2216" s="6">
        <f t="shared" ca="1" si="419"/>
        <v>0</v>
      </c>
      <c r="AG2216">
        <f t="shared" ca="1" si="414"/>
        <v>0</v>
      </c>
      <c r="AH2216">
        <f t="shared" ca="1" si="420"/>
        <v>0</v>
      </c>
      <c r="AI2216">
        <f t="shared" ca="1" si="421"/>
        <v>0</v>
      </c>
      <c r="AJ2216">
        <f t="shared" ca="1" si="422"/>
        <v>0</v>
      </c>
      <c r="AK2216">
        <f t="shared" ca="1" si="423"/>
        <v>0</v>
      </c>
      <c r="AL2216">
        <f t="shared" ca="1" si="424"/>
        <v>0</v>
      </c>
    </row>
    <row r="2217" spans="1:38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#N/A, OFFSET(data!$A$1, ROW()-1, AA$1-1))</f>
        <v>0</v>
      </c>
      <c r="AB2217">
        <f t="shared" ca="1" si="415"/>
        <v>0</v>
      </c>
      <c r="AC2217" t="e">
        <f t="shared" ca="1" si="416"/>
        <v>#VALUE!</v>
      </c>
      <c r="AD2217" t="str">
        <f t="shared" ca="1" si="417"/>
        <v>0</v>
      </c>
      <c r="AE2217" t="str">
        <f t="shared" ca="1" si="418"/>
        <v/>
      </c>
      <c r="AF2217" s="6">
        <f t="shared" ca="1" si="419"/>
        <v>0</v>
      </c>
      <c r="AG2217">
        <f t="shared" ca="1" si="414"/>
        <v>0</v>
      </c>
      <c r="AH2217">
        <f t="shared" ca="1" si="420"/>
        <v>0</v>
      </c>
      <c r="AI2217">
        <f t="shared" ca="1" si="421"/>
        <v>0</v>
      </c>
      <c r="AJ2217">
        <f t="shared" ca="1" si="422"/>
        <v>0</v>
      </c>
      <c r="AK2217">
        <f t="shared" ca="1" si="423"/>
        <v>0</v>
      </c>
      <c r="AL2217">
        <f t="shared" ca="1" si="424"/>
        <v>0</v>
      </c>
    </row>
    <row r="2218" spans="1:38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#N/A, OFFSET(data!$A$1, ROW()-1, AA$1-1))</f>
        <v>0</v>
      </c>
      <c r="AB2218">
        <f t="shared" ca="1" si="415"/>
        <v>0</v>
      </c>
      <c r="AC2218" t="e">
        <f t="shared" ca="1" si="416"/>
        <v>#VALUE!</v>
      </c>
      <c r="AD2218" t="str">
        <f t="shared" ca="1" si="417"/>
        <v>0</v>
      </c>
      <c r="AE2218" t="str">
        <f t="shared" ca="1" si="418"/>
        <v/>
      </c>
      <c r="AF2218" s="6">
        <f t="shared" ca="1" si="419"/>
        <v>0</v>
      </c>
      <c r="AG2218">
        <f t="shared" ca="1" si="414"/>
        <v>0</v>
      </c>
      <c r="AH2218">
        <f t="shared" ca="1" si="420"/>
        <v>0</v>
      </c>
      <c r="AI2218">
        <f t="shared" ca="1" si="421"/>
        <v>0</v>
      </c>
      <c r="AJ2218">
        <f t="shared" ca="1" si="422"/>
        <v>0</v>
      </c>
      <c r="AK2218">
        <f t="shared" ca="1" si="423"/>
        <v>0</v>
      </c>
      <c r="AL2218">
        <f t="shared" ca="1" si="424"/>
        <v>0</v>
      </c>
    </row>
    <row r="2219" spans="1:38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#N/A, OFFSET(data!$A$1, ROW()-1, AA$1-1))</f>
        <v>0</v>
      </c>
      <c r="AB2219">
        <f t="shared" ca="1" si="415"/>
        <v>0</v>
      </c>
      <c r="AC2219" t="e">
        <f t="shared" ca="1" si="416"/>
        <v>#VALUE!</v>
      </c>
      <c r="AD2219" t="str">
        <f t="shared" ca="1" si="417"/>
        <v>0</v>
      </c>
      <c r="AE2219" t="str">
        <f t="shared" ca="1" si="418"/>
        <v/>
      </c>
      <c r="AF2219" s="6">
        <f t="shared" ca="1" si="419"/>
        <v>0</v>
      </c>
      <c r="AG2219">
        <f t="shared" ca="1" si="414"/>
        <v>0</v>
      </c>
      <c r="AH2219">
        <f t="shared" ca="1" si="420"/>
        <v>0</v>
      </c>
      <c r="AI2219">
        <f t="shared" ca="1" si="421"/>
        <v>0</v>
      </c>
      <c r="AJ2219">
        <f t="shared" ca="1" si="422"/>
        <v>0</v>
      </c>
      <c r="AK2219">
        <f t="shared" ca="1" si="423"/>
        <v>0</v>
      </c>
      <c r="AL2219">
        <f t="shared" ca="1" si="424"/>
        <v>0</v>
      </c>
    </row>
    <row r="2220" spans="1:38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#N/A, OFFSET(data!$A$1, ROW()-1, AA$1-1))</f>
        <v>0</v>
      </c>
      <c r="AB2220">
        <f t="shared" ca="1" si="415"/>
        <v>0</v>
      </c>
      <c r="AC2220" t="e">
        <f t="shared" ca="1" si="416"/>
        <v>#VALUE!</v>
      </c>
      <c r="AD2220" t="str">
        <f t="shared" ca="1" si="417"/>
        <v>0</v>
      </c>
      <c r="AE2220" t="str">
        <f t="shared" ca="1" si="418"/>
        <v/>
      </c>
      <c r="AF2220" s="6">
        <f t="shared" ca="1" si="419"/>
        <v>0</v>
      </c>
      <c r="AG2220">
        <f t="shared" ca="1" si="414"/>
        <v>0</v>
      </c>
      <c r="AH2220">
        <f t="shared" ca="1" si="420"/>
        <v>0</v>
      </c>
      <c r="AI2220">
        <f t="shared" ca="1" si="421"/>
        <v>0</v>
      </c>
      <c r="AJ2220">
        <f t="shared" ca="1" si="422"/>
        <v>0</v>
      </c>
      <c r="AK2220">
        <f t="shared" ca="1" si="423"/>
        <v>0</v>
      </c>
      <c r="AL2220">
        <f t="shared" ca="1" si="424"/>
        <v>0</v>
      </c>
    </row>
    <row r="2221" spans="1:38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#N/A, OFFSET(data!$A$1, ROW()-1, AA$1-1))</f>
        <v>0</v>
      </c>
      <c r="AB2221">
        <f t="shared" ca="1" si="415"/>
        <v>0</v>
      </c>
      <c r="AC2221" t="e">
        <f t="shared" ca="1" si="416"/>
        <v>#VALUE!</v>
      </c>
      <c r="AD2221" t="str">
        <f t="shared" ca="1" si="417"/>
        <v>0</v>
      </c>
      <c r="AE2221" t="str">
        <f t="shared" ca="1" si="418"/>
        <v/>
      </c>
      <c r="AF2221" s="6">
        <f t="shared" ca="1" si="419"/>
        <v>0</v>
      </c>
      <c r="AG2221">
        <f t="shared" ca="1" si="414"/>
        <v>0</v>
      </c>
      <c r="AH2221">
        <f t="shared" ca="1" si="420"/>
        <v>0</v>
      </c>
      <c r="AI2221">
        <f t="shared" ca="1" si="421"/>
        <v>0</v>
      </c>
      <c r="AJ2221">
        <f t="shared" ca="1" si="422"/>
        <v>0</v>
      </c>
      <c r="AK2221">
        <f t="shared" ca="1" si="423"/>
        <v>0</v>
      </c>
      <c r="AL2221">
        <f t="shared" ca="1" si="424"/>
        <v>0</v>
      </c>
    </row>
    <row r="2222" spans="1:38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#N/A, OFFSET(data!$A$1, ROW()-1, AA$1-1))</f>
        <v>0</v>
      </c>
      <c r="AB2222">
        <f t="shared" ca="1" si="415"/>
        <v>0</v>
      </c>
      <c r="AC2222" t="e">
        <f t="shared" ca="1" si="416"/>
        <v>#VALUE!</v>
      </c>
      <c r="AD2222" t="str">
        <f t="shared" ca="1" si="417"/>
        <v>0</v>
      </c>
      <c r="AE2222" t="str">
        <f t="shared" ca="1" si="418"/>
        <v/>
      </c>
      <c r="AF2222" s="6">
        <f t="shared" ca="1" si="419"/>
        <v>0</v>
      </c>
      <c r="AG2222">
        <f t="shared" ca="1" si="414"/>
        <v>0</v>
      </c>
      <c r="AH2222">
        <f t="shared" ca="1" si="420"/>
        <v>0</v>
      </c>
      <c r="AI2222">
        <f t="shared" ca="1" si="421"/>
        <v>0</v>
      </c>
      <c r="AJ2222">
        <f t="shared" ca="1" si="422"/>
        <v>0</v>
      </c>
      <c r="AK2222">
        <f t="shared" ca="1" si="423"/>
        <v>0</v>
      </c>
      <c r="AL2222">
        <f t="shared" ca="1" si="424"/>
        <v>0</v>
      </c>
    </row>
    <row r="2223" spans="1:38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#N/A, OFFSET(data!$A$1, ROW()-1, AA$1-1))</f>
        <v>0</v>
      </c>
      <c r="AB2223">
        <f t="shared" ca="1" si="415"/>
        <v>0</v>
      </c>
      <c r="AC2223" t="e">
        <f t="shared" ca="1" si="416"/>
        <v>#VALUE!</v>
      </c>
      <c r="AD2223" t="str">
        <f t="shared" ca="1" si="417"/>
        <v>0</v>
      </c>
      <c r="AE2223" t="str">
        <f t="shared" ca="1" si="418"/>
        <v/>
      </c>
      <c r="AF2223" s="6">
        <f t="shared" ca="1" si="419"/>
        <v>0</v>
      </c>
      <c r="AG2223">
        <f t="shared" ca="1" si="414"/>
        <v>0</v>
      </c>
      <c r="AH2223">
        <f t="shared" ca="1" si="420"/>
        <v>0</v>
      </c>
      <c r="AI2223">
        <f t="shared" ca="1" si="421"/>
        <v>0</v>
      </c>
      <c r="AJ2223">
        <f t="shared" ca="1" si="422"/>
        <v>0</v>
      </c>
      <c r="AK2223">
        <f t="shared" ca="1" si="423"/>
        <v>0</v>
      </c>
      <c r="AL2223">
        <f t="shared" ca="1" si="424"/>
        <v>0</v>
      </c>
    </row>
    <row r="2224" spans="1:38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#N/A, OFFSET(data!$A$1, ROW()-1, AA$1-1))</f>
        <v>0</v>
      </c>
      <c r="AB2224">
        <f t="shared" ca="1" si="415"/>
        <v>0</v>
      </c>
      <c r="AC2224" t="e">
        <f t="shared" ca="1" si="416"/>
        <v>#VALUE!</v>
      </c>
      <c r="AD2224" t="str">
        <f t="shared" ca="1" si="417"/>
        <v>0</v>
      </c>
      <c r="AE2224" t="str">
        <f t="shared" ca="1" si="418"/>
        <v/>
      </c>
      <c r="AF2224" s="6">
        <f t="shared" ca="1" si="419"/>
        <v>0</v>
      </c>
      <c r="AG2224">
        <f t="shared" ca="1" si="414"/>
        <v>0</v>
      </c>
      <c r="AH2224">
        <f t="shared" ca="1" si="420"/>
        <v>0</v>
      </c>
      <c r="AI2224">
        <f t="shared" ca="1" si="421"/>
        <v>0</v>
      </c>
      <c r="AJ2224">
        <f t="shared" ca="1" si="422"/>
        <v>0</v>
      </c>
      <c r="AK2224">
        <f t="shared" ca="1" si="423"/>
        <v>0</v>
      </c>
      <c r="AL2224">
        <f t="shared" ca="1" si="424"/>
        <v>0</v>
      </c>
    </row>
    <row r="2225" spans="1:38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#N/A, OFFSET(data!$A$1, ROW()-1, AA$1-1))</f>
        <v>0</v>
      </c>
      <c r="AB2225">
        <f t="shared" ca="1" si="415"/>
        <v>0</v>
      </c>
      <c r="AC2225" t="e">
        <f t="shared" ca="1" si="416"/>
        <v>#VALUE!</v>
      </c>
      <c r="AD2225" t="str">
        <f t="shared" ca="1" si="417"/>
        <v>0</v>
      </c>
      <c r="AE2225" t="str">
        <f t="shared" ca="1" si="418"/>
        <v/>
      </c>
      <c r="AF2225" s="6">
        <f t="shared" ca="1" si="419"/>
        <v>0</v>
      </c>
      <c r="AG2225">
        <f t="shared" ca="1" si="414"/>
        <v>0</v>
      </c>
      <c r="AH2225">
        <f t="shared" ca="1" si="420"/>
        <v>0</v>
      </c>
      <c r="AI2225">
        <f t="shared" ca="1" si="421"/>
        <v>0</v>
      </c>
      <c r="AJ2225">
        <f t="shared" ca="1" si="422"/>
        <v>0</v>
      </c>
      <c r="AK2225">
        <f t="shared" ca="1" si="423"/>
        <v>0</v>
      </c>
      <c r="AL2225">
        <f t="shared" ca="1" si="424"/>
        <v>0</v>
      </c>
    </row>
    <row r="2226" spans="1:38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#N/A, OFFSET(data!$A$1, ROW()-1, AA$1-1))</f>
        <v>0</v>
      </c>
      <c r="AB2226">
        <f t="shared" ca="1" si="415"/>
        <v>0</v>
      </c>
      <c r="AC2226" t="e">
        <f t="shared" ca="1" si="416"/>
        <v>#VALUE!</v>
      </c>
      <c r="AD2226" t="str">
        <f t="shared" ca="1" si="417"/>
        <v>0</v>
      </c>
      <c r="AE2226" t="str">
        <f t="shared" ca="1" si="418"/>
        <v/>
      </c>
      <c r="AF2226" s="6">
        <f t="shared" ca="1" si="419"/>
        <v>0</v>
      </c>
      <c r="AG2226">
        <f t="shared" ca="1" si="414"/>
        <v>0</v>
      </c>
      <c r="AH2226">
        <f t="shared" ca="1" si="420"/>
        <v>0</v>
      </c>
      <c r="AI2226">
        <f t="shared" ca="1" si="421"/>
        <v>0</v>
      </c>
      <c r="AJ2226">
        <f t="shared" ca="1" si="422"/>
        <v>0</v>
      </c>
      <c r="AK2226">
        <f t="shared" ca="1" si="423"/>
        <v>0</v>
      </c>
      <c r="AL2226">
        <f t="shared" ca="1" si="424"/>
        <v>0</v>
      </c>
    </row>
    <row r="2227" spans="1:38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#N/A, OFFSET(data!$A$1, ROW()-1, AA$1-1))</f>
        <v>0</v>
      </c>
      <c r="AB2227">
        <f t="shared" ca="1" si="415"/>
        <v>0</v>
      </c>
      <c r="AC2227" t="e">
        <f t="shared" ca="1" si="416"/>
        <v>#VALUE!</v>
      </c>
      <c r="AD2227" t="str">
        <f t="shared" ca="1" si="417"/>
        <v>0</v>
      </c>
      <c r="AE2227" t="str">
        <f t="shared" ca="1" si="418"/>
        <v/>
      </c>
      <c r="AF2227" s="6">
        <f t="shared" ca="1" si="419"/>
        <v>0</v>
      </c>
      <c r="AG2227">
        <f t="shared" ca="1" si="414"/>
        <v>0</v>
      </c>
      <c r="AH2227">
        <f t="shared" ca="1" si="420"/>
        <v>0</v>
      </c>
      <c r="AI2227">
        <f t="shared" ca="1" si="421"/>
        <v>0</v>
      </c>
      <c r="AJ2227">
        <f t="shared" ca="1" si="422"/>
        <v>0</v>
      </c>
      <c r="AK2227">
        <f t="shared" ca="1" si="423"/>
        <v>0</v>
      </c>
      <c r="AL2227">
        <f t="shared" ca="1" si="424"/>
        <v>0</v>
      </c>
    </row>
    <row r="2228" spans="1:38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#N/A, OFFSET(data!$A$1, ROW()-1, AA$1-1))</f>
        <v>0</v>
      </c>
      <c r="AB2228">
        <f t="shared" ca="1" si="415"/>
        <v>0</v>
      </c>
      <c r="AC2228" t="e">
        <f t="shared" ca="1" si="416"/>
        <v>#VALUE!</v>
      </c>
      <c r="AD2228" t="str">
        <f t="shared" ca="1" si="417"/>
        <v>0</v>
      </c>
      <c r="AE2228" t="str">
        <f t="shared" ca="1" si="418"/>
        <v/>
      </c>
      <c r="AF2228" s="6">
        <f t="shared" ca="1" si="419"/>
        <v>0</v>
      </c>
      <c r="AG2228">
        <f t="shared" ref="AG2228:AG2291" ca="1" si="425">T2228+W2228</f>
        <v>0</v>
      </c>
      <c r="AH2228">
        <f t="shared" ca="1" si="420"/>
        <v>0</v>
      </c>
      <c r="AI2228">
        <f t="shared" ca="1" si="421"/>
        <v>0</v>
      </c>
      <c r="AJ2228">
        <f t="shared" ca="1" si="422"/>
        <v>0</v>
      </c>
      <c r="AK2228">
        <f t="shared" ca="1" si="423"/>
        <v>0</v>
      </c>
      <c r="AL2228">
        <f t="shared" ca="1" si="424"/>
        <v>0</v>
      </c>
    </row>
    <row r="2229" spans="1:38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#N/A, OFFSET(data!$A$1, ROW()-1, AA$1-1))</f>
        <v>0</v>
      </c>
      <c r="AB2229">
        <f t="shared" ca="1" si="415"/>
        <v>0</v>
      </c>
      <c r="AC2229" t="e">
        <f t="shared" ca="1" si="416"/>
        <v>#VALUE!</v>
      </c>
      <c r="AD2229" t="str">
        <f t="shared" ca="1" si="417"/>
        <v>0</v>
      </c>
      <c r="AE2229" t="str">
        <f t="shared" ca="1" si="418"/>
        <v/>
      </c>
      <c r="AF2229" s="6">
        <f t="shared" ca="1" si="419"/>
        <v>0</v>
      </c>
      <c r="AG2229">
        <f t="shared" ca="1" si="425"/>
        <v>0</v>
      </c>
      <c r="AH2229">
        <f t="shared" ca="1" si="420"/>
        <v>0</v>
      </c>
      <c r="AI2229">
        <f t="shared" ca="1" si="421"/>
        <v>0</v>
      </c>
      <c r="AJ2229">
        <f t="shared" ca="1" si="422"/>
        <v>0</v>
      </c>
      <c r="AK2229">
        <f t="shared" ca="1" si="423"/>
        <v>0</v>
      </c>
      <c r="AL2229">
        <f t="shared" ca="1" si="424"/>
        <v>0</v>
      </c>
    </row>
    <row r="2230" spans="1:38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#N/A, OFFSET(data!$A$1, ROW()-1, AA$1-1))</f>
        <v>0</v>
      </c>
      <c r="AB2230">
        <f t="shared" ca="1" si="415"/>
        <v>0</v>
      </c>
      <c r="AC2230" t="e">
        <f t="shared" ca="1" si="416"/>
        <v>#VALUE!</v>
      </c>
      <c r="AD2230" t="str">
        <f t="shared" ca="1" si="417"/>
        <v>0</v>
      </c>
      <c r="AE2230" t="str">
        <f t="shared" ca="1" si="418"/>
        <v/>
      </c>
      <c r="AF2230" s="6">
        <f t="shared" ca="1" si="419"/>
        <v>0</v>
      </c>
      <c r="AG2230">
        <f t="shared" ca="1" si="425"/>
        <v>0</v>
      </c>
      <c r="AH2230">
        <f t="shared" ca="1" si="420"/>
        <v>0</v>
      </c>
      <c r="AI2230">
        <f t="shared" ca="1" si="421"/>
        <v>0</v>
      </c>
      <c r="AJ2230">
        <f t="shared" ca="1" si="422"/>
        <v>0</v>
      </c>
      <c r="AK2230">
        <f t="shared" ca="1" si="423"/>
        <v>0</v>
      </c>
      <c r="AL2230">
        <f t="shared" ca="1" si="424"/>
        <v>0</v>
      </c>
    </row>
    <row r="2231" spans="1:38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#N/A, OFFSET(data!$A$1, ROW()-1, AA$1-1))</f>
        <v>0</v>
      </c>
      <c r="AB2231">
        <f t="shared" ca="1" si="415"/>
        <v>0</v>
      </c>
      <c r="AC2231" t="e">
        <f t="shared" ca="1" si="416"/>
        <v>#VALUE!</v>
      </c>
      <c r="AD2231" t="str">
        <f t="shared" ca="1" si="417"/>
        <v>0</v>
      </c>
      <c r="AE2231" t="str">
        <f t="shared" ca="1" si="418"/>
        <v/>
      </c>
      <c r="AF2231" s="6">
        <f t="shared" ca="1" si="419"/>
        <v>0</v>
      </c>
      <c r="AG2231">
        <f t="shared" ca="1" si="425"/>
        <v>0</v>
      </c>
      <c r="AH2231">
        <f t="shared" ca="1" si="420"/>
        <v>0</v>
      </c>
      <c r="AI2231">
        <f t="shared" ca="1" si="421"/>
        <v>0</v>
      </c>
      <c r="AJ2231">
        <f t="shared" ca="1" si="422"/>
        <v>0</v>
      </c>
      <c r="AK2231">
        <f t="shared" ca="1" si="423"/>
        <v>0</v>
      </c>
      <c r="AL2231">
        <f t="shared" ca="1" si="424"/>
        <v>0</v>
      </c>
    </row>
    <row r="2232" spans="1:38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#N/A, OFFSET(data!$A$1, ROW()-1, AA$1-1))</f>
        <v>0</v>
      </c>
      <c r="AB2232">
        <f t="shared" ca="1" si="415"/>
        <v>0</v>
      </c>
      <c r="AC2232" t="e">
        <f t="shared" ca="1" si="416"/>
        <v>#VALUE!</v>
      </c>
      <c r="AD2232" t="str">
        <f t="shared" ca="1" si="417"/>
        <v>0</v>
      </c>
      <c r="AE2232" t="str">
        <f t="shared" ca="1" si="418"/>
        <v/>
      </c>
      <c r="AF2232" s="6">
        <f t="shared" ca="1" si="419"/>
        <v>0</v>
      </c>
      <c r="AG2232">
        <f t="shared" ca="1" si="425"/>
        <v>0</v>
      </c>
      <c r="AH2232">
        <f t="shared" ca="1" si="420"/>
        <v>0</v>
      </c>
      <c r="AI2232">
        <f t="shared" ca="1" si="421"/>
        <v>0</v>
      </c>
      <c r="AJ2232">
        <f t="shared" ca="1" si="422"/>
        <v>0</v>
      </c>
      <c r="AK2232">
        <f t="shared" ca="1" si="423"/>
        <v>0</v>
      </c>
      <c r="AL2232">
        <f t="shared" ca="1" si="424"/>
        <v>0</v>
      </c>
    </row>
    <row r="2233" spans="1:38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#N/A, OFFSET(data!$A$1, ROW()-1, AA$1-1))</f>
        <v>0</v>
      </c>
      <c r="AB2233">
        <f t="shared" ca="1" si="415"/>
        <v>0</v>
      </c>
      <c r="AC2233" t="e">
        <f t="shared" ca="1" si="416"/>
        <v>#VALUE!</v>
      </c>
      <c r="AD2233" t="str">
        <f t="shared" ca="1" si="417"/>
        <v>0</v>
      </c>
      <c r="AE2233" t="str">
        <f t="shared" ca="1" si="418"/>
        <v/>
      </c>
      <c r="AF2233" s="6">
        <f t="shared" ca="1" si="419"/>
        <v>0</v>
      </c>
      <c r="AG2233">
        <f t="shared" ca="1" si="425"/>
        <v>0</v>
      </c>
      <c r="AH2233">
        <f t="shared" ca="1" si="420"/>
        <v>0</v>
      </c>
      <c r="AI2233">
        <f t="shared" ca="1" si="421"/>
        <v>0</v>
      </c>
      <c r="AJ2233">
        <f t="shared" ca="1" si="422"/>
        <v>0</v>
      </c>
      <c r="AK2233">
        <f t="shared" ca="1" si="423"/>
        <v>0</v>
      </c>
      <c r="AL2233">
        <f t="shared" ca="1" si="424"/>
        <v>0</v>
      </c>
    </row>
    <row r="2234" spans="1:38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#N/A, OFFSET(data!$A$1, ROW()-1, AA$1-1))</f>
        <v>0</v>
      </c>
      <c r="AB2234">
        <f t="shared" ca="1" si="415"/>
        <v>0</v>
      </c>
      <c r="AC2234" t="e">
        <f t="shared" ca="1" si="416"/>
        <v>#VALUE!</v>
      </c>
      <c r="AD2234" t="str">
        <f t="shared" ca="1" si="417"/>
        <v>0</v>
      </c>
      <c r="AE2234" t="str">
        <f t="shared" ca="1" si="418"/>
        <v/>
      </c>
      <c r="AF2234" s="6">
        <f t="shared" ca="1" si="419"/>
        <v>0</v>
      </c>
      <c r="AG2234">
        <f t="shared" ca="1" si="425"/>
        <v>0</v>
      </c>
      <c r="AH2234">
        <f t="shared" ca="1" si="420"/>
        <v>0</v>
      </c>
      <c r="AI2234">
        <f t="shared" ca="1" si="421"/>
        <v>0</v>
      </c>
      <c r="AJ2234">
        <f t="shared" ca="1" si="422"/>
        <v>0</v>
      </c>
      <c r="AK2234">
        <f t="shared" ca="1" si="423"/>
        <v>0</v>
      </c>
      <c r="AL2234">
        <f t="shared" ca="1" si="424"/>
        <v>0</v>
      </c>
    </row>
    <row r="2235" spans="1:38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#N/A, OFFSET(data!$A$1, ROW()-1, AA$1-1))</f>
        <v>0</v>
      </c>
      <c r="AB2235">
        <f t="shared" ca="1" si="415"/>
        <v>0</v>
      </c>
      <c r="AC2235" t="e">
        <f t="shared" ca="1" si="416"/>
        <v>#VALUE!</v>
      </c>
      <c r="AD2235" t="str">
        <f t="shared" ca="1" si="417"/>
        <v>0</v>
      </c>
      <c r="AE2235" t="str">
        <f t="shared" ca="1" si="418"/>
        <v/>
      </c>
      <c r="AF2235" s="6">
        <f t="shared" ca="1" si="419"/>
        <v>0</v>
      </c>
      <c r="AG2235">
        <f t="shared" ca="1" si="425"/>
        <v>0</v>
      </c>
      <c r="AH2235">
        <f t="shared" ca="1" si="420"/>
        <v>0</v>
      </c>
      <c r="AI2235">
        <f t="shared" ca="1" si="421"/>
        <v>0</v>
      </c>
      <c r="AJ2235">
        <f t="shared" ca="1" si="422"/>
        <v>0</v>
      </c>
      <c r="AK2235">
        <f t="shared" ca="1" si="423"/>
        <v>0</v>
      </c>
      <c r="AL2235">
        <f t="shared" ca="1" si="424"/>
        <v>0</v>
      </c>
    </row>
    <row r="2236" spans="1:38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#N/A, OFFSET(data!$A$1, ROW()-1, AA$1-1))</f>
        <v>0</v>
      </c>
      <c r="AB2236">
        <f t="shared" ca="1" si="415"/>
        <v>0</v>
      </c>
      <c r="AC2236" t="e">
        <f t="shared" ca="1" si="416"/>
        <v>#VALUE!</v>
      </c>
      <c r="AD2236" t="str">
        <f t="shared" ca="1" si="417"/>
        <v>0</v>
      </c>
      <c r="AE2236" t="str">
        <f t="shared" ca="1" si="418"/>
        <v/>
      </c>
      <c r="AF2236" s="6">
        <f t="shared" ca="1" si="419"/>
        <v>0</v>
      </c>
      <c r="AG2236">
        <f t="shared" ca="1" si="425"/>
        <v>0</v>
      </c>
      <c r="AH2236">
        <f t="shared" ca="1" si="420"/>
        <v>0</v>
      </c>
      <c r="AI2236">
        <f t="shared" ca="1" si="421"/>
        <v>0</v>
      </c>
      <c r="AJ2236">
        <f t="shared" ca="1" si="422"/>
        <v>0</v>
      </c>
      <c r="AK2236">
        <f t="shared" ca="1" si="423"/>
        <v>0</v>
      </c>
      <c r="AL2236">
        <f t="shared" ca="1" si="424"/>
        <v>0</v>
      </c>
    </row>
    <row r="2237" spans="1:38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#N/A, OFFSET(data!$A$1, ROW()-1, AA$1-1))</f>
        <v>0</v>
      </c>
      <c r="AB2237">
        <f t="shared" ca="1" si="415"/>
        <v>0</v>
      </c>
      <c r="AC2237" t="e">
        <f t="shared" ca="1" si="416"/>
        <v>#VALUE!</v>
      </c>
      <c r="AD2237" t="str">
        <f t="shared" ca="1" si="417"/>
        <v>0</v>
      </c>
      <c r="AE2237" t="str">
        <f t="shared" ca="1" si="418"/>
        <v/>
      </c>
      <c r="AF2237" s="6">
        <f t="shared" ca="1" si="419"/>
        <v>0</v>
      </c>
      <c r="AG2237">
        <f t="shared" ca="1" si="425"/>
        <v>0</v>
      </c>
      <c r="AH2237">
        <f t="shared" ca="1" si="420"/>
        <v>0</v>
      </c>
      <c r="AI2237">
        <f t="shared" ca="1" si="421"/>
        <v>0</v>
      </c>
      <c r="AJ2237">
        <f t="shared" ca="1" si="422"/>
        <v>0</v>
      </c>
      <c r="AK2237">
        <f t="shared" ca="1" si="423"/>
        <v>0</v>
      </c>
      <c r="AL2237">
        <f t="shared" ca="1" si="424"/>
        <v>0</v>
      </c>
    </row>
    <row r="2238" spans="1:38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#N/A, OFFSET(data!$A$1, ROW()-1, AA$1-1))</f>
        <v>0</v>
      </c>
      <c r="AB2238">
        <f t="shared" ca="1" si="415"/>
        <v>0</v>
      </c>
      <c r="AC2238" t="e">
        <f t="shared" ca="1" si="416"/>
        <v>#VALUE!</v>
      </c>
      <c r="AD2238" t="str">
        <f t="shared" ca="1" si="417"/>
        <v>0</v>
      </c>
      <c r="AE2238" t="str">
        <f t="shared" ca="1" si="418"/>
        <v/>
      </c>
      <c r="AF2238" s="6">
        <f t="shared" ca="1" si="419"/>
        <v>0</v>
      </c>
      <c r="AG2238">
        <f t="shared" ca="1" si="425"/>
        <v>0</v>
      </c>
      <c r="AH2238">
        <f t="shared" ca="1" si="420"/>
        <v>0</v>
      </c>
      <c r="AI2238">
        <f t="shared" ca="1" si="421"/>
        <v>0</v>
      </c>
      <c r="AJ2238">
        <f t="shared" ca="1" si="422"/>
        <v>0</v>
      </c>
      <c r="AK2238">
        <f t="shared" ca="1" si="423"/>
        <v>0</v>
      </c>
      <c r="AL2238">
        <f t="shared" ca="1" si="424"/>
        <v>0</v>
      </c>
    </row>
    <row r="2239" spans="1:38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#N/A, OFFSET(data!$A$1, ROW()-1, AA$1-1))</f>
        <v>0</v>
      </c>
      <c r="AB2239">
        <f t="shared" ca="1" si="415"/>
        <v>0</v>
      </c>
      <c r="AC2239" t="e">
        <f t="shared" ca="1" si="416"/>
        <v>#VALUE!</v>
      </c>
      <c r="AD2239" t="str">
        <f t="shared" ca="1" si="417"/>
        <v>0</v>
      </c>
      <c r="AE2239" t="str">
        <f t="shared" ca="1" si="418"/>
        <v/>
      </c>
      <c r="AF2239" s="6">
        <f t="shared" ca="1" si="419"/>
        <v>0</v>
      </c>
      <c r="AG2239">
        <f t="shared" ca="1" si="425"/>
        <v>0</v>
      </c>
      <c r="AH2239">
        <f t="shared" ca="1" si="420"/>
        <v>0</v>
      </c>
      <c r="AI2239">
        <f t="shared" ca="1" si="421"/>
        <v>0</v>
      </c>
      <c r="AJ2239">
        <f t="shared" ca="1" si="422"/>
        <v>0</v>
      </c>
      <c r="AK2239">
        <f t="shared" ca="1" si="423"/>
        <v>0</v>
      </c>
      <c r="AL2239">
        <f t="shared" ca="1" si="424"/>
        <v>0</v>
      </c>
    </row>
    <row r="2240" spans="1:38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#N/A, OFFSET(data!$A$1, ROW()-1, AA$1-1))</f>
        <v>0</v>
      </c>
      <c r="AB2240">
        <f t="shared" ca="1" si="415"/>
        <v>0</v>
      </c>
      <c r="AC2240" t="e">
        <f t="shared" ca="1" si="416"/>
        <v>#VALUE!</v>
      </c>
      <c r="AD2240" t="str">
        <f t="shared" ca="1" si="417"/>
        <v>0</v>
      </c>
      <c r="AE2240" t="str">
        <f t="shared" ca="1" si="418"/>
        <v/>
      </c>
      <c r="AF2240" s="6">
        <f t="shared" ca="1" si="419"/>
        <v>0</v>
      </c>
      <c r="AG2240">
        <f t="shared" ca="1" si="425"/>
        <v>0</v>
      </c>
      <c r="AH2240">
        <f t="shared" ca="1" si="420"/>
        <v>0</v>
      </c>
      <c r="AI2240">
        <f t="shared" ca="1" si="421"/>
        <v>0</v>
      </c>
      <c r="AJ2240">
        <f t="shared" ca="1" si="422"/>
        <v>0</v>
      </c>
      <c r="AK2240">
        <f t="shared" ca="1" si="423"/>
        <v>0</v>
      </c>
      <c r="AL2240">
        <f t="shared" ca="1" si="424"/>
        <v>0</v>
      </c>
    </row>
    <row r="2241" spans="1:38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#N/A, OFFSET(data!$A$1, ROW()-1, AA$1-1))</f>
        <v>0</v>
      </c>
      <c r="AB2241">
        <f t="shared" ca="1" si="415"/>
        <v>0</v>
      </c>
      <c r="AC2241" t="e">
        <f t="shared" ca="1" si="416"/>
        <v>#VALUE!</v>
      </c>
      <c r="AD2241" t="str">
        <f t="shared" ca="1" si="417"/>
        <v>0</v>
      </c>
      <c r="AE2241" t="str">
        <f t="shared" ca="1" si="418"/>
        <v/>
      </c>
      <c r="AF2241" s="6">
        <f t="shared" ca="1" si="419"/>
        <v>0</v>
      </c>
      <c r="AG2241">
        <f t="shared" ca="1" si="425"/>
        <v>0</v>
      </c>
      <c r="AH2241">
        <f t="shared" ca="1" si="420"/>
        <v>0</v>
      </c>
      <c r="AI2241">
        <f t="shared" ca="1" si="421"/>
        <v>0</v>
      </c>
      <c r="AJ2241">
        <f t="shared" ca="1" si="422"/>
        <v>0</v>
      </c>
      <c r="AK2241">
        <f t="shared" ca="1" si="423"/>
        <v>0</v>
      </c>
      <c r="AL2241">
        <f t="shared" ca="1" si="424"/>
        <v>0</v>
      </c>
    </row>
    <row r="2242" spans="1:38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#N/A, OFFSET(data!$A$1, ROW()-1, AA$1-1))</f>
        <v>0</v>
      </c>
      <c r="AB2242">
        <f t="shared" ca="1" si="415"/>
        <v>0</v>
      </c>
      <c r="AC2242" t="e">
        <f t="shared" ca="1" si="416"/>
        <v>#VALUE!</v>
      </c>
      <c r="AD2242" t="str">
        <f t="shared" ca="1" si="417"/>
        <v>0</v>
      </c>
      <c r="AE2242" t="str">
        <f t="shared" ca="1" si="418"/>
        <v/>
      </c>
      <c r="AF2242" s="6">
        <f t="shared" ca="1" si="419"/>
        <v>0</v>
      </c>
      <c r="AG2242">
        <f t="shared" ca="1" si="425"/>
        <v>0</v>
      </c>
      <c r="AH2242">
        <f t="shared" ca="1" si="420"/>
        <v>0</v>
      </c>
      <c r="AI2242">
        <f t="shared" ca="1" si="421"/>
        <v>0</v>
      </c>
      <c r="AJ2242">
        <f t="shared" ca="1" si="422"/>
        <v>0</v>
      </c>
      <c r="AK2242">
        <f t="shared" ca="1" si="423"/>
        <v>0</v>
      </c>
      <c r="AL2242">
        <f t="shared" ca="1" si="424"/>
        <v>0</v>
      </c>
    </row>
    <row r="2243" spans="1:38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#N/A, OFFSET(data!$A$1, ROW()-1, AA$1-1))</f>
        <v>0</v>
      </c>
      <c r="AB2243">
        <f t="shared" ref="AB2243:AB2305" ca="1" si="426">VALUE(LEFT(C2243, 4))</f>
        <v>0</v>
      </c>
      <c r="AC2243" t="e">
        <f t="shared" ref="AC2243:AC2305" ca="1" si="427">VALUE(MID(C2243, 6, 2))</f>
        <v>#VALUE!</v>
      </c>
      <c r="AD2243" t="str">
        <f t="shared" ref="AD2243:AD2305" ca="1" si="428">SUBSTITUTE(MID(C2243,6,6)&amp;LEFT(C2243,4), "-", "/")</f>
        <v>0</v>
      </c>
      <c r="AE2243" t="str">
        <f t="shared" ref="AE2243:AE2305" ca="1" si="429">IF(RIGHT(C2243, 5)="12:00", AD2243, "")</f>
        <v/>
      </c>
      <c r="AF2243" s="6">
        <f t="shared" ref="AF2243:AF2305" ca="1" si="430">Z2243/1000</f>
        <v>0</v>
      </c>
      <c r="AG2243">
        <f t="shared" ca="1" si="425"/>
        <v>0</v>
      </c>
      <c r="AH2243">
        <f t="shared" ca="1" si="420"/>
        <v>0</v>
      </c>
      <c r="AI2243">
        <f t="shared" ca="1" si="421"/>
        <v>0</v>
      </c>
      <c r="AJ2243">
        <f t="shared" ca="1" si="422"/>
        <v>0</v>
      </c>
      <c r="AK2243">
        <f t="shared" ca="1" si="423"/>
        <v>0</v>
      </c>
      <c r="AL2243">
        <f t="shared" ca="1" si="424"/>
        <v>0</v>
      </c>
    </row>
    <row r="2244" spans="1:38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#N/A, OFFSET(data!$A$1, ROW()-1, AA$1-1))</f>
        <v>0</v>
      </c>
      <c r="AB2244">
        <f t="shared" ca="1" si="426"/>
        <v>0</v>
      </c>
      <c r="AC2244" t="e">
        <f t="shared" ca="1" si="427"/>
        <v>#VALUE!</v>
      </c>
      <c r="AD2244" t="str">
        <f t="shared" ca="1" si="428"/>
        <v>0</v>
      </c>
      <c r="AE2244" t="str">
        <f t="shared" ca="1" si="429"/>
        <v/>
      </c>
      <c r="AF2244" s="6">
        <f t="shared" ca="1" si="430"/>
        <v>0</v>
      </c>
      <c r="AG2244">
        <f t="shared" ca="1" si="425"/>
        <v>0</v>
      </c>
      <c r="AH2244">
        <f t="shared" ref="AH2244:AH2305" ca="1" si="431">MAX(S2244,Y2244)</f>
        <v>0</v>
      </c>
      <c r="AI2244">
        <f t="shared" ref="AI2244:AI2305" ca="1" si="432">MAX(R2244,V2244)</f>
        <v>0</v>
      </c>
      <c r="AJ2244">
        <f t="shared" ref="AJ2244:AJ2305" ca="1" si="433">K2244+N2244</f>
        <v>0</v>
      </c>
      <c r="AK2244">
        <f t="shared" ref="AK2244:AK2305" ca="1" si="434">L2244+O2244</f>
        <v>0</v>
      </c>
      <c r="AL2244">
        <f t="shared" ref="AL2244:AL2305" ca="1" si="435">M2244+P2244</f>
        <v>0</v>
      </c>
    </row>
    <row r="2245" spans="1:38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#N/A, OFFSET(data!$A$1, ROW()-1, AA$1-1))</f>
        <v>0</v>
      </c>
      <c r="AB2245">
        <f t="shared" ca="1" si="426"/>
        <v>0</v>
      </c>
      <c r="AC2245" t="e">
        <f t="shared" ca="1" si="427"/>
        <v>#VALUE!</v>
      </c>
      <c r="AD2245" t="str">
        <f t="shared" ca="1" si="428"/>
        <v>0</v>
      </c>
      <c r="AE2245" t="str">
        <f t="shared" ca="1" si="429"/>
        <v/>
      </c>
      <c r="AF2245" s="6">
        <f t="shared" ca="1" si="430"/>
        <v>0</v>
      </c>
      <c r="AG2245">
        <f t="shared" ca="1" si="425"/>
        <v>0</v>
      </c>
      <c r="AH2245">
        <f t="shared" ca="1" si="431"/>
        <v>0</v>
      </c>
      <c r="AI2245">
        <f t="shared" ca="1" si="432"/>
        <v>0</v>
      </c>
      <c r="AJ2245">
        <f t="shared" ca="1" si="433"/>
        <v>0</v>
      </c>
      <c r="AK2245">
        <f t="shared" ca="1" si="434"/>
        <v>0</v>
      </c>
      <c r="AL2245">
        <f t="shared" ca="1" si="435"/>
        <v>0</v>
      </c>
    </row>
    <row r="2246" spans="1:38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#N/A, OFFSET(data!$A$1, ROW()-1, AA$1-1))</f>
        <v>0</v>
      </c>
      <c r="AB2246">
        <f t="shared" ca="1" si="426"/>
        <v>0</v>
      </c>
      <c r="AC2246" t="e">
        <f t="shared" ca="1" si="427"/>
        <v>#VALUE!</v>
      </c>
      <c r="AD2246" t="str">
        <f t="shared" ca="1" si="428"/>
        <v>0</v>
      </c>
      <c r="AE2246" t="str">
        <f t="shared" ca="1" si="429"/>
        <v/>
      </c>
      <c r="AF2246" s="6">
        <f t="shared" ca="1" si="430"/>
        <v>0</v>
      </c>
      <c r="AG2246">
        <f t="shared" ca="1" si="425"/>
        <v>0</v>
      </c>
      <c r="AH2246">
        <f t="shared" ca="1" si="431"/>
        <v>0</v>
      </c>
      <c r="AI2246">
        <f t="shared" ca="1" si="432"/>
        <v>0</v>
      </c>
      <c r="AJ2246">
        <f t="shared" ca="1" si="433"/>
        <v>0</v>
      </c>
      <c r="AK2246">
        <f t="shared" ca="1" si="434"/>
        <v>0</v>
      </c>
      <c r="AL2246">
        <f t="shared" ca="1" si="435"/>
        <v>0</v>
      </c>
    </row>
    <row r="2247" spans="1:38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#N/A, OFFSET(data!$A$1, ROW()-1, AA$1-1))</f>
        <v>0</v>
      </c>
      <c r="AB2247">
        <f t="shared" ca="1" si="426"/>
        <v>0</v>
      </c>
      <c r="AC2247" t="e">
        <f t="shared" ca="1" si="427"/>
        <v>#VALUE!</v>
      </c>
      <c r="AD2247" t="str">
        <f t="shared" ca="1" si="428"/>
        <v>0</v>
      </c>
      <c r="AE2247" t="str">
        <f t="shared" ca="1" si="429"/>
        <v/>
      </c>
      <c r="AF2247" s="6">
        <f t="shared" ca="1" si="430"/>
        <v>0</v>
      </c>
      <c r="AG2247">
        <f t="shared" ca="1" si="425"/>
        <v>0</v>
      </c>
      <c r="AH2247">
        <f t="shared" ca="1" si="431"/>
        <v>0</v>
      </c>
      <c r="AI2247">
        <f t="shared" ca="1" si="432"/>
        <v>0</v>
      </c>
      <c r="AJ2247">
        <f t="shared" ca="1" si="433"/>
        <v>0</v>
      </c>
      <c r="AK2247">
        <f t="shared" ca="1" si="434"/>
        <v>0</v>
      </c>
      <c r="AL2247">
        <f t="shared" ca="1" si="435"/>
        <v>0</v>
      </c>
    </row>
    <row r="2248" spans="1:38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#N/A, OFFSET(data!$A$1, ROW()-1, AA$1-1))</f>
        <v>0</v>
      </c>
      <c r="AB2248">
        <f t="shared" ca="1" si="426"/>
        <v>0</v>
      </c>
      <c r="AC2248" t="e">
        <f t="shared" ca="1" si="427"/>
        <v>#VALUE!</v>
      </c>
      <c r="AD2248" t="str">
        <f t="shared" ca="1" si="428"/>
        <v>0</v>
      </c>
      <c r="AE2248" t="str">
        <f t="shared" ca="1" si="429"/>
        <v/>
      </c>
      <c r="AF2248" s="6">
        <f t="shared" ca="1" si="430"/>
        <v>0</v>
      </c>
      <c r="AG2248">
        <f t="shared" ca="1" si="425"/>
        <v>0</v>
      </c>
      <c r="AH2248">
        <f t="shared" ca="1" si="431"/>
        <v>0</v>
      </c>
      <c r="AI2248">
        <f t="shared" ca="1" si="432"/>
        <v>0</v>
      </c>
      <c r="AJ2248">
        <f t="shared" ca="1" si="433"/>
        <v>0</v>
      </c>
      <c r="AK2248">
        <f t="shared" ca="1" si="434"/>
        <v>0</v>
      </c>
      <c r="AL2248">
        <f t="shared" ca="1" si="435"/>
        <v>0</v>
      </c>
    </row>
    <row r="2249" spans="1:38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#N/A, OFFSET(data!$A$1, ROW()-1, AA$1-1))</f>
        <v>0</v>
      </c>
      <c r="AB2249">
        <f t="shared" ca="1" si="426"/>
        <v>0</v>
      </c>
      <c r="AC2249" t="e">
        <f t="shared" ca="1" si="427"/>
        <v>#VALUE!</v>
      </c>
      <c r="AD2249" t="str">
        <f t="shared" ca="1" si="428"/>
        <v>0</v>
      </c>
      <c r="AE2249" t="str">
        <f t="shared" ca="1" si="429"/>
        <v/>
      </c>
      <c r="AF2249" s="6">
        <f t="shared" ca="1" si="430"/>
        <v>0</v>
      </c>
      <c r="AG2249">
        <f t="shared" ca="1" si="425"/>
        <v>0</v>
      </c>
      <c r="AH2249">
        <f t="shared" ca="1" si="431"/>
        <v>0</v>
      </c>
      <c r="AI2249">
        <f t="shared" ca="1" si="432"/>
        <v>0</v>
      </c>
      <c r="AJ2249">
        <f t="shared" ca="1" si="433"/>
        <v>0</v>
      </c>
      <c r="AK2249">
        <f t="shared" ca="1" si="434"/>
        <v>0</v>
      </c>
      <c r="AL2249">
        <f t="shared" ca="1" si="435"/>
        <v>0</v>
      </c>
    </row>
    <row r="2250" spans="1:38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#N/A, OFFSET(data!$A$1, ROW()-1, AA$1-1))</f>
        <v>0</v>
      </c>
      <c r="AB2250">
        <f t="shared" ca="1" si="426"/>
        <v>0</v>
      </c>
      <c r="AC2250" t="e">
        <f t="shared" ca="1" si="427"/>
        <v>#VALUE!</v>
      </c>
      <c r="AD2250" t="str">
        <f t="shared" ca="1" si="428"/>
        <v>0</v>
      </c>
      <c r="AE2250" t="str">
        <f t="shared" ca="1" si="429"/>
        <v/>
      </c>
      <c r="AF2250" s="6">
        <f t="shared" ca="1" si="430"/>
        <v>0</v>
      </c>
      <c r="AG2250">
        <f t="shared" ca="1" si="425"/>
        <v>0</v>
      </c>
      <c r="AH2250">
        <f t="shared" ca="1" si="431"/>
        <v>0</v>
      </c>
      <c r="AI2250">
        <f t="shared" ca="1" si="432"/>
        <v>0</v>
      </c>
      <c r="AJ2250">
        <f t="shared" ca="1" si="433"/>
        <v>0</v>
      </c>
      <c r="AK2250">
        <f t="shared" ca="1" si="434"/>
        <v>0</v>
      </c>
      <c r="AL2250">
        <f t="shared" ca="1" si="435"/>
        <v>0</v>
      </c>
    </row>
    <row r="2251" spans="1:38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#N/A, OFFSET(data!$A$1, ROW()-1, AA$1-1))</f>
        <v>0</v>
      </c>
      <c r="AB2251">
        <f t="shared" ca="1" si="426"/>
        <v>0</v>
      </c>
      <c r="AC2251" t="e">
        <f t="shared" ca="1" si="427"/>
        <v>#VALUE!</v>
      </c>
      <c r="AD2251" t="str">
        <f t="shared" ca="1" si="428"/>
        <v>0</v>
      </c>
      <c r="AE2251" t="str">
        <f t="shared" ca="1" si="429"/>
        <v/>
      </c>
      <c r="AF2251" s="6">
        <f t="shared" ca="1" si="430"/>
        <v>0</v>
      </c>
      <c r="AG2251">
        <f t="shared" ca="1" si="425"/>
        <v>0</v>
      </c>
      <c r="AH2251">
        <f t="shared" ca="1" si="431"/>
        <v>0</v>
      </c>
      <c r="AI2251">
        <f t="shared" ca="1" si="432"/>
        <v>0</v>
      </c>
      <c r="AJ2251">
        <f t="shared" ca="1" si="433"/>
        <v>0</v>
      </c>
      <c r="AK2251">
        <f t="shared" ca="1" si="434"/>
        <v>0</v>
      </c>
      <c r="AL2251">
        <f t="shared" ca="1" si="435"/>
        <v>0</v>
      </c>
    </row>
    <row r="2252" spans="1:38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#N/A, OFFSET(data!$A$1, ROW()-1, AA$1-1))</f>
        <v>0</v>
      </c>
      <c r="AB2252">
        <f t="shared" ca="1" si="426"/>
        <v>0</v>
      </c>
      <c r="AC2252" t="e">
        <f t="shared" ca="1" si="427"/>
        <v>#VALUE!</v>
      </c>
      <c r="AD2252" t="str">
        <f t="shared" ca="1" si="428"/>
        <v>0</v>
      </c>
      <c r="AE2252" t="str">
        <f t="shared" ca="1" si="429"/>
        <v/>
      </c>
      <c r="AF2252" s="6">
        <f t="shared" ca="1" si="430"/>
        <v>0</v>
      </c>
      <c r="AG2252">
        <f t="shared" ca="1" si="425"/>
        <v>0</v>
      </c>
      <c r="AH2252">
        <f t="shared" ca="1" si="431"/>
        <v>0</v>
      </c>
      <c r="AI2252">
        <f t="shared" ca="1" si="432"/>
        <v>0</v>
      </c>
      <c r="AJ2252">
        <f t="shared" ca="1" si="433"/>
        <v>0</v>
      </c>
      <c r="AK2252">
        <f t="shared" ca="1" si="434"/>
        <v>0</v>
      </c>
      <c r="AL2252">
        <f t="shared" ca="1" si="435"/>
        <v>0</v>
      </c>
    </row>
    <row r="2253" spans="1:38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#N/A, OFFSET(data!$A$1, ROW()-1, AA$1-1))</f>
        <v>0</v>
      </c>
      <c r="AB2253">
        <f t="shared" ca="1" si="426"/>
        <v>0</v>
      </c>
      <c r="AC2253" t="e">
        <f t="shared" ca="1" si="427"/>
        <v>#VALUE!</v>
      </c>
      <c r="AD2253" t="str">
        <f t="shared" ca="1" si="428"/>
        <v>0</v>
      </c>
      <c r="AE2253" t="str">
        <f t="shared" ca="1" si="429"/>
        <v/>
      </c>
      <c r="AF2253" s="6">
        <f t="shared" ca="1" si="430"/>
        <v>0</v>
      </c>
      <c r="AG2253">
        <f t="shared" ca="1" si="425"/>
        <v>0</v>
      </c>
      <c r="AH2253">
        <f t="shared" ca="1" si="431"/>
        <v>0</v>
      </c>
      <c r="AI2253">
        <f t="shared" ca="1" si="432"/>
        <v>0</v>
      </c>
      <c r="AJ2253">
        <f t="shared" ca="1" si="433"/>
        <v>0</v>
      </c>
      <c r="AK2253">
        <f t="shared" ca="1" si="434"/>
        <v>0</v>
      </c>
      <c r="AL2253">
        <f t="shared" ca="1" si="435"/>
        <v>0</v>
      </c>
    </row>
    <row r="2254" spans="1:38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#N/A, OFFSET(data!$A$1, ROW()-1, AA$1-1))</f>
        <v>0</v>
      </c>
      <c r="AB2254">
        <f t="shared" ca="1" si="426"/>
        <v>0</v>
      </c>
      <c r="AC2254" t="e">
        <f t="shared" ca="1" si="427"/>
        <v>#VALUE!</v>
      </c>
      <c r="AD2254" t="str">
        <f t="shared" ca="1" si="428"/>
        <v>0</v>
      </c>
      <c r="AE2254" t="str">
        <f t="shared" ca="1" si="429"/>
        <v/>
      </c>
      <c r="AF2254" s="6">
        <f t="shared" ca="1" si="430"/>
        <v>0</v>
      </c>
      <c r="AG2254">
        <f t="shared" ca="1" si="425"/>
        <v>0</v>
      </c>
      <c r="AH2254">
        <f t="shared" ca="1" si="431"/>
        <v>0</v>
      </c>
      <c r="AI2254">
        <f t="shared" ca="1" si="432"/>
        <v>0</v>
      </c>
      <c r="AJ2254">
        <f t="shared" ca="1" si="433"/>
        <v>0</v>
      </c>
      <c r="AK2254">
        <f t="shared" ca="1" si="434"/>
        <v>0</v>
      </c>
      <c r="AL2254">
        <f t="shared" ca="1" si="435"/>
        <v>0</v>
      </c>
    </row>
    <row r="2255" spans="1:38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#N/A, OFFSET(data!$A$1, ROW()-1, AA$1-1))</f>
        <v>0</v>
      </c>
      <c r="AB2255">
        <f t="shared" ca="1" si="426"/>
        <v>0</v>
      </c>
      <c r="AC2255" t="e">
        <f t="shared" ca="1" si="427"/>
        <v>#VALUE!</v>
      </c>
      <c r="AD2255" t="str">
        <f t="shared" ca="1" si="428"/>
        <v>0</v>
      </c>
      <c r="AE2255" t="str">
        <f t="shared" ca="1" si="429"/>
        <v/>
      </c>
      <c r="AF2255" s="6">
        <f t="shared" ca="1" si="430"/>
        <v>0</v>
      </c>
      <c r="AG2255">
        <f t="shared" ca="1" si="425"/>
        <v>0</v>
      </c>
      <c r="AH2255">
        <f t="shared" ca="1" si="431"/>
        <v>0</v>
      </c>
      <c r="AI2255">
        <f t="shared" ca="1" si="432"/>
        <v>0</v>
      </c>
      <c r="AJ2255">
        <f t="shared" ca="1" si="433"/>
        <v>0</v>
      </c>
      <c r="AK2255">
        <f t="shared" ca="1" si="434"/>
        <v>0</v>
      </c>
      <c r="AL2255">
        <f t="shared" ca="1" si="435"/>
        <v>0</v>
      </c>
    </row>
    <row r="2256" spans="1:38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#N/A, OFFSET(data!$A$1, ROW()-1, AA$1-1))</f>
        <v>0</v>
      </c>
      <c r="AB2256">
        <f t="shared" ca="1" si="426"/>
        <v>0</v>
      </c>
      <c r="AC2256" t="e">
        <f t="shared" ca="1" si="427"/>
        <v>#VALUE!</v>
      </c>
      <c r="AD2256" t="str">
        <f t="shared" ca="1" si="428"/>
        <v>0</v>
      </c>
      <c r="AE2256" t="str">
        <f t="shared" ca="1" si="429"/>
        <v/>
      </c>
      <c r="AF2256" s="6">
        <f t="shared" ca="1" si="430"/>
        <v>0</v>
      </c>
      <c r="AG2256">
        <f t="shared" ca="1" si="425"/>
        <v>0</v>
      </c>
      <c r="AH2256">
        <f t="shared" ca="1" si="431"/>
        <v>0</v>
      </c>
      <c r="AI2256">
        <f t="shared" ca="1" si="432"/>
        <v>0</v>
      </c>
      <c r="AJ2256">
        <f t="shared" ca="1" si="433"/>
        <v>0</v>
      </c>
      <c r="AK2256">
        <f t="shared" ca="1" si="434"/>
        <v>0</v>
      </c>
      <c r="AL2256">
        <f t="shared" ca="1" si="435"/>
        <v>0</v>
      </c>
    </row>
    <row r="2257" spans="1:38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#N/A, OFFSET(data!$A$1, ROW()-1, AA$1-1))</f>
        <v>0</v>
      </c>
      <c r="AB2257">
        <f t="shared" ca="1" si="426"/>
        <v>0</v>
      </c>
      <c r="AC2257" t="e">
        <f t="shared" ca="1" si="427"/>
        <v>#VALUE!</v>
      </c>
      <c r="AD2257" t="str">
        <f t="shared" ca="1" si="428"/>
        <v>0</v>
      </c>
      <c r="AE2257" t="str">
        <f t="shared" ca="1" si="429"/>
        <v/>
      </c>
      <c r="AF2257" s="6">
        <f t="shared" ca="1" si="430"/>
        <v>0</v>
      </c>
      <c r="AG2257">
        <f t="shared" ca="1" si="425"/>
        <v>0</v>
      </c>
      <c r="AH2257">
        <f t="shared" ca="1" si="431"/>
        <v>0</v>
      </c>
      <c r="AI2257">
        <f t="shared" ca="1" si="432"/>
        <v>0</v>
      </c>
      <c r="AJ2257">
        <f t="shared" ca="1" si="433"/>
        <v>0</v>
      </c>
      <c r="AK2257">
        <f t="shared" ca="1" si="434"/>
        <v>0</v>
      </c>
      <c r="AL2257">
        <f t="shared" ca="1" si="435"/>
        <v>0</v>
      </c>
    </row>
    <row r="2258" spans="1:38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#N/A, OFFSET(data!$A$1, ROW()-1, AA$1-1))</f>
        <v>0</v>
      </c>
      <c r="AB2258">
        <f t="shared" ca="1" si="426"/>
        <v>0</v>
      </c>
      <c r="AC2258" t="e">
        <f t="shared" ca="1" si="427"/>
        <v>#VALUE!</v>
      </c>
      <c r="AD2258" t="str">
        <f t="shared" ca="1" si="428"/>
        <v>0</v>
      </c>
      <c r="AE2258" t="str">
        <f t="shared" ca="1" si="429"/>
        <v/>
      </c>
      <c r="AF2258" s="6">
        <f t="shared" ca="1" si="430"/>
        <v>0</v>
      </c>
      <c r="AG2258">
        <f t="shared" ca="1" si="425"/>
        <v>0</v>
      </c>
      <c r="AH2258">
        <f t="shared" ca="1" si="431"/>
        <v>0</v>
      </c>
      <c r="AI2258">
        <f t="shared" ca="1" si="432"/>
        <v>0</v>
      </c>
      <c r="AJ2258">
        <f t="shared" ca="1" si="433"/>
        <v>0</v>
      </c>
      <c r="AK2258">
        <f t="shared" ca="1" si="434"/>
        <v>0</v>
      </c>
      <c r="AL2258">
        <f t="shared" ca="1" si="435"/>
        <v>0</v>
      </c>
    </row>
    <row r="2259" spans="1:38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#N/A, OFFSET(data!$A$1, ROW()-1, AA$1-1))</f>
        <v>0</v>
      </c>
      <c r="AB2259">
        <f t="shared" ca="1" si="426"/>
        <v>0</v>
      </c>
      <c r="AC2259" t="e">
        <f t="shared" ca="1" si="427"/>
        <v>#VALUE!</v>
      </c>
      <c r="AD2259" t="str">
        <f t="shared" ca="1" si="428"/>
        <v>0</v>
      </c>
      <c r="AE2259" t="str">
        <f t="shared" ca="1" si="429"/>
        <v/>
      </c>
      <c r="AF2259" s="6">
        <f t="shared" ca="1" si="430"/>
        <v>0</v>
      </c>
      <c r="AG2259">
        <f t="shared" ca="1" si="425"/>
        <v>0</v>
      </c>
      <c r="AH2259">
        <f t="shared" ca="1" si="431"/>
        <v>0</v>
      </c>
      <c r="AI2259">
        <f t="shared" ca="1" si="432"/>
        <v>0</v>
      </c>
      <c r="AJ2259">
        <f t="shared" ca="1" si="433"/>
        <v>0</v>
      </c>
      <c r="AK2259">
        <f t="shared" ca="1" si="434"/>
        <v>0</v>
      </c>
      <c r="AL2259">
        <f t="shared" ca="1" si="435"/>
        <v>0</v>
      </c>
    </row>
    <row r="2260" spans="1:38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#N/A, OFFSET(data!$A$1, ROW()-1, AA$1-1))</f>
        <v>0</v>
      </c>
      <c r="AB2260">
        <f t="shared" ca="1" si="426"/>
        <v>0</v>
      </c>
      <c r="AC2260" t="e">
        <f t="shared" ca="1" si="427"/>
        <v>#VALUE!</v>
      </c>
      <c r="AD2260" t="str">
        <f t="shared" ca="1" si="428"/>
        <v>0</v>
      </c>
      <c r="AE2260" t="str">
        <f t="shared" ca="1" si="429"/>
        <v/>
      </c>
      <c r="AF2260" s="6">
        <f t="shared" ca="1" si="430"/>
        <v>0</v>
      </c>
      <c r="AG2260">
        <f t="shared" ca="1" si="425"/>
        <v>0</v>
      </c>
      <c r="AH2260">
        <f t="shared" ca="1" si="431"/>
        <v>0</v>
      </c>
      <c r="AI2260">
        <f t="shared" ca="1" si="432"/>
        <v>0</v>
      </c>
      <c r="AJ2260">
        <f t="shared" ca="1" si="433"/>
        <v>0</v>
      </c>
      <c r="AK2260">
        <f t="shared" ca="1" si="434"/>
        <v>0</v>
      </c>
      <c r="AL2260">
        <f t="shared" ca="1" si="435"/>
        <v>0</v>
      </c>
    </row>
    <row r="2261" spans="1:38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#N/A, OFFSET(data!$A$1, ROW()-1, AA$1-1))</f>
        <v>0</v>
      </c>
      <c r="AB2261">
        <f t="shared" ca="1" si="426"/>
        <v>0</v>
      </c>
      <c r="AC2261" t="e">
        <f t="shared" ca="1" si="427"/>
        <v>#VALUE!</v>
      </c>
      <c r="AD2261" t="str">
        <f t="shared" ca="1" si="428"/>
        <v>0</v>
      </c>
      <c r="AE2261" t="str">
        <f t="shared" ca="1" si="429"/>
        <v/>
      </c>
      <c r="AF2261" s="6">
        <f t="shared" ca="1" si="430"/>
        <v>0</v>
      </c>
      <c r="AG2261">
        <f t="shared" ca="1" si="425"/>
        <v>0</v>
      </c>
      <c r="AH2261">
        <f t="shared" ca="1" si="431"/>
        <v>0</v>
      </c>
      <c r="AI2261">
        <f t="shared" ca="1" si="432"/>
        <v>0</v>
      </c>
      <c r="AJ2261">
        <f t="shared" ca="1" si="433"/>
        <v>0</v>
      </c>
      <c r="AK2261">
        <f t="shared" ca="1" si="434"/>
        <v>0</v>
      </c>
      <c r="AL2261">
        <f t="shared" ca="1" si="435"/>
        <v>0</v>
      </c>
    </row>
    <row r="2262" spans="1:38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#N/A, OFFSET(data!$A$1, ROW()-1, AA$1-1))</f>
        <v>0</v>
      </c>
      <c r="AB2262">
        <f t="shared" ca="1" si="426"/>
        <v>0</v>
      </c>
      <c r="AC2262" t="e">
        <f t="shared" ca="1" si="427"/>
        <v>#VALUE!</v>
      </c>
      <c r="AD2262" t="str">
        <f t="shared" ca="1" si="428"/>
        <v>0</v>
      </c>
      <c r="AE2262" t="str">
        <f t="shared" ca="1" si="429"/>
        <v/>
      </c>
      <c r="AF2262" s="6">
        <f t="shared" ca="1" si="430"/>
        <v>0</v>
      </c>
      <c r="AG2262">
        <f t="shared" ca="1" si="425"/>
        <v>0</v>
      </c>
      <c r="AH2262">
        <f t="shared" ca="1" si="431"/>
        <v>0</v>
      </c>
      <c r="AI2262">
        <f t="shared" ca="1" si="432"/>
        <v>0</v>
      </c>
      <c r="AJ2262">
        <f t="shared" ca="1" si="433"/>
        <v>0</v>
      </c>
      <c r="AK2262">
        <f t="shared" ca="1" si="434"/>
        <v>0</v>
      </c>
      <c r="AL2262">
        <f t="shared" ca="1" si="435"/>
        <v>0</v>
      </c>
    </row>
    <row r="2263" spans="1:38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#N/A, OFFSET(data!$A$1, ROW()-1, AA$1-1))</f>
        <v>0</v>
      </c>
      <c r="AB2263">
        <f t="shared" ca="1" si="426"/>
        <v>0</v>
      </c>
      <c r="AC2263" t="e">
        <f t="shared" ca="1" si="427"/>
        <v>#VALUE!</v>
      </c>
      <c r="AD2263" t="str">
        <f t="shared" ca="1" si="428"/>
        <v>0</v>
      </c>
      <c r="AE2263" t="str">
        <f t="shared" ca="1" si="429"/>
        <v/>
      </c>
      <c r="AF2263" s="6">
        <f t="shared" ca="1" si="430"/>
        <v>0</v>
      </c>
      <c r="AG2263">
        <f t="shared" ca="1" si="425"/>
        <v>0</v>
      </c>
      <c r="AH2263">
        <f t="shared" ca="1" si="431"/>
        <v>0</v>
      </c>
      <c r="AI2263">
        <f t="shared" ca="1" si="432"/>
        <v>0</v>
      </c>
      <c r="AJ2263">
        <f t="shared" ca="1" si="433"/>
        <v>0</v>
      </c>
      <c r="AK2263">
        <f t="shared" ca="1" si="434"/>
        <v>0</v>
      </c>
      <c r="AL2263">
        <f t="shared" ca="1" si="435"/>
        <v>0</v>
      </c>
    </row>
    <row r="2264" spans="1:38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#N/A, OFFSET(data!$A$1, ROW()-1, AA$1-1))</f>
        <v>0</v>
      </c>
      <c r="AB2264">
        <f t="shared" ca="1" si="426"/>
        <v>0</v>
      </c>
      <c r="AC2264" t="e">
        <f t="shared" ca="1" si="427"/>
        <v>#VALUE!</v>
      </c>
      <c r="AD2264" t="str">
        <f t="shared" ca="1" si="428"/>
        <v>0</v>
      </c>
      <c r="AE2264" t="str">
        <f t="shared" ca="1" si="429"/>
        <v/>
      </c>
      <c r="AF2264" s="6">
        <f t="shared" ca="1" si="430"/>
        <v>0</v>
      </c>
      <c r="AG2264">
        <f t="shared" ca="1" si="425"/>
        <v>0</v>
      </c>
      <c r="AH2264">
        <f t="shared" ca="1" si="431"/>
        <v>0</v>
      </c>
      <c r="AI2264">
        <f t="shared" ca="1" si="432"/>
        <v>0</v>
      </c>
      <c r="AJ2264">
        <f t="shared" ca="1" si="433"/>
        <v>0</v>
      </c>
      <c r="AK2264">
        <f t="shared" ca="1" si="434"/>
        <v>0</v>
      </c>
      <c r="AL2264">
        <f t="shared" ca="1" si="435"/>
        <v>0</v>
      </c>
    </row>
    <row r="2265" spans="1:38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#N/A, OFFSET(data!$A$1, ROW()-1, AA$1-1))</f>
        <v>0</v>
      </c>
      <c r="AB2265">
        <f t="shared" ca="1" si="426"/>
        <v>0</v>
      </c>
      <c r="AC2265" t="e">
        <f t="shared" ca="1" si="427"/>
        <v>#VALUE!</v>
      </c>
      <c r="AD2265" t="str">
        <f t="shared" ca="1" si="428"/>
        <v>0</v>
      </c>
      <c r="AE2265" t="str">
        <f t="shared" ca="1" si="429"/>
        <v/>
      </c>
      <c r="AF2265" s="6">
        <f t="shared" ca="1" si="430"/>
        <v>0</v>
      </c>
      <c r="AG2265">
        <f t="shared" ca="1" si="425"/>
        <v>0</v>
      </c>
      <c r="AH2265">
        <f t="shared" ca="1" si="431"/>
        <v>0</v>
      </c>
      <c r="AI2265">
        <f t="shared" ca="1" si="432"/>
        <v>0</v>
      </c>
      <c r="AJ2265">
        <f t="shared" ca="1" si="433"/>
        <v>0</v>
      </c>
      <c r="AK2265">
        <f t="shared" ca="1" si="434"/>
        <v>0</v>
      </c>
      <c r="AL2265">
        <f t="shared" ca="1" si="435"/>
        <v>0</v>
      </c>
    </row>
    <row r="2266" spans="1:38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#N/A, OFFSET(data!$A$1, ROW()-1, AA$1-1))</f>
        <v>0</v>
      </c>
      <c r="AB2266">
        <f t="shared" ca="1" si="426"/>
        <v>0</v>
      </c>
      <c r="AC2266" t="e">
        <f t="shared" ca="1" si="427"/>
        <v>#VALUE!</v>
      </c>
      <c r="AD2266" t="str">
        <f t="shared" ca="1" si="428"/>
        <v>0</v>
      </c>
      <c r="AE2266" t="str">
        <f t="shared" ca="1" si="429"/>
        <v/>
      </c>
      <c r="AF2266" s="6">
        <f t="shared" ca="1" si="430"/>
        <v>0</v>
      </c>
      <c r="AG2266">
        <f t="shared" ca="1" si="425"/>
        <v>0</v>
      </c>
      <c r="AH2266">
        <f t="shared" ca="1" si="431"/>
        <v>0</v>
      </c>
      <c r="AI2266">
        <f t="shared" ca="1" si="432"/>
        <v>0</v>
      </c>
      <c r="AJ2266">
        <f t="shared" ca="1" si="433"/>
        <v>0</v>
      </c>
      <c r="AK2266">
        <f t="shared" ca="1" si="434"/>
        <v>0</v>
      </c>
      <c r="AL2266">
        <f t="shared" ca="1" si="435"/>
        <v>0</v>
      </c>
    </row>
    <row r="2267" spans="1:38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#N/A, OFFSET(data!$A$1, ROW()-1, AA$1-1))</f>
        <v>0</v>
      </c>
      <c r="AB2267">
        <f t="shared" ca="1" si="426"/>
        <v>0</v>
      </c>
      <c r="AC2267" t="e">
        <f t="shared" ca="1" si="427"/>
        <v>#VALUE!</v>
      </c>
      <c r="AD2267" t="str">
        <f t="shared" ca="1" si="428"/>
        <v>0</v>
      </c>
      <c r="AE2267" t="str">
        <f t="shared" ca="1" si="429"/>
        <v/>
      </c>
      <c r="AF2267" s="6">
        <f t="shared" ca="1" si="430"/>
        <v>0</v>
      </c>
      <c r="AG2267">
        <f t="shared" ca="1" si="425"/>
        <v>0</v>
      </c>
      <c r="AH2267">
        <f t="shared" ca="1" si="431"/>
        <v>0</v>
      </c>
      <c r="AI2267">
        <f t="shared" ca="1" si="432"/>
        <v>0</v>
      </c>
      <c r="AJ2267">
        <f t="shared" ca="1" si="433"/>
        <v>0</v>
      </c>
      <c r="AK2267">
        <f t="shared" ca="1" si="434"/>
        <v>0</v>
      </c>
      <c r="AL2267">
        <f t="shared" ca="1" si="435"/>
        <v>0</v>
      </c>
    </row>
    <row r="2268" spans="1:38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#N/A, OFFSET(data!$A$1, ROW()-1, AA$1-1))</f>
        <v>0</v>
      </c>
      <c r="AB2268">
        <f t="shared" ca="1" si="426"/>
        <v>0</v>
      </c>
      <c r="AC2268" t="e">
        <f t="shared" ca="1" si="427"/>
        <v>#VALUE!</v>
      </c>
      <c r="AD2268" t="str">
        <f t="shared" ca="1" si="428"/>
        <v>0</v>
      </c>
      <c r="AE2268" t="str">
        <f t="shared" ca="1" si="429"/>
        <v/>
      </c>
      <c r="AF2268" s="6">
        <f t="shared" ca="1" si="430"/>
        <v>0</v>
      </c>
      <c r="AG2268">
        <f t="shared" ca="1" si="425"/>
        <v>0</v>
      </c>
      <c r="AH2268">
        <f t="shared" ca="1" si="431"/>
        <v>0</v>
      </c>
      <c r="AI2268">
        <f t="shared" ca="1" si="432"/>
        <v>0</v>
      </c>
      <c r="AJ2268">
        <f t="shared" ca="1" si="433"/>
        <v>0</v>
      </c>
      <c r="AK2268">
        <f t="shared" ca="1" si="434"/>
        <v>0</v>
      </c>
      <c r="AL2268">
        <f t="shared" ca="1" si="435"/>
        <v>0</v>
      </c>
    </row>
    <row r="2269" spans="1:38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#N/A, OFFSET(data!$A$1, ROW()-1, AA$1-1))</f>
        <v>0</v>
      </c>
      <c r="AB2269">
        <f t="shared" ca="1" si="426"/>
        <v>0</v>
      </c>
      <c r="AC2269" t="e">
        <f t="shared" ca="1" si="427"/>
        <v>#VALUE!</v>
      </c>
      <c r="AD2269" t="str">
        <f t="shared" ca="1" si="428"/>
        <v>0</v>
      </c>
      <c r="AE2269" t="str">
        <f t="shared" ca="1" si="429"/>
        <v/>
      </c>
      <c r="AF2269" s="6">
        <f t="shared" ca="1" si="430"/>
        <v>0</v>
      </c>
      <c r="AG2269">
        <f t="shared" ca="1" si="425"/>
        <v>0</v>
      </c>
      <c r="AH2269">
        <f t="shared" ca="1" si="431"/>
        <v>0</v>
      </c>
      <c r="AI2269">
        <f t="shared" ca="1" si="432"/>
        <v>0</v>
      </c>
      <c r="AJ2269">
        <f t="shared" ca="1" si="433"/>
        <v>0</v>
      </c>
      <c r="AK2269">
        <f t="shared" ca="1" si="434"/>
        <v>0</v>
      </c>
      <c r="AL2269">
        <f t="shared" ca="1" si="435"/>
        <v>0</v>
      </c>
    </row>
    <row r="2270" spans="1:38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#N/A, OFFSET(data!$A$1, ROW()-1, AA$1-1))</f>
        <v>0</v>
      </c>
      <c r="AB2270">
        <f t="shared" ca="1" si="426"/>
        <v>0</v>
      </c>
      <c r="AC2270" t="e">
        <f t="shared" ca="1" si="427"/>
        <v>#VALUE!</v>
      </c>
      <c r="AD2270" t="str">
        <f t="shared" ca="1" si="428"/>
        <v>0</v>
      </c>
      <c r="AE2270" t="str">
        <f t="shared" ca="1" si="429"/>
        <v/>
      </c>
      <c r="AF2270" s="6">
        <f t="shared" ca="1" si="430"/>
        <v>0</v>
      </c>
      <c r="AG2270">
        <f t="shared" ca="1" si="425"/>
        <v>0</v>
      </c>
      <c r="AH2270">
        <f t="shared" ca="1" si="431"/>
        <v>0</v>
      </c>
      <c r="AI2270">
        <f t="shared" ca="1" si="432"/>
        <v>0</v>
      </c>
      <c r="AJ2270">
        <f t="shared" ca="1" si="433"/>
        <v>0</v>
      </c>
      <c r="AK2270">
        <f t="shared" ca="1" si="434"/>
        <v>0</v>
      </c>
      <c r="AL2270">
        <f t="shared" ca="1" si="435"/>
        <v>0</v>
      </c>
    </row>
    <row r="2271" spans="1:38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#N/A, OFFSET(data!$A$1, ROW()-1, AA$1-1))</f>
        <v>0</v>
      </c>
      <c r="AB2271">
        <f t="shared" ca="1" si="426"/>
        <v>0</v>
      </c>
      <c r="AC2271" t="e">
        <f t="shared" ca="1" si="427"/>
        <v>#VALUE!</v>
      </c>
      <c r="AD2271" t="str">
        <f t="shared" ca="1" si="428"/>
        <v>0</v>
      </c>
      <c r="AE2271" t="str">
        <f t="shared" ca="1" si="429"/>
        <v/>
      </c>
      <c r="AF2271" s="6">
        <f t="shared" ca="1" si="430"/>
        <v>0</v>
      </c>
      <c r="AG2271">
        <f t="shared" ca="1" si="425"/>
        <v>0</v>
      </c>
      <c r="AH2271">
        <f t="shared" ca="1" si="431"/>
        <v>0</v>
      </c>
      <c r="AI2271">
        <f t="shared" ca="1" si="432"/>
        <v>0</v>
      </c>
      <c r="AJ2271">
        <f t="shared" ca="1" si="433"/>
        <v>0</v>
      </c>
      <c r="AK2271">
        <f t="shared" ca="1" si="434"/>
        <v>0</v>
      </c>
      <c r="AL2271">
        <f t="shared" ca="1" si="435"/>
        <v>0</v>
      </c>
    </row>
    <row r="2272" spans="1:38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#N/A, OFFSET(data!$A$1, ROW()-1, AA$1-1))</f>
        <v>0</v>
      </c>
      <c r="AB2272">
        <f t="shared" ca="1" si="426"/>
        <v>0</v>
      </c>
      <c r="AC2272" t="e">
        <f t="shared" ca="1" si="427"/>
        <v>#VALUE!</v>
      </c>
      <c r="AD2272" t="str">
        <f t="shared" ca="1" si="428"/>
        <v>0</v>
      </c>
      <c r="AE2272" t="str">
        <f t="shared" ca="1" si="429"/>
        <v/>
      </c>
      <c r="AF2272" s="6">
        <f t="shared" ca="1" si="430"/>
        <v>0</v>
      </c>
      <c r="AG2272">
        <f t="shared" ca="1" si="425"/>
        <v>0</v>
      </c>
      <c r="AH2272">
        <f t="shared" ca="1" si="431"/>
        <v>0</v>
      </c>
      <c r="AI2272">
        <f t="shared" ca="1" si="432"/>
        <v>0</v>
      </c>
      <c r="AJ2272">
        <f t="shared" ca="1" si="433"/>
        <v>0</v>
      </c>
      <c r="AK2272">
        <f t="shared" ca="1" si="434"/>
        <v>0</v>
      </c>
      <c r="AL2272">
        <f t="shared" ca="1" si="435"/>
        <v>0</v>
      </c>
    </row>
    <row r="2273" spans="1:38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#N/A, OFFSET(data!$A$1, ROW()-1, AA$1-1))</f>
        <v>0</v>
      </c>
      <c r="AB2273">
        <f t="shared" ca="1" si="426"/>
        <v>0</v>
      </c>
      <c r="AC2273" t="e">
        <f t="shared" ca="1" si="427"/>
        <v>#VALUE!</v>
      </c>
      <c r="AD2273" t="str">
        <f t="shared" ca="1" si="428"/>
        <v>0</v>
      </c>
      <c r="AE2273" t="str">
        <f t="shared" ca="1" si="429"/>
        <v/>
      </c>
      <c r="AF2273" s="6">
        <f t="shared" ca="1" si="430"/>
        <v>0</v>
      </c>
      <c r="AG2273">
        <f t="shared" ca="1" si="425"/>
        <v>0</v>
      </c>
      <c r="AH2273">
        <f t="shared" ca="1" si="431"/>
        <v>0</v>
      </c>
      <c r="AI2273">
        <f t="shared" ca="1" si="432"/>
        <v>0</v>
      </c>
      <c r="AJ2273">
        <f t="shared" ca="1" si="433"/>
        <v>0</v>
      </c>
      <c r="AK2273">
        <f t="shared" ca="1" si="434"/>
        <v>0</v>
      </c>
      <c r="AL2273">
        <f t="shared" ca="1" si="435"/>
        <v>0</v>
      </c>
    </row>
    <row r="2274" spans="1:38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#N/A, OFFSET(data!$A$1, ROW()-1, AA$1-1))</f>
        <v>0</v>
      </c>
      <c r="AB2274">
        <f t="shared" ca="1" si="426"/>
        <v>0</v>
      </c>
      <c r="AC2274" t="e">
        <f t="shared" ca="1" si="427"/>
        <v>#VALUE!</v>
      </c>
      <c r="AD2274" t="str">
        <f t="shared" ca="1" si="428"/>
        <v>0</v>
      </c>
      <c r="AE2274" t="str">
        <f t="shared" ca="1" si="429"/>
        <v/>
      </c>
      <c r="AF2274" s="6">
        <f t="shared" ca="1" si="430"/>
        <v>0</v>
      </c>
      <c r="AG2274">
        <f t="shared" ca="1" si="425"/>
        <v>0</v>
      </c>
      <c r="AH2274">
        <f t="shared" ca="1" si="431"/>
        <v>0</v>
      </c>
      <c r="AI2274">
        <f t="shared" ca="1" si="432"/>
        <v>0</v>
      </c>
      <c r="AJ2274">
        <f t="shared" ca="1" si="433"/>
        <v>0</v>
      </c>
      <c r="AK2274">
        <f t="shared" ca="1" si="434"/>
        <v>0</v>
      </c>
      <c r="AL2274">
        <f t="shared" ca="1" si="435"/>
        <v>0</v>
      </c>
    </row>
    <row r="2275" spans="1:38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#N/A, OFFSET(data!$A$1, ROW()-1, AA$1-1))</f>
        <v>0</v>
      </c>
      <c r="AB2275">
        <f t="shared" ca="1" si="426"/>
        <v>0</v>
      </c>
      <c r="AC2275" t="e">
        <f t="shared" ca="1" si="427"/>
        <v>#VALUE!</v>
      </c>
      <c r="AD2275" t="str">
        <f t="shared" ca="1" si="428"/>
        <v>0</v>
      </c>
      <c r="AE2275" t="str">
        <f t="shared" ca="1" si="429"/>
        <v/>
      </c>
      <c r="AF2275" s="6">
        <f t="shared" ca="1" si="430"/>
        <v>0</v>
      </c>
      <c r="AG2275">
        <f t="shared" ca="1" si="425"/>
        <v>0</v>
      </c>
      <c r="AH2275">
        <f t="shared" ca="1" si="431"/>
        <v>0</v>
      </c>
      <c r="AI2275">
        <f t="shared" ca="1" si="432"/>
        <v>0</v>
      </c>
      <c r="AJ2275">
        <f t="shared" ca="1" si="433"/>
        <v>0</v>
      </c>
      <c r="AK2275">
        <f t="shared" ca="1" si="434"/>
        <v>0</v>
      </c>
      <c r="AL2275">
        <f t="shared" ca="1" si="435"/>
        <v>0</v>
      </c>
    </row>
    <row r="2276" spans="1:38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#N/A, OFFSET(data!$A$1, ROW()-1, AA$1-1))</f>
        <v>0</v>
      </c>
      <c r="AB2276">
        <f t="shared" ca="1" si="426"/>
        <v>0</v>
      </c>
      <c r="AC2276" t="e">
        <f t="shared" ca="1" si="427"/>
        <v>#VALUE!</v>
      </c>
      <c r="AD2276" t="str">
        <f t="shared" ca="1" si="428"/>
        <v>0</v>
      </c>
      <c r="AE2276" t="str">
        <f t="shared" ca="1" si="429"/>
        <v/>
      </c>
      <c r="AF2276" s="6">
        <f t="shared" ca="1" si="430"/>
        <v>0</v>
      </c>
      <c r="AG2276">
        <f t="shared" ca="1" si="425"/>
        <v>0</v>
      </c>
      <c r="AH2276">
        <f t="shared" ca="1" si="431"/>
        <v>0</v>
      </c>
      <c r="AI2276">
        <f t="shared" ca="1" si="432"/>
        <v>0</v>
      </c>
      <c r="AJ2276">
        <f t="shared" ca="1" si="433"/>
        <v>0</v>
      </c>
      <c r="AK2276">
        <f t="shared" ca="1" si="434"/>
        <v>0</v>
      </c>
      <c r="AL2276">
        <f t="shared" ca="1" si="435"/>
        <v>0</v>
      </c>
    </row>
    <row r="2277" spans="1:38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#N/A, OFFSET(data!$A$1, ROW()-1, AA$1-1))</f>
        <v>0</v>
      </c>
      <c r="AB2277">
        <f t="shared" ca="1" si="426"/>
        <v>0</v>
      </c>
      <c r="AC2277" t="e">
        <f t="shared" ca="1" si="427"/>
        <v>#VALUE!</v>
      </c>
      <c r="AD2277" t="str">
        <f t="shared" ca="1" si="428"/>
        <v>0</v>
      </c>
      <c r="AE2277" t="str">
        <f t="shared" ca="1" si="429"/>
        <v/>
      </c>
      <c r="AF2277" s="6">
        <f t="shared" ca="1" si="430"/>
        <v>0</v>
      </c>
      <c r="AG2277">
        <f t="shared" ca="1" si="425"/>
        <v>0</v>
      </c>
      <c r="AH2277">
        <f t="shared" ca="1" si="431"/>
        <v>0</v>
      </c>
      <c r="AI2277">
        <f t="shared" ca="1" si="432"/>
        <v>0</v>
      </c>
      <c r="AJ2277">
        <f t="shared" ca="1" si="433"/>
        <v>0</v>
      </c>
      <c r="AK2277">
        <f t="shared" ca="1" si="434"/>
        <v>0</v>
      </c>
      <c r="AL2277">
        <f t="shared" ca="1" si="435"/>
        <v>0</v>
      </c>
    </row>
    <row r="2278" spans="1:38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#N/A, OFFSET(data!$A$1, ROW()-1, AA$1-1))</f>
        <v>0</v>
      </c>
      <c r="AB2278">
        <f t="shared" ca="1" si="426"/>
        <v>0</v>
      </c>
      <c r="AC2278" t="e">
        <f t="shared" ca="1" si="427"/>
        <v>#VALUE!</v>
      </c>
      <c r="AD2278" t="str">
        <f t="shared" ca="1" si="428"/>
        <v>0</v>
      </c>
      <c r="AE2278" t="str">
        <f t="shared" ca="1" si="429"/>
        <v/>
      </c>
      <c r="AF2278" s="6">
        <f t="shared" ca="1" si="430"/>
        <v>0</v>
      </c>
      <c r="AG2278">
        <f t="shared" ca="1" si="425"/>
        <v>0</v>
      </c>
      <c r="AH2278">
        <f t="shared" ca="1" si="431"/>
        <v>0</v>
      </c>
      <c r="AI2278">
        <f t="shared" ca="1" si="432"/>
        <v>0</v>
      </c>
      <c r="AJ2278">
        <f t="shared" ca="1" si="433"/>
        <v>0</v>
      </c>
      <c r="AK2278">
        <f t="shared" ca="1" si="434"/>
        <v>0</v>
      </c>
      <c r="AL2278">
        <f t="shared" ca="1" si="435"/>
        <v>0</v>
      </c>
    </row>
    <row r="2279" spans="1:38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#N/A, OFFSET(data!$A$1, ROW()-1, AA$1-1))</f>
        <v>0</v>
      </c>
      <c r="AB2279">
        <f t="shared" ca="1" si="426"/>
        <v>0</v>
      </c>
      <c r="AC2279" t="e">
        <f t="shared" ca="1" si="427"/>
        <v>#VALUE!</v>
      </c>
      <c r="AD2279" t="str">
        <f t="shared" ca="1" si="428"/>
        <v>0</v>
      </c>
      <c r="AE2279" t="str">
        <f t="shared" ca="1" si="429"/>
        <v/>
      </c>
      <c r="AF2279" s="6">
        <f t="shared" ca="1" si="430"/>
        <v>0</v>
      </c>
      <c r="AG2279">
        <f t="shared" ca="1" si="425"/>
        <v>0</v>
      </c>
      <c r="AH2279">
        <f t="shared" ca="1" si="431"/>
        <v>0</v>
      </c>
      <c r="AI2279">
        <f t="shared" ca="1" si="432"/>
        <v>0</v>
      </c>
      <c r="AJ2279">
        <f t="shared" ca="1" si="433"/>
        <v>0</v>
      </c>
      <c r="AK2279">
        <f t="shared" ca="1" si="434"/>
        <v>0</v>
      </c>
      <c r="AL2279">
        <f t="shared" ca="1" si="435"/>
        <v>0</v>
      </c>
    </row>
    <row r="2280" spans="1:38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#N/A, OFFSET(data!$A$1, ROW()-1, AA$1-1))</f>
        <v>0</v>
      </c>
      <c r="AB2280">
        <f t="shared" ca="1" si="426"/>
        <v>0</v>
      </c>
      <c r="AC2280" t="e">
        <f t="shared" ca="1" si="427"/>
        <v>#VALUE!</v>
      </c>
      <c r="AD2280" t="str">
        <f t="shared" ca="1" si="428"/>
        <v>0</v>
      </c>
      <c r="AE2280" t="str">
        <f t="shared" ca="1" si="429"/>
        <v/>
      </c>
      <c r="AF2280" s="6">
        <f t="shared" ca="1" si="430"/>
        <v>0</v>
      </c>
      <c r="AG2280">
        <f t="shared" ca="1" si="425"/>
        <v>0</v>
      </c>
      <c r="AH2280">
        <f t="shared" ca="1" si="431"/>
        <v>0</v>
      </c>
      <c r="AI2280">
        <f t="shared" ca="1" si="432"/>
        <v>0</v>
      </c>
      <c r="AJ2280">
        <f t="shared" ca="1" si="433"/>
        <v>0</v>
      </c>
      <c r="AK2280">
        <f t="shared" ca="1" si="434"/>
        <v>0</v>
      </c>
      <c r="AL2280">
        <f t="shared" ca="1" si="435"/>
        <v>0</v>
      </c>
    </row>
    <row r="2281" spans="1:38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#N/A, OFFSET(data!$A$1, ROW()-1, AA$1-1))</f>
        <v>0</v>
      </c>
      <c r="AB2281">
        <f t="shared" ca="1" si="426"/>
        <v>0</v>
      </c>
      <c r="AC2281" t="e">
        <f t="shared" ca="1" si="427"/>
        <v>#VALUE!</v>
      </c>
      <c r="AD2281" t="str">
        <f t="shared" ca="1" si="428"/>
        <v>0</v>
      </c>
      <c r="AE2281" t="str">
        <f t="shared" ca="1" si="429"/>
        <v/>
      </c>
      <c r="AF2281" s="6">
        <f t="shared" ca="1" si="430"/>
        <v>0</v>
      </c>
      <c r="AG2281">
        <f t="shared" ca="1" si="425"/>
        <v>0</v>
      </c>
      <c r="AH2281">
        <f t="shared" ca="1" si="431"/>
        <v>0</v>
      </c>
      <c r="AI2281">
        <f t="shared" ca="1" si="432"/>
        <v>0</v>
      </c>
      <c r="AJ2281">
        <f t="shared" ca="1" si="433"/>
        <v>0</v>
      </c>
      <c r="AK2281">
        <f t="shared" ca="1" si="434"/>
        <v>0</v>
      </c>
      <c r="AL2281">
        <f t="shared" ca="1" si="435"/>
        <v>0</v>
      </c>
    </row>
    <row r="2282" spans="1:38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#N/A, OFFSET(data!$A$1, ROW()-1, AA$1-1))</f>
        <v>0</v>
      </c>
      <c r="AB2282">
        <f t="shared" ca="1" si="426"/>
        <v>0</v>
      </c>
      <c r="AC2282" t="e">
        <f t="shared" ca="1" si="427"/>
        <v>#VALUE!</v>
      </c>
      <c r="AD2282" t="str">
        <f t="shared" ca="1" si="428"/>
        <v>0</v>
      </c>
      <c r="AE2282" t="str">
        <f t="shared" ca="1" si="429"/>
        <v/>
      </c>
      <c r="AF2282" s="6">
        <f t="shared" ca="1" si="430"/>
        <v>0</v>
      </c>
      <c r="AG2282">
        <f t="shared" ca="1" si="425"/>
        <v>0</v>
      </c>
      <c r="AH2282">
        <f t="shared" ca="1" si="431"/>
        <v>0</v>
      </c>
      <c r="AI2282">
        <f t="shared" ca="1" si="432"/>
        <v>0</v>
      </c>
      <c r="AJ2282">
        <f t="shared" ca="1" si="433"/>
        <v>0</v>
      </c>
      <c r="AK2282">
        <f t="shared" ca="1" si="434"/>
        <v>0</v>
      </c>
      <c r="AL2282">
        <f t="shared" ca="1" si="435"/>
        <v>0</v>
      </c>
    </row>
    <row r="2283" spans="1:38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#N/A, OFFSET(data!$A$1, ROW()-1, AA$1-1))</f>
        <v>0</v>
      </c>
      <c r="AB2283">
        <f t="shared" ca="1" si="426"/>
        <v>0</v>
      </c>
      <c r="AC2283" t="e">
        <f t="shared" ca="1" si="427"/>
        <v>#VALUE!</v>
      </c>
      <c r="AD2283" t="str">
        <f t="shared" ca="1" si="428"/>
        <v>0</v>
      </c>
      <c r="AE2283" t="str">
        <f t="shared" ca="1" si="429"/>
        <v/>
      </c>
      <c r="AF2283" s="6">
        <f t="shared" ca="1" si="430"/>
        <v>0</v>
      </c>
      <c r="AG2283">
        <f t="shared" ca="1" si="425"/>
        <v>0</v>
      </c>
      <c r="AH2283">
        <f t="shared" ca="1" si="431"/>
        <v>0</v>
      </c>
      <c r="AI2283">
        <f t="shared" ca="1" si="432"/>
        <v>0</v>
      </c>
      <c r="AJ2283">
        <f t="shared" ca="1" si="433"/>
        <v>0</v>
      </c>
      <c r="AK2283">
        <f t="shared" ca="1" si="434"/>
        <v>0</v>
      </c>
      <c r="AL2283">
        <f t="shared" ca="1" si="435"/>
        <v>0</v>
      </c>
    </row>
    <row r="2284" spans="1:38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#N/A, OFFSET(data!$A$1, ROW()-1, AA$1-1))</f>
        <v>0</v>
      </c>
      <c r="AB2284">
        <f t="shared" ca="1" si="426"/>
        <v>0</v>
      </c>
      <c r="AC2284" t="e">
        <f t="shared" ca="1" si="427"/>
        <v>#VALUE!</v>
      </c>
      <c r="AD2284" t="str">
        <f t="shared" ca="1" si="428"/>
        <v>0</v>
      </c>
      <c r="AE2284" t="str">
        <f t="shared" ca="1" si="429"/>
        <v/>
      </c>
      <c r="AF2284" s="6">
        <f t="shared" ca="1" si="430"/>
        <v>0</v>
      </c>
      <c r="AG2284">
        <f t="shared" ca="1" si="425"/>
        <v>0</v>
      </c>
      <c r="AH2284">
        <f t="shared" ca="1" si="431"/>
        <v>0</v>
      </c>
      <c r="AI2284">
        <f t="shared" ca="1" si="432"/>
        <v>0</v>
      </c>
      <c r="AJ2284">
        <f t="shared" ca="1" si="433"/>
        <v>0</v>
      </c>
      <c r="AK2284">
        <f t="shared" ca="1" si="434"/>
        <v>0</v>
      </c>
      <c r="AL2284">
        <f t="shared" ca="1" si="435"/>
        <v>0</v>
      </c>
    </row>
    <row r="2285" spans="1:38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#N/A, OFFSET(data!$A$1, ROW()-1, AA$1-1))</f>
        <v>0</v>
      </c>
      <c r="AB2285">
        <f t="shared" ca="1" si="426"/>
        <v>0</v>
      </c>
      <c r="AC2285" t="e">
        <f t="shared" ca="1" si="427"/>
        <v>#VALUE!</v>
      </c>
      <c r="AD2285" t="str">
        <f t="shared" ca="1" si="428"/>
        <v>0</v>
      </c>
      <c r="AE2285" t="str">
        <f t="shared" ca="1" si="429"/>
        <v/>
      </c>
      <c r="AF2285" s="6">
        <f t="shared" ca="1" si="430"/>
        <v>0</v>
      </c>
      <c r="AG2285">
        <f t="shared" ca="1" si="425"/>
        <v>0</v>
      </c>
      <c r="AH2285">
        <f t="shared" ca="1" si="431"/>
        <v>0</v>
      </c>
      <c r="AI2285">
        <f t="shared" ca="1" si="432"/>
        <v>0</v>
      </c>
      <c r="AJ2285">
        <f t="shared" ca="1" si="433"/>
        <v>0</v>
      </c>
      <c r="AK2285">
        <f t="shared" ca="1" si="434"/>
        <v>0</v>
      </c>
      <c r="AL2285">
        <f t="shared" ca="1" si="435"/>
        <v>0</v>
      </c>
    </row>
    <row r="2286" spans="1:38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#N/A, OFFSET(data!$A$1, ROW()-1, AA$1-1))</f>
        <v>0</v>
      </c>
      <c r="AB2286">
        <f t="shared" ca="1" si="426"/>
        <v>0</v>
      </c>
      <c r="AC2286" t="e">
        <f t="shared" ca="1" si="427"/>
        <v>#VALUE!</v>
      </c>
      <c r="AD2286" t="str">
        <f t="shared" ca="1" si="428"/>
        <v>0</v>
      </c>
      <c r="AE2286" t="str">
        <f t="shared" ca="1" si="429"/>
        <v/>
      </c>
      <c r="AF2286" s="6">
        <f t="shared" ca="1" si="430"/>
        <v>0</v>
      </c>
      <c r="AG2286">
        <f t="shared" ca="1" si="425"/>
        <v>0</v>
      </c>
      <c r="AH2286">
        <f t="shared" ca="1" si="431"/>
        <v>0</v>
      </c>
      <c r="AI2286">
        <f t="shared" ca="1" si="432"/>
        <v>0</v>
      </c>
      <c r="AJ2286">
        <f t="shared" ca="1" si="433"/>
        <v>0</v>
      </c>
      <c r="AK2286">
        <f t="shared" ca="1" si="434"/>
        <v>0</v>
      </c>
      <c r="AL2286">
        <f t="shared" ca="1" si="435"/>
        <v>0</v>
      </c>
    </row>
    <row r="2287" spans="1:38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#N/A, OFFSET(data!$A$1, ROW()-1, AA$1-1))</f>
        <v>0</v>
      </c>
      <c r="AB2287">
        <f t="shared" ca="1" si="426"/>
        <v>0</v>
      </c>
      <c r="AC2287" t="e">
        <f t="shared" ca="1" si="427"/>
        <v>#VALUE!</v>
      </c>
      <c r="AD2287" t="str">
        <f t="shared" ca="1" si="428"/>
        <v>0</v>
      </c>
      <c r="AE2287" t="str">
        <f t="shared" ca="1" si="429"/>
        <v/>
      </c>
      <c r="AF2287" s="6">
        <f t="shared" ca="1" si="430"/>
        <v>0</v>
      </c>
      <c r="AG2287">
        <f t="shared" ca="1" si="425"/>
        <v>0</v>
      </c>
      <c r="AH2287">
        <f t="shared" ca="1" si="431"/>
        <v>0</v>
      </c>
      <c r="AI2287">
        <f t="shared" ca="1" si="432"/>
        <v>0</v>
      </c>
      <c r="AJ2287">
        <f t="shared" ca="1" si="433"/>
        <v>0</v>
      </c>
      <c r="AK2287">
        <f t="shared" ca="1" si="434"/>
        <v>0</v>
      </c>
      <c r="AL2287">
        <f t="shared" ca="1" si="435"/>
        <v>0</v>
      </c>
    </row>
    <row r="2288" spans="1:38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#N/A, OFFSET(data!$A$1, ROW()-1, AA$1-1))</f>
        <v>0</v>
      </c>
      <c r="AB2288">
        <f t="shared" ca="1" si="426"/>
        <v>0</v>
      </c>
      <c r="AC2288" t="e">
        <f t="shared" ca="1" si="427"/>
        <v>#VALUE!</v>
      </c>
      <c r="AD2288" t="str">
        <f t="shared" ca="1" si="428"/>
        <v>0</v>
      </c>
      <c r="AE2288" t="str">
        <f t="shared" ca="1" si="429"/>
        <v/>
      </c>
      <c r="AF2288" s="6">
        <f t="shared" ca="1" si="430"/>
        <v>0</v>
      </c>
      <c r="AG2288">
        <f t="shared" ca="1" si="425"/>
        <v>0</v>
      </c>
      <c r="AH2288">
        <f t="shared" ca="1" si="431"/>
        <v>0</v>
      </c>
      <c r="AI2288">
        <f t="shared" ca="1" si="432"/>
        <v>0</v>
      </c>
      <c r="AJ2288">
        <f t="shared" ca="1" si="433"/>
        <v>0</v>
      </c>
      <c r="AK2288">
        <f t="shared" ca="1" si="434"/>
        <v>0</v>
      </c>
      <c r="AL2288">
        <f t="shared" ca="1" si="435"/>
        <v>0</v>
      </c>
    </row>
    <row r="2289" spans="1:38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#N/A, OFFSET(data!$A$1, ROW()-1, AA$1-1))</f>
        <v>0</v>
      </c>
      <c r="AB2289">
        <f t="shared" ca="1" si="426"/>
        <v>0</v>
      </c>
      <c r="AC2289" t="e">
        <f t="shared" ca="1" si="427"/>
        <v>#VALUE!</v>
      </c>
      <c r="AD2289" t="str">
        <f t="shared" ca="1" si="428"/>
        <v>0</v>
      </c>
      <c r="AE2289" t="str">
        <f t="shared" ca="1" si="429"/>
        <v/>
      </c>
      <c r="AF2289" s="6">
        <f t="shared" ca="1" si="430"/>
        <v>0</v>
      </c>
      <c r="AG2289">
        <f t="shared" ca="1" si="425"/>
        <v>0</v>
      </c>
      <c r="AH2289">
        <f t="shared" ca="1" si="431"/>
        <v>0</v>
      </c>
      <c r="AI2289">
        <f t="shared" ca="1" si="432"/>
        <v>0</v>
      </c>
      <c r="AJ2289">
        <f t="shared" ca="1" si="433"/>
        <v>0</v>
      </c>
      <c r="AK2289">
        <f t="shared" ca="1" si="434"/>
        <v>0</v>
      </c>
      <c r="AL2289">
        <f t="shared" ca="1" si="435"/>
        <v>0</v>
      </c>
    </row>
    <row r="2290" spans="1:38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#N/A, OFFSET(data!$A$1, ROW()-1, AA$1-1))</f>
        <v>0</v>
      </c>
      <c r="AB2290">
        <f t="shared" ca="1" si="426"/>
        <v>0</v>
      </c>
      <c r="AC2290" t="e">
        <f t="shared" ca="1" si="427"/>
        <v>#VALUE!</v>
      </c>
      <c r="AD2290" t="str">
        <f t="shared" ca="1" si="428"/>
        <v>0</v>
      </c>
      <c r="AE2290" t="str">
        <f t="shared" ca="1" si="429"/>
        <v/>
      </c>
      <c r="AF2290" s="6">
        <f t="shared" ca="1" si="430"/>
        <v>0</v>
      </c>
      <c r="AG2290">
        <f t="shared" ca="1" si="425"/>
        <v>0</v>
      </c>
      <c r="AH2290">
        <f t="shared" ca="1" si="431"/>
        <v>0</v>
      </c>
      <c r="AI2290">
        <f t="shared" ca="1" si="432"/>
        <v>0</v>
      </c>
      <c r="AJ2290">
        <f t="shared" ca="1" si="433"/>
        <v>0</v>
      </c>
      <c r="AK2290">
        <f t="shared" ca="1" si="434"/>
        <v>0</v>
      </c>
      <c r="AL2290">
        <f t="shared" ca="1" si="435"/>
        <v>0</v>
      </c>
    </row>
    <row r="2291" spans="1:38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#N/A, OFFSET(data!$A$1, ROW()-1, AA$1-1))</f>
        <v>0</v>
      </c>
      <c r="AB2291">
        <f t="shared" ca="1" si="426"/>
        <v>0</v>
      </c>
      <c r="AC2291" t="e">
        <f t="shared" ca="1" si="427"/>
        <v>#VALUE!</v>
      </c>
      <c r="AD2291" t="str">
        <f t="shared" ca="1" si="428"/>
        <v>0</v>
      </c>
      <c r="AE2291" t="str">
        <f t="shared" ca="1" si="429"/>
        <v/>
      </c>
      <c r="AF2291" s="6">
        <f t="shared" ca="1" si="430"/>
        <v>0</v>
      </c>
      <c r="AG2291">
        <f t="shared" ca="1" si="425"/>
        <v>0</v>
      </c>
      <c r="AH2291">
        <f t="shared" ca="1" si="431"/>
        <v>0</v>
      </c>
      <c r="AI2291">
        <f t="shared" ca="1" si="432"/>
        <v>0</v>
      </c>
      <c r="AJ2291">
        <f t="shared" ca="1" si="433"/>
        <v>0</v>
      </c>
      <c r="AK2291">
        <f t="shared" ca="1" si="434"/>
        <v>0</v>
      </c>
      <c r="AL2291">
        <f t="shared" ca="1" si="435"/>
        <v>0</v>
      </c>
    </row>
    <row r="2292" spans="1:38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#N/A, OFFSET(data!$A$1, ROW()-1, AA$1-1))</f>
        <v>0</v>
      </c>
      <c r="AB2292">
        <f t="shared" ca="1" si="426"/>
        <v>0</v>
      </c>
      <c r="AC2292" t="e">
        <f t="shared" ca="1" si="427"/>
        <v>#VALUE!</v>
      </c>
      <c r="AD2292" t="str">
        <f t="shared" ca="1" si="428"/>
        <v>0</v>
      </c>
      <c r="AE2292" t="str">
        <f t="shared" ca="1" si="429"/>
        <v/>
      </c>
      <c r="AF2292" s="6">
        <f t="shared" ca="1" si="430"/>
        <v>0</v>
      </c>
      <c r="AG2292">
        <f t="shared" ref="AG2292:AG2305" ca="1" si="436">T2292+W2292</f>
        <v>0</v>
      </c>
      <c r="AH2292">
        <f t="shared" ca="1" si="431"/>
        <v>0</v>
      </c>
      <c r="AI2292">
        <f t="shared" ca="1" si="432"/>
        <v>0</v>
      </c>
      <c r="AJ2292">
        <f t="shared" ca="1" si="433"/>
        <v>0</v>
      </c>
      <c r="AK2292">
        <f t="shared" ca="1" si="434"/>
        <v>0</v>
      </c>
      <c r="AL2292">
        <f t="shared" ca="1" si="435"/>
        <v>0</v>
      </c>
    </row>
    <row r="2293" spans="1:38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#N/A, OFFSET(data!$A$1, ROW()-1, AA$1-1))</f>
        <v>0</v>
      </c>
      <c r="AB2293">
        <f t="shared" ca="1" si="426"/>
        <v>0</v>
      </c>
      <c r="AC2293" t="e">
        <f t="shared" ca="1" si="427"/>
        <v>#VALUE!</v>
      </c>
      <c r="AD2293" t="str">
        <f t="shared" ca="1" si="428"/>
        <v>0</v>
      </c>
      <c r="AE2293" t="str">
        <f t="shared" ca="1" si="429"/>
        <v/>
      </c>
      <c r="AF2293" s="6">
        <f t="shared" ca="1" si="430"/>
        <v>0</v>
      </c>
      <c r="AG2293">
        <f t="shared" ca="1" si="436"/>
        <v>0</v>
      </c>
      <c r="AH2293">
        <f t="shared" ca="1" si="431"/>
        <v>0</v>
      </c>
      <c r="AI2293">
        <f t="shared" ca="1" si="432"/>
        <v>0</v>
      </c>
      <c r="AJ2293">
        <f t="shared" ca="1" si="433"/>
        <v>0</v>
      </c>
      <c r="AK2293">
        <f t="shared" ca="1" si="434"/>
        <v>0</v>
      </c>
      <c r="AL2293">
        <f t="shared" ca="1" si="435"/>
        <v>0</v>
      </c>
    </row>
    <row r="2294" spans="1:38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#N/A, OFFSET(data!$A$1, ROW()-1, AA$1-1))</f>
        <v>0</v>
      </c>
      <c r="AB2294">
        <f t="shared" ca="1" si="426"/>
        <v>0</v>
      </c>
      <c r="AC2294" t="e">
        <f t="shared" ca="1" si="427"/>
        <v>#VALUE!</v>
      </c>
      <c r="AD2294" t="str">
        <f t="shared" ca="1" si="428"/>
        <v>0</v>
      </c>
      <c r="AE2294" t="str">
        <f t="shared" ca="1" si="429"/>
        <v/>
      </c>
      <c r="AF2294" s="6">
        <f t="shared" ca="1" si="430"/>
        <v>0</v>
      </c>
      <c r="AG2294">
        <f t="shared" ca="1" si="436"/>
        <v>0</v>
      </c>
      <c r="AH2294">
        <f t="shared" ca="1" si="431"/>
        <v>0</v>
      </c>
      <c r="AI2294">
        <f t="shared" ca="1" si="432"/>
        <v>0</v>
      </c>
      <c r="AJ2294">
        <f t="shared" ca="1" si="433"/>
        <v>0</v>
      </c>
      <c r="AK2294">
        <f t="shared" ca="1" si="434"/>
        <v>0</v>
      </c>
      <c r="AL2294">
        <f t="shared" ca="1" si="435"/>
        <v>0</v>
      </c>
    </row>
    <row r="2295" spans="1:38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#N/A, OFFSET(data!$A$1, ROW()-1, AA$1-1))</f>
        <v>0</v>
      </c>
      <c r="AB2295">
        <f t="shared" ca="1" si="426"/>
        <v>0</v>
      </c>
      <c r="AC2295" t="e">
        <f t="shared" ca="1" si="427"/>
        <v>#VALUE!</v>
      </c>
      <c r="AD2295" t="str">
        <f t="shared" ca="1" si="428"/>
        <v>0</v>
      </c>
      <c r="AE2295" t="str">
        <f t="shared" ca="1" si="429"/>
        <v/>
      </c>
      <c r="AF2295" s="6">
        <f t="shared" ca="1" si="430"/>
        <v>0</v>
      </c>
      <c r="AG2295">
        <f t="shared" ca="1" si="436"/>
        <v>0</v>
      </c>
      <c r="AH2295">
        <f t="shared" ca="1" si="431"/>
        <v>0</v>
      </c>
      <c r="AI2295">
        <f t="shared" ca="1" si="432"/>
        <v>0</v>
      </c>
      <c r="AJ2295">
        <f t="shared" ca="1" si="433"/>
        <v>0</v>
      </c>
      <c r="AK2295">
        <f t="shared" ca="1" si="434"/>
        <v>0</v>
      </c>
      <c r="AL2295">
        <f t="shared" ca="1" si="435"/>
        <v>0</v>
      </c>
    </row>
    <row r="2296" spans="1:38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#N/A, OFFSET(data!$A$1, ROW()-1, AA$1-1))</f>
        <v>0</v>
      </c>
      <c r="AB2296">
        <f t="shared" ca="1" si="426"/>
        <v>0</v>
      </c>
      <c r="AC2296" t="e">
        <f t="shared" ca="1" si="427"/>
        <v>#VALUE!</v>
      </c>
      <c r="AD2296" t="str">
        <f t="shared" ca="1" si="428"/>
        <v>0</v>
      </c>
      <c r="AE2296" t="str">
        <f t="shared" ca="1" si="429"/>
        <v/>
      </c>
      <c r="AF2296" s="6">
        <f t="shared" ca="1" si="430"/>
        <v>0</v>
      </c>
      <c r="AG2296">
        <f t="shared" ca="1" si="436"/>
        <v>0</v>
      </c>
      <c r="AH2296">
        <f t="shared" ca="1" si="431"/>
        <v>0</v>
      </c>
      <c r="AI2296">
        <f t="shared" ca="1" si="432"/>
        <v>0</v>
      </c>
      <c r="AJ2296">
        <f t="shared" ca="1" si="433"/>
        <v>0</v>
      </c>
      <c r="AK2296">
        <f t="shared" ca="1" si="434"/>
        <v>0</v>
      </c>
      <c r="AL2296">
        <f t="shared" ca="1" si="435"/>
        <v>0</v>
      </c>
    </row>
    <row r="2297" spans="1:38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#N/A, OFFSET(data!$A$1, ROW()-1, AA$1-1))</f>
        <v>0</v>
      </c>
      <c r="AB2297">
        <f t="shared" ca="1" si="426"/>
        <v>0</v>
      </c>
      <c r="AC2297" t="e">
        <f t="shared" ca="1" si="427"/>
        <v>#VALUE!</v>
      </c>
      <c r="AD2297" t="str">
        <f t="shared" ca="1" si="428"/>
        <v>0</v>
      </c>
      <c r="AE2297" t="str">
        <f t="shared" ca="1" si="429"/>
        <v/>
      </c>
      <c r="AF2297" s="6">
        <f t="shared" ca="1" si="430"/>
        <v>0</v>
      </c>
      <c r="AG2297">
        <f t="shared" ca="1" si="436"/>
        <v>0</v>
      </c>
      <c r="AH2297">
        <f t="shared" ca="1" si="431"/>
        <v>0</v>
      </c>
      <c r="AI2297">
        <f t="shared" ca="1" si="432"/>
        <v>0</v>
      </c>
      <c r="AJ2297">
        <f t="shared" ca="1" si="433"/>
        <v>0</v>
      </c>
      <c r="AK2297">
        <f t="shared" ca="1" si="434"/>
        <v>0</v>
      </c>
      <c r="AL2297">
        <f t="shared" ca="1" si="435"/>
        <v>0</v>
      </c>
    </row>
    <row r="2298" spans="1:38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#N/A, OFFSET(data!$A$1, ROW()-1, AA$1-1))</f>
        <v>0</v>
      </c>
      <c r="AB2298">
        <f t="shared" ca="1" si="426"/>
        <v>0</v>
      </c>
      <c r="AC2298" t="e">
        <f t="shared" ca="1" si="427"/>
        <v>#VALUE!</v>
      </c>
      <c r="AD2298" t="str">
        <f t="shared" ca="1" si="428"/>
        <v>0</v>
      </c>
      <c r="AE2298" t="str">
        <f t="shared" ca="1" si="429"/>
        <v/>
      </c>
      <c r="AF2298" s="6">
        <f t="shared" ca="1" si="430"/>
        <v>0</v>
      </c>
      <c r="AG2298">
        <f t="shared" ca="1" si="436"/>
        <v>0</v>
      </c>
      <c r="AH2298">
        <f t="shared" ca="1" si="431"/>
        <v>0</v>
      </c>
      <c r="AI2298">
        <f t="shared" ca="1" si="432"/>
        <v>0</v>
      </c>
      <c r="AJ2298">
        <f t="shared" ca="1" si="433"/>
        <v>0</v>
      </c>
      <c r="AK2298">
        <f t="shared" ca="1" si="434"/>
        <v>0</v>
      </c>
      <c r="AL2298">
        <f t="shared" ca="1" si="435"/>
        <v>0</v>
      </c>
    </row>
    <row r="2299" spans="1:38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#N/A, OFFSET(data!$A$1, ROW()-1, AA$1-1))</f>
        <v>0</v>
      </c>
      <c r="AB2299">
        <f t="shared" ca="1" si="426"/>
        <v>0</v>
      </c>
      <c r="AC2299" t="e">
        <f t="shared" ca="1" si="427"/>
        <v>#VALUE!</v>
      </c>
      <c r="AD2299" t="str">
        <f t="shared" ca="1" si="428"/>
        <v>0</v>
      </c>
      <c r="AE2299" t="str">
        <f t="shared" ca="1" si="429"/>
        <v/>
      </c>
      <c r="AF2299" s="6">
        <f t="shared" ca="1" si="430"/>
        <v>0</v>
      </c>
      <c r="AG2299">
        <f t="shared" ca="1" si="436"/>
        <v>0</v>
      </c>
      <c r="AH2299">
        <f t="shared" ca="1" si="431"/>
        <v>0</v>
      </c>
      <c r="AI2299">
        <f t="shared" ca="1" si="432"/>
        <v>0</v>
      </c>
      <c r="AJ2299">
        <f t="shared" ca="1" si="433"/>
        <v>0</v>
      </c>
      <c r="AK2299">
        <f t="shared" ca="1" si="434"/>
        <v>0</v>
      </c>
      <c r="AL2299">
        <f t="shared" ca="1" si="435"/>
        <v>0</v>
      </c>
    </row>
    <row r="2300" spans="1:38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#N/A, OFFSET(data!$A$1, ROW()-1, AA$1-1))</f>
        <v>0</v>
      </c>
      <c r="AB2300">
        <f t="shared" ca="1" si="426"/>
        <v>0</v>
      </c>
      <c r="AC2300" t="e">
        <f t="shared" ca="1" si="427"/>
        <v>#VALUE!</v>
      </c>
      <c r="AD2300" t="str">
        <f t="shared" ca="1" si="428"/>
        <v>0</v>
      </c>
      <c r="AE2300" t="str">
        <f t="shared" ca="1" si="429"/>
        <v/>
      </c>
      <c r="AF2300" s="6">
        <f t="shared" ca="1" si="430"/>
        <v>0</v>
      </c>
      <c r="AG2300">
        <f t="shared" ca="1" si="436"/>
        <v>0</v>
      </c>
      <c r="AH2300">
        <f t="shared" ca="1" si="431"/>
        <v>0</v>
      </c>
      <c r="AI2300">
        <f t="shared" ca="1" si="432"/>
        <v>0</v>
      </c>
      <c r="AJ2300">
        <f t="shared" ca="1" si="433"/>
        <v>0</v>
      </c>
      <c r="AK2300">
        <f t="shared" ca="1" si="434"/>
        <v>0</v>
      </c>
      <c r="AL2300">
        <f t="shared" ca="1" si="435"/>
        <v>0</v>
      </c>
    </row>
    <row r="2301" spans="1:38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#N/A, OFFSET(data!$A$1, ROW()-1, AA$1-1))</f>
        <v>0</v>
      </c>
      <c r="AB2301">
        <f t="shared" ca="1" si="426"/>
        <v>0</v>
      </c>
      <c r="AC2301" t="e">
        <f t="shared" ca="1" si="427"/>
        <v>#VALUE!</v>
      </c>
      <c r="AD2301" t="str">
        <f t="shared" ca="1" si="428"/>
        <v>0</v>
      </c>
      <c r="AE2301" t="str">
        <f t="shared" ca="1" si="429"/>
        <v/>
      </c>
      <c r="AF2301" s="6">
        <f t="shared" ca="1" si="430"/>
        <v>0</v>
      </c>
      <c r="AG2301">
        <f t="shared" ca="1" si="436"/>
        <v>0</v>
      </c>
      <c r="AH2301">
        <f t="shared" ca="1" si="431"/>
        <v>0</v>
      </c>
      <c r="AI2301">
        <f t="shared" ca="1" si="432"/>
        <v>0</v>
      </c>
      <c r="AJ2301">
        <f t="shared" ca="1" si="433"/>
        <v>0</v>
      </c>
      <c r="AK2301">
        <f t="shared" ca="1" si="434"/>
        <v>0</v>
      </c>
      <c r="AL2301">
        <f t="shared" ca="1" si="435"/>
        <v>0</v>
      </c>
    </row>
    <row r="2302" spans="1:38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#N/A, OFFSET(data!$A$1, ROW()-1, AA$1-1))</f>
        <v>0</v>
      </c>
      <c r="AB2302">
        <f t="shared" ca="1" si="426"/>
        <v>0</v>
      </c>
      <c r="AC2302" t="e">
        <f t="shared" ca="1" si="427"/>
        <v>#VALUE!</v>
      </c>
      <c r="AD2302" t="str">
        <f t="shared" ca="1" si="428"/>
        <v>0</v>
      </c>
      <c r="AE2302" t="str">
        <f t="shared" ca="1" si="429"/>
        <v/>
      </c>
      <c r="AF2302" s="6">
        <f t="shared" ca="1" si="430"/>
        <v>0</v>
      </c>
      <c r="AG2302">
        <f t="shared" ca="1" si="436"/>
        <v>0</v>
      </c>
      <c r="AH2302">
        <f t="shared" ca="1" si="431"/>
        <v>0</v>
      </c>
      <c r="AI2302">
        <f t="shared" ca="1" si="432"/>
        <v>0</v>
      </c>
      <c r="AJ2302">
        <f t="shared" ca="1" si="433"/>
        <v>0</v>
      </c>
      <c r="AK2302">
        <f t="shared" ca="1" si="434"/>
        <v>0</v>
      </c>
      <c r="AL2302">
        <f t="shared" ca="1" si="435"/>
        <v>0</v>
      </c>
    </row>
    <row r="2303" spans="1:38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#N/A, OFFSET(data!$A$1, ROW()-1, AA$1-1))</f>
        <v>0</v>
      </c>
      <c r="AB2303">
        <f t="shared" ca="1" si="426"/>
        <v>0</v>
      </c>
      <c r="AC2303" t="e">
        <f t="shared" ca="1" si="427"/>
        <v>#VALUE!</v>
      </c>
      <c r="AD2303" t="str">
        <f t="shared" ca="1" si="428"/>
        <v>0</v>
      </c>
      <c r="AE2303" t="str">
        <f t="shared" ca="1" si="429"/>
        <v/>
      </c>
      <c r="AF2303" s="6">
        <f t="shared" ca="1" si="430"/>
        <v>0</v>
      </c>
      <c r="AG2303">
        <f t="shared" ca="1" si="436"/>
        <v>0</v>
      </c>
      <c r="AH2303">
        <f t="shared" ca="1" si="431"/>
        <v>0</v>
      </c>
      <c r="AI2303">
        <f t="shared" ca="1" si="432"/>
        <v>0</v>
      </c>
      <c r="AJ2303">
        <f t="shared" ca="1" si="433"/>
        <v>0</v>
      </c>
      <c r="AK2303">
        <f t="shared" ca="1" si="434"/>
        <v>0</v>
      </c>
      <c r="AL2303">
        <f t="shared" ca="1" si="435"/>
        <v>0</v>
      </c>
    </row>
    <row r="2304" spans="1:38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#N/A, OFFSET(data!$A$1, ROW()-1, AA$1-1))</f>
        <v>0</v>
      </c>
      <c r="AB2304">
        <f t="shared" ca="1" si="426"/>
        <v>0</v>
      </c>
      <c r="AC2304" t="e">
        <f t="shared" ca="1" si="427"/>
        <v>#VALUE!</v>
      </c>
      <c r="AD2304" t="str">
        <f t="shared" ca="1" si="428"/>
        <v>0</v>
      </c>
      <c r="AE2304" t="str">
        <f t="shared" ca="1" si="429"/>
        <v/>
      </c>
      <c r="AF2304" s="6">
        <f t="shared" ca="1" si="430"/>
        <v>0</v>
      </c>
      <c r="AG2304">
        <f t="shared" ca="1" si="436"/>
        <v>0</v>
      </c>
      <c r="AH2304">
        <f t="shared" ca="1" si="431"/>
        <v>0</v>
      </c>
      <c r="AI2304">
        <f t="shared" ca="1" si="432"/>
        <v>0</v>
      </c>
      <c r="AJ2304">
        <f t="shared" ca="1" si="433"/>
        <v>0</v>
      </c>
      <c r="AK2304">
        <f t="shared" ca="1" si="434"/>
        <v>0</v>
      </c>
      <c r="AL2304">
        <f t="shared" ca="1" si="435"/>
        <v>0</v>
      </c>
    </row>
    <row r="2305" spans="1:38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#N/A, OFFSET(data!$A$1, ROW()-1, AA$1-1))</f>
        <v>0</v>
      </c>
      <c r="AB2305">
        <f t="shared" ca="1" si="426"/>
        <v>0</v>
      </c>
      <c r="AC2305" t="e">
        <f t="shared" ca="1" si="427"/>
        <v>#VALUE!</v>
      </c>
      <c r="AD2305" t="str">
        <f t="shared" ca="1" si="428"/>
        <v>0</v>
      </c>
      <c r="AE2305" t="str">
        <f t="shared" ca="1" si="429"/>
        <v/>
      </c>
      <c r="AF2305" s="6">
        <f t="shared" ca="1" si="430"/>
        <v>0</v>
      </c>
      <c r="AG2305">
        <f t="shared" ca="1" si="436"/>
        <v>0</v>
      </c>
      <c r="AH2305">
        <f t="shared" ca="1" si="431"/>
        <v>0</v>
      </c>
      <c r="AI2305">
        <f t="shared" ca="1" si="432"/>
        <v>0</v>
      </c>
      <c r="AJ2305">
        <f t="shared" ca="1" si="433"/>
        <v>0</v>
      </c>
      <c r="AK2305">
        <f t="shared" ca="1" si="434"/>
        <v>0</v>
      </c>
      <c r="AL2305">
        <f t="shared" ca="1" si="435"/>
        <v>0</v>
      </c>
    </row>
  </sheetData>
  <autoFilter ref="A2:AL2305">
    <filterColumn colId="27">
      <filters>
        <filter val="2035"/>
      </filters>
    </filterColumn>
    <sortState ref="A435:AL578">
      <sortCondition ref="C2:C2305"/>
    </sortState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P91"/>
  <sheetViews>
    <sheetView topLeftCell="B11" workbookViewId="0">
      <selection activeCell="H39" sqref="H39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filtered!T2</f>
        <v>lz_demand_mw</v>
      </c>
      <c r="U2" s="9" t="str">
        <f>filtered!U2</f>
        <v>DumpPower</v>
      </c>
      <c r="V2" s="9" t="str">
        <f>filtered!V2</f>
        <v>ChargeBattery</v>
      </c>
      <c r="W2" s="9" t="str">
        <f>filtered!W2</f>
        <v>DemandResponse</v>
      </c>
      <c r="X2" s="9" t="str">
        <f>filtered!X2</f>
        <v>ChargeEVs</v>
      </c>
      <c r="Y2" s="9" t="str">
        <f>filtered!Y2</f>
        <v>StorePumpedHydro</v>
      </c>
      <c r="Z2" s="9" t="str">
        <f>filtered!Z2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OFFSET(filtered!$AB$3, A3, 0)</f>
        <v>2020</v>
      </c>
      <c r="D3">
        <f ca="1">AVERAGEIF(filtered!$AB$3:$AB$2305, summary!$B3, filtered!D$3:D$2305)</f>
        <v>175.98873458899442</v>
      </c>
      <c r="E3">
        <f ca="1">AVERAGEIF(filtered!$AB$3:$AB$2305, summary!$B3, filtered!E$3:E$2305)</f>
        <v>0</v>
      </c>
      <c r="F3">
        <f ca="1">AVERAGEIF(filtered!$AB$3:$AB$2305, summary!$B3, filtered!F$3:F$2305)</f>
        <v>0</v>
      </c>
      <c r="G3">
        <f ca="1">AVERAGEIF(filtered!$AB$3:$AB$2305, summary!$B3, filtered!G$3:G$2305)</f>
        <v>172.5062208066031</v>
      </c>
      <c r="H3">
        <f ca="1">AVERAGEIF(filtered!$AB$3:$AB$2305, summary!$B3, filtered!H$3:H$2305)</f>
        <v>145.65494310013332</v>
      </c>
      <c r="I3">
        <f ca="1">AVERAGEIF(filtered!$AB$3:$AB$2305, summary!$B3, filtered!I$3:I$2305)</f>
        <v>0</v>
      </c>
      <c r="J3">
        <f ca="1">AVERAGEIF(filtered!$AB$3:$AB$2305, summary!$B3, filtered!J$3:J$2305)</f>
        <v>0</v>
      </c>
      <c r="K3">
        <f ca="1">AVERAGEIF(filtered!$AB$3:$AB$2305, summary!$B3, filtered!K$3:K$2305)</f>
        <v>269.32644008588909</v>
      </c>
      <c r="L3">
        <f ca="1">AVERAGEIF(filtered!$AB$3:$AB$2305, summary!$B3, filtered!L$3:L$2305)</f>
        <v>57.599999999999682</v>
      </c>
      <c r="M3">
        <f ca="1">AVERAGEIF(filtered!$AB$3:$AB$2305, summary!$B3, filtered!M$3:M$2305)</f>
        <v>65.154665489213173</v>
      </c>
      <c r="N3">
        <f ca="1">AVERAGEIF(filtered!$AB$3:$AB$2305, summary!$B3, filtered!N$3:N$2305)</f>
        <v>0</v>
      </c>
      <c r="O3">
        <f ca="1">AVERAGEIF(filtered!$AB$3:$AB$2305, summary!$B3, filtered!O$3:O$2305)</f>
        <v>0</v>
      </c>
      <c r="P3">
        <f ca="1">AVERAGEIF(filtered!$AB$3:$AB$2305, summary!$B3, filtered!P$3:P$2305)</f>
        <v>0</v>
      </c>
      <c r="Q3">
        <f ca="1">AVERAGEIF(filtered!$AB$3:$AB$2305, summary!$B3, filtered!Q$3:Q$2305)</f>
        <v>886.23100407083075</v>
      </c>
      <c r="R3">
        <f ca="1">AVERAGEIF(filtered!$AB$3:$AB$2305, summary!$B3, filtered!R$3:R$2305)</f>
        <v>0</v>
      </c>
      <c r="S3">
        <f ca="1">AVERAGEIF(filtered!$AB$3:$AB$2305, summary!$B3, filtered!S$3:S$2305)</f>
        <v>0</v>
      </c>
      <c r="T3">
        <f ca="1">AVERAGEIF(filtered!$AB$3:$AB$2305, summary!$B3, filtered!T$3:T$2305)</f>
        <v>886.23100407083302</v>
      </c>
      <c r="U3">
        <f ca="1">AVERAGEIF(filtered!$AB$3:$AB$2305, summary!$B3, filtered!U$3:U$2305)</f>
        <v>0</v>
      </c>
      <c r="V3">
        <f ca="1">AVERAGEIF(filtered!$AB$3:$AB$2305, summary!$B3, filtered!V$3:V$2305)</f>
        <v>0</v>
      </c>
      <c r="W3">
        <f ca="1">AVERAGEIF(filtered!$AB$3:$AB$2305, summary!$B3, filtered!W$3:W$2305)</f>
        <v>-7.5692538656666234E-14</v>
      </c>
      <c r="X3">
        <f ca="1">AVERAGEIF(filtered!$AB$3:$AB$2305, summary!$B3, filtered!X$3:X$2305)</f>
        <v>0</v>
      </c>
      <c r="Y3">
        <f ca="1">AVERAGEIF(filtered!$AB$3:$AB$2305, summary!$B3, filtered!Y$3:Y$2305)</f>
        <v>0</v>
      </c>
      <c r="Z3">
        <f ca="1">AVERAGEIF(filtered!$AB$3:$AB$2305, summary!$B3, filtered!Z$3:Z$2305)</f>
        <v>153.52993768152567</v>
      </c>
    </row>
    <row r="4" spans="1:36">
      <c r="A4" s="3">
        <f>12*12</f>
        <v>144</v>
      </c>
      <c r="B4" s="3">
        <f ca="1">OFFSET(filtered!$AB$3, A4, 0)</f>
        <v>2025</v>
      </c>
      <c r="D4">
        <f ca="1">AVERAGEIF(filtered!$AB$3:$AB$2305, summary!$B4, filtered!D$3:D$2305)</f>
        <v>119.75064564671801</v>
      </c>
      <c r="E4">
        <f ca="1">AVERAGEIF(filtered!$AB$3:$AB$2305, summary!$B4, filtered!E$3:E$2305)</f>
        <v>0</v>
      </c>
      <c r="F4">
        <f ca="1">AVERAGEIF(filtered!$AB$3:$AB$2305, summary!$B4, filtered!F$3:F$2305)</f>
        <v>12.592766031110505</v>
      </c>
      <c r="G4">
        <f ca="1">AVERAGEIF(filtered!$AB$3:$AB$2305, summary!$B4, filtered!G$3:G$2305)</f>
        <v>94.384893435753497</v>
      </c>
      <c r="H4">
        <f ca="1">AVERAGEIF(filtered!$AB$3:$AB$2305, summary!$B4, filtered!H$3:H$2305)</f>
        <v>55.709447298470081</v>
      </c>
      <c r="I4">
        <f ca="1">AVERAGEIF(filtered!$AB$3:$AB$2305, summary!$B4, filtered!I$3:I$2305)</f>
        <v>0</v>
      </c>
      <c r="J4">
        <f ca="1">AVERAGEIF(filtered!$AB$3:$AB$2305, summary!$B4, filtered!J$3:J$2305)</f>
        <v>0</v>
      </c>
      <c r="K4">
        <f ca="1">AVERAGEIF(filtered!$AB$3:$AB$2305, summary!$B4, filtered!K$3:K$2305)</f>
        <v>497.44104647360291</v>
      </c>
      <c r="L4">
        <f ca="1">AVERAGEIF(filtered!$AB$3:$AB$2305, summary!$B4, filtered!L$3:L$2305)</f>
        <v>54.736494036505505</v>
      </c>
      <c r="M4">
        <f ca="1">AVERAGEIF(filtered!$AB$3:$AB$2305, summary!$B4, filtered!M$3:M$2305)</f>
        <v>64.8679950143095</v>
      </c>
      <c r="N4">
        <f ca="1">AVERAGEIF(filtered!$AB$3:$AB$2305, summary!$B4, filtered!N$3:N$2305)</f>
        <v>3.3160044154377459</v>
      </c>
      <c r="O4">
        <f ca="1">AVERAGEIF(filtered!$AB$3:$AB$2305, summary!$B4, filtered!O$3:O$2305)</f>
        <v>2.8635059634941915</v>
      </c>
      <c r="P4">
        <f ca="1">AVERAGEIF(filtered!$AB$3:$AB$2305, summary!$B4, filtered!P$3:P$2305)</f>
        <v>0.15441878887767432</v>
      </c>
      <c r="Q4">
        <f ca="1">AVERAGEIF(filtered!$AB$3:$AB$2305, summary!$B4, filtered!Q$3:Q$2305)</f>
        <v>899.48328793646988</v>
      </c>
      <c r="R4">
        <f ca="1">AVERAGEIF(filtered!$AB$3:$AB$2305, summary!$B4, filtered!R$3:R$2305)</f>
        <v>0</v>
      </c>
      <c r="S4">
        <f ca="1">AVERAGEIF(filtered!$AB$3:$AB$2305, summary!$B4, filtered!S$3:S$2305)</f>
        <v>33.500797171914229</v>
      </c>
      <c r="T4">
        <f ca="1">AVERAGEIF(filtered!$AB$3:$AB$2305, summary!$B4, filtered!T$3:T$2305)</f>
        <v>900.96029451358311</v>
      </c>
      <c r="U4">
        <f ca="1">AVERAGEIF(filtered!$AB$3:$AB$2305, summary!$B4, filtered!U$3:U$2305)</f>
        <v>0</v>
      </c>
      <c r="V4">
        <f ca="1">AVERAGEIF(filtered!$AB$3:$AB$2305, summary!$B4, filtered!V$3:V$2305)</f>
        <v>0</v>
      </c>
      <c r="W4">
        <f ca="1">AVERAGEIF(filtered!$AB$3:$AB$2305, summary!$B4, filtered!W$3:W$2305)</f>
        <v>-3.907985046680551E-14</v>
      </c>
      <c r="X4">
        <f ca="1">AVERAGEIF(filtered!$AB$3:$AB$2305, summary!$B4, filtered!X$3:X$2305)</f>
        <v>0</v>
      </c>
      <c r="Y4">
        <f ca="1">AVERAGEIF(filtered!$AB$3:$AB$2305, summary!$B4, filtered!Y$3:Y$2305)</f>
        <v>32.023790594802989</v>
      </c>
      <c r="Z4">
        <f ca="1">AVERAGEIF(filtered!$AB$3:$AB$2305, summary!$B4, filtered!Z$3:Z$2305)</f>
        <v>405.16928773491628</v>
      </c>
    </row>
    <row r="5" spans="1:36">
      <c r="A5" s="3">
        <f>A4+A$4</f>
        <v>288</v>
      </c>
      <c r="B5" s="3">
        <f ca="1">OFFSET(filtered!$AB$3, A5, 0)</f>
        <v>2030</v>
      </c>
      <c r="D5">
        <f ca="1">AVERAGEIF(filtered!$AB$3:$AB$2305, summary!$B5, filtered!D$3:D$2305)</f>
        <v>1.2829243840112916E-15</v>
      </c>
      <c r="E5">
        <f ca="1">AVERAGEIF(filtered!$AB$3:$AB$2305, summary!$B5, filtered!E$3:E$2305)</f>
        <v>1.0232322340089035</v>
      </c>
      <c r="F5">
        <f ca="1">AVERAGEIF(filtered!$AB$3:$AB$2305, summary!$B5, filtered!F$3:F$2305)</f>
        <v>18.375504431357793</v>
      </c>
      <c r="G5">
        <f ca="1">AVERAGEIF(filtered!$AB$3:$AB$2305, summary!$B5, filtered!G$3:G$2305)</f>
        <v>0</v>
      </c>
      <c r="H5">
        <f ca="1">AVERAGEIF(filtered!$AB$3:$AB$2305, summary!$B5, filtered!H$3:H$2305)</f>
        <v>0</v>
      </c>
      <c r="I5">
        <f ca="1">AVERAGEIF(filtered!$AB$3:$AB$2305, summary!$B5, filtered!I$3:I$2305)</f>
        <v>0</v>
      </c>
      <c r="J5">
        <f ca="1">AVERAGEIF(filtered!$AB$3:$AB$2305, summary!$B5, filtered!J$3:J$2305)</f>
        <v>0</v>
      </c>
      <c r="K5">
        <f ca="1">AVERAGEIF(filtered!$AB$3:$AB$2305, summary!$B5, filtered!K$3:K$2305)</f>
        <v>860.48539129330209</v>
      </c>
      <c r="L5">
        <f ca="1">AVERAGEIF(filtered!$AB$3:$AB$2305, summary!$B5, filtered!L$3:L$2305)</f>
        <v>39.102099658726381</v>
      </c>
      <c r="M5">
        <f ca="1">AVERAGEIF(filtered!$AB$3:$AB$2305, summary!$B5, filtered!M$3:M$2305)</f>
        <v>50.950605650935351</v>
      </c>
      <c r="N5">
        <f ca="1">AVERAGEIF(filtered!$AB$3:$AB$2305, summary!$B5, filtered!N$3:N$2305)</f>
        <v>197.65105726842793</v>
      </c>
      <c r="O5">
        <f ca="1">AVERAGEIF(filtered!$AB$3:$AB$2305, summary!$B5, filtered!O$3:O$2305)</f>
        <v>18.497900341273439</v>
      </c>
      <c r="P5">
        <f ca="1">AVERAGEIF(filtered!$AB$3:$AB$2305, summary!$B5, filtered!P$3:P$2305)</f>
        <v>1.9367434105685193</v>
      </c>
      <c r="Q5">
        <f ca="1">AVERAGEIF(filtered!$AB$3:$AB$2305, summary!$B5, filtered!Q$3:Q$2305)</f>
        <v>969.93683326833036</v>
      </c>
      <c r="R5">
        <f ca="1">AVERAGEIF(filtered!$AB$3:$AB$2305, summary!$B5, filtered!R$3:R$2305)</f>
        <v>90.6799811775753</v>
      </c>
      <c r="S5">
        <f ca="1">AVERAGEIF(filtered!$AB$3:$AB$2305, summary!$B5, filtered!S$3:S$2305)</f>
        <v>120.95952176713958</v>
      </c>
      <c r="T5">
        <f ca="1">AVERAGEIF(filtered!$AB$3:$AB$2305, summary!$B5, filtered!T$3:T$2305)</f>
        <v>889.34386829942378</v>
      </c>
      <c r="U5">
        <f ca="1">AVERAGEIF(filtered!$AB$3:$AB$2305, summary!$B5, filtered!U$3:U$2305)</f>
        <v>0</v>
      </c>
      <c r="V5">
        <f ca="1">AVERAGEIF(filtered!$AB$3:$AB$2305, summary!$B5, filtered!V$3:V$2305)</f>
        <v>120.90664157010042</v>
      </c>
      <c r="W5">
        <f ca="1">AVERAGEIF(filtered!$AB$3:$AB$2305, summary!$B5, filtered!W$3:W$2305)</f>
        <v>4.8751126592429093E-14</v>
      </c>
      <c r="X5">
        <f ca="1">AVERAGEIF(filtered!$AB$3:$AB$2305, summary!$B5, filtered!X$3:X$2305)</f>
        <v>0</v>
      </c>
      <c r="Y5">
        <f ca="1">AVERAGEIF(filtered!$AB$3:$AB$2305, summary!$B5, filtered!Y$3:Y$2305)</f>
        <v>171.325826343524</v>
      </c>
      <c r="Z5">
        <f ca="1">AVERAGEIF(filtered!$AB$3:$AB$2305, summary!$B5, filtered!Z$3:Z$2305)</f>
        <v>2391.9628619712375</v>
      </c>
    </row>
    <row r="6" spans="1:36">
      <c r="A6" s="3">
        <f>A5+A$4</f>
        <v>432</v>
      </c>
      <c r="B6" s="3">
        <f ca="1">OFFSET(filtered!$AB$3, A6, 0)</f>
        <v>2035</v>
      </c>
      <c r="D6">
        <f ca="1">AVERAGEIF(filtered!$AB$3:$AB$2305, summary!$B6, filtered!D$3:D$2305)</f>
        <v>0</v>
      </c>
      <c r="E6">
        <f ca="1">AVERAGEIF(filtered!$AB$3:$AB$2305, summary!$B6, filtered!E$3:E$2305)</f>
        <v>0</v>
      </c>
      <c r="F6">
        <f ca="1">AVERAGEIF(filtered!$AB$3:$AB$2305, summary!$B6, filtered!F$3:F$2305)</f>
        <v>5.1806132195617494</v>
      </c>
      <c r="G6">
        <f ca="1">AVERAGEIF(filtered!$AB$3:$AB$2305, summary!$B6, filtered!G$3:G$2305)</f>
        <v>0</v>
      </c>
      <c r="H6">
        <f ca="1">AVERAGEIF(filtered!$AB$3:$AB$2305, summary!$B6, filtered!H$3:H$2305)</f>
        <v>0</v>
      </c>
      <c r="I6">
        <f ca="1">AVERAGEIF(filtered!$AB$3:$AB$2305, summary!$B6, filtered!I$3:I$2305)</f>
        <v>0</v>
      </c>
      <c r="J6">
        <f ca="1">AVERAGEIF(filtered!$AB$3:$AB$2305, summary!$B6, filtered!J$3:J$2305)</f>
        <v>0</v>
      </c>
      <c r="K6">
        <f ca="1">AVERAGEIF(filtered!$AB$3:$AB$2305, summary!$B6, filtered!K$3:K$2305)</f>
        <v>805.12494278016266</v>
      </c>
      <c r="L6">
        <f ca="1">AVERAGEIF(filtered!$AB$3:$AB$2305, summary!$B6, filtered!L$3:L$2305)</f>
        <v>33.846771984390777</v>
      </c>
      <c r="M6">
        <f ca="1">AVERAGEIF(filtered!$AB$3:$AB$2305, summary!$B6, filtered!M$3:M$2305)</f>
        <v>62.389427151765254</v>
      </c>
      <c r="N6">
        <f ca="1">AVERAGEIF(filtered!$AB$3:$AB$2305, summary!$B6, filtered!N$3:N$2305)</f>
        <v>336.2208698387326</v>
      </c>
      <c r="O6">
        <f ca="1">AVERAGEIF(filtered!$AB$3:$AB$2305, summary!$B6, filtered!O$3:O$2305)</f>
        <v>23.753228015609082</v>
      </c>
      <c r="P6">
        <f ca="1">AVERAGEIF(filtered!$AB$3:$AB$2305, summary!$B6, filtered!P$3:P$2305)</f>
        <v>4.9761088297529366</v>
      </c>
      <c r="Q6">
        <f ca="1">AVERAGEIF(filtered!$AB$3:$AB$2305, summary!$B6, filtered!Q$3:Q$2305)</f>
        <v>906.54175513588063</v>
      </c>
      <c r="R6">
        <f ca="1">AVERAGEIF(filtered!$AB$3:$AB$2305, summary!$B6, filtered!R$3:R$2305)</f>
        <v>68.881517549162339</v>
      </c>
      <c r="S6">
        <f ca="1">AVERAGEIF(filtered!$AB$3:$AB$2305, summary!$B6, filtered!S$3:S$2305)</f>
        <v>124.50272139810357</v>
      </c>
      <c r="T6">
        <f ca="1">AVERAGEIF(filtered!$AB$3:$AB$2305, summary!$B6, filtered!T$3:T$2305)</f>
        <v>859.37913769971499</v>
      </c>
      <c r="U6">
        <f ca="1">AVERAGEIF(filtered!$AB$3:$AB$2305, summary!$B6, filtered!U$3:U$2305)</f>
        <v>0</v>
      </c>
      <c r="V6">
        <f ca="1">AVERAGEIF(filtered!$AB$3:$AB$2305, summary!$B6, filtered!V$3:V$2305)</f>
        <v>91.842023398883157</v>
      </c>
      <c r="W6">
        <f ca="1">AVERAGEIF(filtered!$AB$3:$AB$2305, summary!$B6, filtered!W$3:W$2305)</f>
        <v>-1.271082005081957E-13</v>
      </c>
      <c r="X6">
        <f ca="1">AVERAGEIF(filtered!$AB$3:$AB$2305, summary!$B6, filtered!X$3:X$2305)</f>
        <v>0</v>
      </c>
      <c r="Y6">
        <f ca="1">AVERAGEIF(filtered!$AB$3:$AB$2305, summary!$B6, filtered!Y$3:Y$2305)</f>
        <v>148.70483298455028</v>
      </c>
      <c r="Z6">
        <f ca="1">AVERAGEIF(filtered!$AB$3:$AB$2305, summary!$B6, filtered!Z$3:Z$2305)</f>
        <v>51.190932100232359</v>
      </c>
    </row>
    <row r="9" spans="1:36">
      <c r="B9" t="s">
        <v>15</v>
      </c>
      <c r="C9" t="s">
        <v>90</v>
      </c>
      <c r="D9" t="s">
        <v>26</v>
      </c>
      <c r="G9" s="9" t="s">
        <v>96</v>
      </c>
    </row>
    <row r="10" spans="1:36">
      <c r="A10" s="3"/>
      <c r="B10" s="3">
        <f ca="1">B3</f>
        <v>2020</v>
      </c>
      <c r="C10" s="5">
        <f ca="1">SUM(E3:F3,K3:M3)/SUM(D3:M3)</f>
        <v>0.44241411525224017</v>
      </c>
      <c r="D10" s="8">
        <f ca="1">IF(B11&gt;2045, 1, IF(B11&gt;2040, 0.7, IF(B11&gt;2030, 0.4, IF(B11&gt;2020, 0.3, 0.15))))</f>
        <v>0.3</v>
      </c>
      <c r="G10" t="str">
        <f>"Average renewables: " &amp; TEXT(I16, "0.0%") &amp; CHAR(13) &amp; "Average cost: " &amp; TEXT(D16, "$0.000") &amp; "/kWh"</f>
        <v>Average renewables: 79.1%_x000D_Average cost: $0.182/kWh</v>
      </c>
    </row>
    <row r="11" spans="1:36">
      <c r="A11" s="3"/>
      <c r="B11" s="3">
        <f t="shared" ref="B11:B13" ca="1" si="0">B4</f>
        <v>2025</v>
      </c>
      <c r="C11" s="5">
        <f ca="1">SUM(E4:F4,K4:M4)/SUM(D4:M4)</f>
        <v>0.6999999999999994</v>
      </c>
      <c r="D11" s="8">
        <f t="shared" ref="D11:D13" ca="1" si="1">IF(B12&gt;2045, 1, IF(B12&gt;2040, 0.7, IF(B12&gt;2030, 0.4, IF(B12&gt;2020, 0.3, 0))))</f>
        <v>0.3</v>
      </c>
    </row>
    <row r="12" spans="1:36">
      <c r="A12" s="3"/>
      <c r="B12" s="3">
        <f t="shared" ca="1" si="0"/>
        <v>2030</v>
      </c>
      <c r="C12" s="5">
        <f ca="1">SUM(E5:F5,K5:M5)/SUM(D5:M5)</f>
        <v>1</v>
      </c>
      <c r="D12" s="8">
        <f t="shared" ca="1" si="1"/>
        <v>0.4</v>
      </c>
    </row>
    <row r="13" spans="1:36">
      <c r="A13" s="3"/>
      <c r="B13" s="3">
        <f t="shared" ca="1" si="0"/>
        <v>2035</v>
      </c>
      <c r="C13" s="5">
        <f ca="1">SUM(E6:F6,K6:M6)/SUM(D6:M6)</f>
        <v>1</v>
      </c>
      <c r="D13" s="8">
        <f t="shared" ca="1" si="1"/>
        <v>0.4</v>
      </c>
    </row>
    <row r="14" spans="1:36">
      <c r="B14" s="3">
        <f ca="1">B13+B13-B12</f>
        <v>2040</v>
      </c>
      <c r="E14">
        <f>VALUE(RIGHT(E15, 4))</f>
        <v>2020</v>
      </c>
      <c r="F14">
        <f t="shared" ref="F14:H14" si="2">VALUE(RIGHT(F15, 4))</f>
        <v>2025</v>
      </c>
      <c r="G14">
        <f t="shared" si="2"/>
        <v>2030</v>
      </c>
      <c r="H14">
        <f t="shared" si="2"/>
        <v>2035</v>
      </c>
    </row>
    <row r="15" spans="1:36">
      <c r="A15" t="s">
        <v>91</v>
      </c>
      <c r="B15" t="s">
        <v>92</v>
      </c>
      <c r="C15" t="s">
        <v>93</v>
      </c>
      <c r="D15" t="s">
        <v>94</v>
      </c>
      <c r="E15" t="s">
        <v>717</v>
      </c>
      <c r="F15" t="s">
        <v>718</v>
      </c>
      <c r="G15" t="s">
        <v>719</v>
      </c>
      <c r="H15" t="s">
        <v>720</v>
      </c>
      <c r="I15" t="s">
        <v>95</v>
      </c>
      <c r="J15" t="s">
        <v>721</v>
      </c>
      <c r="K15" t="s">
        <v>722</v>
      </c>
      <c r="L15" t="s">
        <v>723</v>
      </c>
      <c r="M15" t="s">
        <v>724</v>
      </c>
    </row>
    <row r="16" spans="1:36">
      <c r="A16" t="s">
        <v>725</v>
      </c>
      <c r="B16">
        <v>0.3</v>
      </c>
      <c r="C16">
        <v>17399772767.874699</v>
      </c>
      <c r="D16">
        <v>0.18193066232326499</v>
      </c>
      <c r="E16">
        <v>0.151440491038277</v>
      </c>
      <c r="F16">
        <v>0.13976134129548101</v>
      </c>
      <c r="G16">
        <v>0.228455035231894</v>
      </c>
      <c r="H16">
        <v>0.23599049423146501</v>
      </c>
      <c r="I16">
        <v>0.79138322042971598</v>
      </c>
      <c r="J16">
        <v>0.442414115252243</v>
      </c>
      <c r="K16">
        <v>0.69999999999999396</v>
      </c>
      <c r="L16">
        <v>1</v>
      </c>
      <c r="M16">
        <v>0.999999999999995</v>
      </c>
    </row>
    <row r="19" spans="1:42">
      <c r="A19" t="s">
        <v>0</v>
      </c>
      <c r="B19" t="s">
        <v>36</v>
      </c>
      <c r="C19" t="s">
        <v>2</v>
      </c>
      <c r="D19" t="s">
        <v>7</v>
      </c>
      <c r="E19" t="s">
        <v>33</v>
      </c>
      <c r="F19" t="s">
        <v>6</v>
      </c>
      <c r="G19" t="s">
        <v>42</v>
      </c>
      <c r="H19" t="s">
        <v>43</v>
      </c>
      <c r="I19" t="s">
        <v>44</v>
      </c>
      <c r="J19" t="s">
        <v>40</v>
      </c>
      <c r="K19" t="s">
        <v>41</v>
      </c>
      <c r="P19" t="s">
        <v>0</v>
      </c>
      <c r="Q19" t="s">
        <v>36</v>
      </c>
      <c r="R19" t="s">
        <v>55</v>
      </c>
      <c r="S19" t="s">
        <v>56</v>
      </c>
      <c r="T19" t="s">
        <v>57</v>
      </c>
      <c r="U19" t="s">
        <v>59</v>
      </c>
      <c r="V19" t="s">
        <v>60</v>
      </c>
      <c r="W19" t="s">
        <v>61</v>
      </c>
      <c r="X19" t="s">
        <v>62</v>
      </c>
      <c r="Y19" t="s">
        <v>63</v>
      </c>
      <c r="Z19" t="s">
        <v>64</v>
      </c>
      <c r="AA19" t="s">
        <v>65</v>
      </c>
      <c r="AB19" t="s">
        <v>66</v>
      </c>
      <c r="AC19" t="s">
        <v>67</v>
      </c>
      <c r="AD19" t="s">
        <v>68</v>
      </c>
      <c r="AE19" t="s">
        <v>69</v>
      </c>
      <c r="AF19" t="s">
        <v>70</v>
      </c>
      <c r="AG19" t="s">
        <v>71</v>
      </c>
      <c r="AH19" t="s">
        <v>72</v>
      </c>
      <c r="AI19" t="s">
        <v>73</v>
      </c>
      <c r="AJ19" t="s">
        <v>47</v>
      </c>
      <c r="AK19" t="s">
        <v>74</v>
      </c>
      <c r="AL19" t="s">
        <v>75</v>
      </c>
      <c r="AM19" t="s">
        <v>76</v>
      </c>
      <c r="AN19" t="s">
        <v>77</v>
      </c>
      <c r="AO19" t="s">
        <v>40</v>
      </c>
      <c r="AP19" t="s">
        <v>41</v>
      </c>
    </row>
    <row r="20" spans="1:42">
      <c r="A20" t="s">
        <v>13</v>
      </c>
      <c r="B20" s="4">
        <v>2020</v>
      </c>
      <c r="C20">
        <v>246.2</v>
      </c>
      <c r="D20">
        <v>196.74461619397999</v>
      </c>
      <c r="E20">
        <v>60</v>
      </c>
      <c r="F20">
        <v>925.70471518682803</v>
      </c>
      <c r="G20">
        <v>841.4</v>
      </c>
      <c r="H20">
        <v>215.4</v>
      </c>
      <c r="I20">
        <v>180</v>
      </c>
      <c r="J20">
        <v>0</v>
      </c>
      <c r="K20">
        <v>0</v>
      </c>
      <c r="P20" t="s">
        <v>13</v>
      </c>
      <c r="Q20">
        <v>2020</v>
      </c>
      <c r="R20">
        <v>3.2</v>
      </c>
      <c r="S20">
        <v>77.900000000000006</v>
      </c>
      <c r="T20">
        <v>113</v>
      </c>
      <c r="U20">
        <v>60</v>
      </c>
      <c r="V20">
        <v>5</v>
      </c>
      <c r="W20">
        <v>128.69999999999999</v>
      </c>
      <c r="X20">
        <v>9</v>
      </c>
      <c r="Y20">
        <v>82.1</v>
      </c>
      <c r="Z20">
        <v>78.099999999999994</v>
      </c>
      <c r="AA20">
        <v>69</v>
      </c>
      <c r="AB20">
        <v>180</v>
      </c>
      <c r="AC20">
        <v>51.8</v>
      </c>
      <c r="AD20">
        <v>155.6</v>
      </c>
      <c r="AE20">
        <v>210</v>
      </c>
      <c r="AF20">
        <v>30</v>
      </c>
      <c r="AG20">
        <v>51.9</v>
      </c>
      <c r="AH20">
        <v>128.1</v>
      </c>
      <c r="AI20">
        <v>20</v>
      </c>
      <c r="AJ20">
        <v>97.744616193980505</v>
      </c>
      <c r="AK20">
        <v>87.2</v>
      </c>
      <c r="AL20">
        <v>102.4</v>
      </c>
      <c r="AM20">
        <v>214</v>
      </c>
      <c r="AN20">
        <v>710.70471518682803</v>
      </c>
      <c r="AO20">
        <v>0</v>
      </c>
      <c r="AP20">
        <v>0</v>
      </c>
    </row>
    <row r="21" spans="1:42">
      <c r="A21" t="s">
        <v>13</v>
      </c>
      <c r="B21" s="4">
        <v>2025</v>
      </c>
      <c r="C21">
        <v>246.2</v>
      </c>
      <c r="D21">
        <v>196.74461619397999</v>
      </c>
      <c r="E21">
        <v>60</v>
      </c>
      <c r="F21">
        <v>1577.60953392856</v>
      </c>
      <c r="G21">
        <v>428.599999999999</v>
      </c>
      <c r="H21">
        <v>215.4</v>
      </c>
      <c r="I21">
        <v>180</v>
      </c>
      <c r="J21">
        <v>150</v>
      </c>
      <c r="K21">
        <v>0</v>
      </c>
      <c r="P21" t="s">
        <v>13</v>
      </c>
      <c r="Q21">
        <v>2025</v>
      </c>
      <c r="R21">
        <v>3.2</v>
      </c>
      <c r="S21">
        <v>0</v>
      </c>
      <c r="T21">
        <v>113</v>
      </c>
      <c r="U21">
        <v>60</v>
      </c>
      <c r="V21">
        <v>5</v>
      </c>
      <c r="W21">
        <v>0</v>
      </c>
      <c r="X21">
        <v>9</v>
      </c>
      <c r="Y21">
        <v>82.1</v>
      </c>
      <c r="Z21">
        <v>0</v>
      </c>
      <c r="AA21">
        <v>69</v>
      </c>
      <c r="AB21">
        <v>180</v>
      </c>
      <c r="AC21">
        <v>51.8</v>
      </c>
      <c r="AD21">
        <v>155.6</v>
      </c>
      <c r="AE21">
        <v>210</v>
      </c>
      <c r="AF21">
        <v>30</v>
      </c>
      <c r="AG21">
        <v>51.9</v>
      </c>
      <c r="AH21">
        <v>0</v>
      </c>
      <c r="AI21">
        <v>20</v>
      </c>
      <c r="AJ21">
        <v>97.744616193980505</v>
      </c>
      <c r="AK21">
        <v>87.2</v>
      </c>
      <c r="AL21">
        <v>102.4</v>
      </c>
      <c r="AM21">
        <v>214</v>
      </c>
      <c r="AN21">
        <v>1362.60953392856</v>
      </c>
      <c r="AO21">
        <v>150</v>
      </c>
      <c r="AP21">
        <v>0</v>
      </c>
    </row>
    <row r="22" spans="1:42">
      <c r="A22" t="s">
        <v>13</v>
      </c>
      <c r="B22">
        <v>2030</v>
      </c>
      <c r="C22">
        <v>246.2</v>
      </c>
      <c r="D22">
        <v>233.100659618234</v>
      </c>
      <c r="E22">
        <v>60</v>
      </c>
      <c r="F22">
        <v>3818.7190279945298</v>
      </c>
      <c r="G22">
        <v>77.8</v>
      </c>
      <c r="H22">
        <v>215.4</v>
      </c>
      <c r="I22">
        <v>180</v>
      </c>
      <c r="J22">
        <v>350</v>
      </c>
      <c r="K22">
        <v>404.83335561331899</v>
      </c>
      <c r="P22" t="s">
        <v>13</v>
      </c>
      <c r="Q22">
        <v>2030</v>
      </c>
      <c r="R22">
        <v>3.2</v>
      </c>
      <c r="S22">
        <v>0</v>
      </c>
      <c r="T22">
        <v>113</v>
      </c>
      <c r="U22">
        <v>60</v>
      </c>
      <c r="V22">
        <v>5</v>
      </c>
      <c r="W22">
        <v>0</v>
      </c>
      <c r="X22">
        <v>9</v>
      </c>
      <c r="Y22">
        <v>0</v>
      </c>
      <c r="Z22">
        <v>0</v>
      </c>
      <c r="AA22">
        <v>69</v>
      </c>
      <c r="AB22">
        <v>180</v>
      </c>
      <c r="AC22">
        <v>0</v>
      </c>
      <c r="AD22">
        <v>77.8</v>
      </c>
      <c r="AE22">
        <v>210</v>
      </c>
      <c r="AF22">
        <v>30</v>
      </c>
      <c r="AG22">
        <v>0</v>
      </c>
      <c r="AH22">
        <v>0</v>
      </c>
      <c r="AI22">
        <v>20</v>
      </c>
      <c r="AJ22">
        <v>134.100659618234</v>
      </c>
      <c r="AK22">
        <v>0</v>
      </c>
      <c r="AL22">
        <v>102.4</v>
      </c>
      <c r="AM22">
        <v>214</v>
      </c>
      <c r="AN22">
        <v>3603.7190279945298</v>
      </c>
      <c r="AO22">
        <v>350</v>
      </c>
      <c r="AP22">
        <v>404.83335561331899</v>
      </c>
    </row>
    <row r="23" spans="1:42">
      <c r="A23" t="s">
        <v>13</v>
      </c>
      <c r="B23">
        <v>2035</v>
      </c>
      <c r="C23">
        <v>246.2</v>
      </c>
      <c r="D23">
        <v>233.100659618234</v>
      </c>
      <c r="E23">
        <v>60</v>
      </c>
      <c r="F23">
        <v>3818.7190279945298</v>
      </c>
      <c r="G23">
        <v>0</v>
      </c>
      <c r="H23">
        <v>215.4</v>
      </c>
      <c r="I23">
        <v>180</v>
      </c>
      <c r="J23">
        <v>350</v>
      </c>
      <c r="K23">
        <v>404.83335561331899</v>
      </c>
      <c r="P23" t="s">
        <v>13</v>
      </c>
      <c r="Q23">
        <v>2035</v>
      </c>
      <c r="R23">
        <v>3.2</v>
      </c>
      <c r="S23">
        <v>0</v>
      </c>
      <c r="T23">
        <v>113</v>
      </c>
      <c r="U23">
        <v>60</v>
      </c>
      <c r="V23">
        <v>5</v>
      </c>
      <c r="W23">
        <v>0</v>
      </c>
      <c r="X23">
        <v>9</v>
      </c>
      <c r="Y23">
        <v>0</v>
      </c>
      <c r="Z23">
        <v>0</v>
      </c>
      <c r="AA23">
        <v>69</v>
      </c>
      <c r="AB23">
        <v>180</v>
      </c>
      <c r="AC23">
        <v>0</v>
      </c>
      <c r="AD23">
        <v>0</v>
      </c>
      <c r="AE23">
        <v>210</v>
      </c>
      <c r="AF23">
        <v>30</v>
      </c>
      <c r="AG23">
        <v>0</v>
      </c>
      <c r="AH23">
        <v>0</v>
      </c>
      <c r="AI23">
        <v>20</v>
      </c>
      <c r="AJ23">
        <v>134.100659618234</v>
      </c>
      <c r="AK23">
        <v>0</v>
      </c>
      <c r="AL23">
        <v>102.4</v>
      </c>
      <c r="AM23">
        <v>214</v>
      </c>
      <c r="AN23">
        <v>3603.7190279945298</v>
      </c>
      <c r="AO23">
        <v>350</v>
      </c>
      <c r="AP23">
        <v>404.83335561331899</v>
      </c>
    </row>
    <row r="25" spans="1:42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77</v>
      </c>
      <c r="M25" t="s">
        <v>138</v>
      </c>
      <c r="N25" t="s">
        <v>60</v>
      </c>
      <c r="O25" t="s">
        <v>69</v>
      </c>
      <c r="P25" t="s">
        <v>6</v>
      </c>
      <c r="Q25" t="s">
        <v>75</v>
      </c>
      <c r="R25" t="s">
        <v>57</v>
      </c>
      <c r="S25" t="s">
        <v>58</v>
      </c>
    </row>
    <row r="26" spans="1:42">
      <c r="C26">
        <f>MATCH(C25, $C19:$BB19, 0)</f>
        <v>8</v>
      </c>
      <c r="D26">
        <f t="shared" ref="D26:K26" si="3">MATCH(D25, $C19:$BB19, 0)</f>
        <v>9</v>
      </c>
      <c r="E26">
        <f t="shared" si="3"/>
        <v>7</v>
      </c>
      <c r="F26">
        <f t="shared" si="3"/>
        <v>1</v>
      </c>
      <c r="G26" t="e">
        <f t="shared" si="3"/>
        <v>#N/A</v>
      </c>
      <c r="H26">
        <f t="shared" si="3"/>
        <v>5</v>
      </c>
      <c r="I26">
        <f t="shared" si="3"/>
        <v>6</v>
      </c>
      <c r="J26">
        <f t="shared" si="3"/>
        <v>3</v>
      </c>
      <c r="K26">
        <f t="shared" si="3"/>
        <v>2</v>
      </c>
      <c r="L26">
        <f>MATCH(L25, $C19:$BB19, 0)</f>
        <v>38</v>
      </c>
      <c r="M26" t="e">
        <f t="shared" ref="M26" si="4">MATCH(M25, $C19:$BB19, 0)</f>
        <v>#N/A</v>
      </c>
      <c r="N26">
        <f t="shared" ref="N26" si="5">MATCH(N25, $C19:$BB19, 0)</f>
        <v>20</v>
      </c>
      <c r="O26">
        <f t="shared" ref="O26:P26" si="6">MATCH(O25, $C19:$BB19, 0)</f>
        <v>29</v>
      </c>
      <c r="P26">
        <f t="shared" si="6"/>
        <v>4</v>
      </c>
      <c r="Q26">
        <f t="shared" ref="Q26" si="7">MATCH(Q25, $C19:$BB19, 0)</f>
        <v>36</v>
      </c>
      <c r="R26">
        <f t="shared" ref="R26" si="8">MATCH(R25, $C19:$BB19, 0)</f>
        <v>18</v>
      </c>
      <c r="S26" t="e">
        <f t="shared" ref="S26" si="9">MATCH(S25, $C19:$BB19, 0)</f>
        <v>#N/A</v>
      </c>
    </row>
    <row r="27" spans="1:42">
      <c r="C27" t="s">
        <v>82</v>
      </c>
      <c r="D27" t="s">
        <v>83</v>
      </c>
      <c r="E27" t="s">
        <v>89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81</v>
      </c>
      <c r="M27" t="s">
        <v>140</v>
      </c>
      <c r="N27" t="s">
        <v>60</v>
      </c>
      <c r="O27" t="s">
        <v>69</v>
      </c>
      <c r="P27" t="s">
        <v>79</v>
      </c>
      <c r="Q27" t="s">
        <v>84</v>
      </c>
      <c r="R27" t="s">
        <v>85</v>
      </c>
      <c r="S27" t="s">
        <v>87</v>
      </c>
      <c r="U27" t="str">
        <f t="shared" ref="U27:V27" si="10">L27</f>
        <v>New Tracking PV</v>
      </c>
      <c r="V27" t="str">
        <f t="shared" si="10"/>
        <v>New Dist PV</v>
      </c>
      <c r="W27" t="s">
        <v>78</v>
      </c>
      <c r="X27" t="s">
        <v>80</v>
      </c>
      <c r="Y27" t="s">
        <v>86</v>
      </c>
      <c r="Z27" t="s">
        <v>87</v>
      </c>
      <c r="AA27" t="s">
        <v>88</v>
      </c>
    </row>
    <row r="28" spans="1:42">
      <c r="A28" t="str">
        <f>A20</f>
        <v>Oahu</v>
      </c>
      <c r="B28" s="4">
        <f>B20</f>
        <v>2020</v>
      </c>
      <c r="C28">
        <f ca="1">IF(ISNA(C$26), 0, OFFSET($B20, 0, C$26))</f>
        <v>0</v>
      </c>
      <c r="D28">
        <f t="shared" ref="D28:O28" ca="1" si="11">IF(ISNA(D$26), 0, OFFSET($B20, 0, D$26))</f>
        <v>0</v>
      </c>
      <c r="E28">
        <f t="shared" ca="1" si="11"/>
        <v>180</v>
      </c>
      <c r="F28">
        <f t="shared" ca="1" si="11"/>
        <v>246.2</v>
      </c>
      <c r="G28">
        <f t="shared" ref="G28" ca="1" si="12">IF(ISNA(G$26), 0, OFFSET($B20, 0, G$26))</f>
        <v>0</v>
      </c>
      <c r="H28">
        <f t="shared" ca="1" si="11"/>
        <v>841.4</v>
      </c>
      <c r="I28">
        <f t="shared" ca="1" si="11"/>
        <v>215.4</v>
      </c>
      <c r="J28">
        <f t="shared" ca="1" si="11"/>
        <v>60</v>
      </c>
      <c r="K28">
        <f t="shared" ca="1" si="11"/>
        <v>196.74461619397999</v>
      </c>
      <c r="L28">
        <f t="shared" ca="1" si="11"/>
        <v>710.70471518682803</v>
      </c>
      <c r="M28">
        <f t="shared" ca="1" si="11"/>
        <v>0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925.70471518682803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710.70471518682803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2">
      <c r="A29" t="str">
        <f t="shared" ref="A29:A31" si="14">A21</f>
        <v>Oahu</v>
      </c>
      <c r="B29" s="4">
        <f t="shared" ref="B29:B31" si="15">B21</f>
        <v>2025</v>
      </c>
      <c r="C29">
        <f t="shared" ref="C29:O29" ca="1" si="16">IF(ISNA(C$26), 0, OFFSET($B21, 0, C$26))</f>
        <v>150</v>
      </c>
      <c r="D29">
        <f t="shared" ca="1" si="16"/>
        <v>0</v>
      </c>
      <c r="E29">
        <f t="shared" ca="1" si="16"/>
        <v>180</v>
      </c>
      <c r="F29">
        <f t="shared" ca="1" si="16"/>
        <v>246.2</v>
      </c>
      <c r="G29">
        <f t="shared" ref="G29" ca="1" si="17">IF(ISNA(G$26), 0, OFFSET($B21, 0, G$26))</f>
        <v>0</v>
      </c>
      <c r="H29">
        <f t="shared" ca="1" si="16"/>
        <v>428.599999999999</v>
      </c>
      <c r="I29">
        <f t="shared" ca="1" si="16"/>
        <v>215.4</v>
      </c>
      <c r="J29">
        <f t="shared" ca="1" si="16"/>
        <v>60</v>
      </c>
      <c r="K29">
        <f t="shared" ca="1" si="16"/>
        <v>196.74461619397999</v>
      </c>
      <c r="L29">
        <f t="shared" ca="1" si="16"/>
        <v>1362.60953392856</v>
      </c>
      <c r="M29">
        <f t="shared" ca="1" si="16"/>
        <v>0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1577.60953392856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1362.60953392856</v>
      </c>
      <c r="V29">
        <f t="shared" ca="1" si="19"/>
        <v>0</v>
      </c>
      <c r="W29">
        <f ca="1">N29+O29</f>
        <v>215</v>
      </c>
      <c r="X29">
        <f ca="1">P29-SUM(U29:W29)</f>
        <v>0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2">
      <c r="A30" t="str">
        <f t="shared" si="14"/>
        <v>Oahu</v>
      </c>
      <c r="B30" s="4">
        <f t="shared" si="15"/>
        <v>2030</v>
      </c>
      <c r="C30">
        <f t="shared" ref="C30:O30" ca="1" si="20">IF(ISNA(C$26), 0, OFFSET($B22, 0, C$26))</f>
        <v>350</v>
      </c>
      <c r="D30">
        <f t="shared" ca="1" si="20"/>
        <v>404.83335561331899</v>
      </c>
      <c r="E30">
        <f t="shared" ca="1" si="20"/>
        <v>180</v>
      </c>
      <c r="F30">
        <f t="shared" ca="1" si="20"/>
        <v>246.2</v>
      </c>
      <c r="G30">
        <f t="shared" ref="G30" ca="1" si="21">IF(ISNA(G$26), 0, OFFSET($B22, 0, G$26))</f>
        <v>0</v>
      </c>
      <c r="H30">
        <f t="shared" ca="1" si="20"/>
        <v>77.8</v>
      </c>
      <c r="I30">
        <f t="shared" ca="1" si="20"/>
        <v>215.4</v>
      </c>
      <c r="J30">
        <f t="shared" ca="1" si="20"/>
        <v>60</v>
      </c>
      <c r="K30">
        <f t="shared" ca="1" si="20"/>
        <v>233.100659618234</v>
      </c>
      <c r="L30">
        <f t="shared" ca="1" si="20"/>
        <v>3603.7190279945298</v>
      </c>
      <c r="M30">
        <f t="shared" ca="1" si="20"/>
        <v>0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3818.7190279945298</v>
      </c>
      <c r="Q30">
        <f t="shared" ca="1" si="22"/>
        <v>102.4</v>
      </c>
      <c r="R30">
        <f t="shared" ca="1" si="22"/>
        <v>113</v>
      </c>
      <c r="S30">
        <f t="shared" ca="1" si="22"/>
        <v>0</v>
      </c>
      <c r="U30">
        <f t="shared" ca="1" si="19"/>
        <v>3603.7190279945298</v>
      </c>
      <c r="V30">
        <f t="shared" ca="1" si="19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2">
      <c r="A31" t="str">
        <f t="shared" si="14"/>
        <v>Oahu</v>
      </c>
      <c r="B31" s="4">
        <f t="shared" si="15"/>
        <v>2035</v>
      </c>
      <c r="C31">
        <f t="shared" ref="C31:O31" ca="1" si="23">IF(ISNA(C$26), 0, OFFSET($B23, 0, C$26))</f>
        <v>350</v>
      </c>
      <c r="D31">
        <f t="shared" ca="1" si="23"/>
        <v>404.83335561331899</v>
      </c>
      <c r="E31">
        <f t="shared" ca="1" si="23"/>
        <v>180</v>
      </c>
      <c r="F31">
        <f t="shared" ca="1" si="23"/>
        <v>246.2</v>
      </c>
      <c r="G31">
        <f t="shared" ref="G31" ca="1" si="24">IF(ISNA(G$26), 0, OFFSET($B23, 0, G$26))</f>
        <v>0</v>
      </c>
      <c r="H31">
        <f t="shared" ca="1" si="23"/>
        <v>0</v>
      </c>
      <c r="I31">
        <f t="shared" ca="1" si="23"/>
        <v>215.4</v>
      </c>
      <c r="J31">
        <f t="shared" ca="1" si="23"/>
        <v>60</v>
      </c>
      <c r="K31">
        <f t="shared" ca="1" si="23"/>
        <v>233.100659618234</v>
      </c>
      <c r="L31">
        <f t="shared" ca="1" si="23"/>
        <v>3603.7190279945298</v>
      </c>
      <c r="M31">
        <f t="shared" ca="1" si="23"/>
        <v>0</v>
      </c>
      <c r="N31">
        <f t="shared" ca="1" si="23"/>
        <v>5</v>
      </c>
      <c r="O31">
        <f t="shared" ca="1" si="23"/>
        <v>210</v>
      </c>
      <c r="P31">
        <f t="shared" ref="P31:S31" ca="1" si="25">IF(ISNA(P$26), 0, OFFSET($B23, 0, P$26))</f>
        <v>3818.7190279945298</v>
      </c>
      <c r="Q31">
        <f t="shared" ca="1" si="25"/>
        <v>102.4</v>
      </c>
      <c r="R31">
        <f t="shared" ca="1" si="25"/>
        <v>113</v>
      </c>
      <c r="S31">
        <f t="shared" ca="1" si="25"/>
        <v>0</v>
      </c>
      <c r="U31">
        <f t="shared" ca="1" si="19"/>
        <v>3603.7190279945298</v>
      </c>
      <c r="V31">
        <f t="shared" ca="1" si="19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0</v>
      </c>
      <c r="AA31">
        <f ca="1">I31-Z31</f>
        <v>215.4</v>
      </c>
    </row>
    <row r="69" spans="1:2">
      <c r="A69" t="s">
        <v>99</v>
      </c>
    </row>
    <row r="70" spans="1:2">
      <c r="A70" t="s">
        <v>100</v>
      </c>
      <c r="B70" t="s">
        <v>101</v>
      </c>
    </row>
    <row r="71" spans="1:2">
      <c r="A71" t="s">
        <v>54</v>
      </c>
      <c r="B71" t="s">
        <v>137</v>
      </c>
    </row>
    <row r="72" spans="1:2">
      <c r="A72" t="s">
        <v>136</v>
      </c>
      <c r="B72" t="s">
        <v>137</v>
      </c>
    </row>
    <row r="73" spans="1:2">
      <c r="A73" t="s">
        <v>102</v>
      </c>
      <c r="B73" t="s">
        <v>115</v>
      </c>
    </row>
    <row r="74" spans="1:2">
      <c r="A74" t="s">
        <v>103</v>
      </c>
      <c r="B74" t="s">
        <v>116</v>
      </c>
    </row>
    <row r="75" spans="1:2">
      <c r="A75" t="s">
        <v>104</v>
      </c>
      <c r="B75" t="s">
        <v>117</v>
      </c>
    </row>
    <row r="76" spans="1:2">
      <c r="A76" t="s">
        <v>105</v>
      </c>
      <c r="B76" t="s">
        <v>118</v>
      </c>
    </row>
    <row r="77" spans="1:2">
      <c r="A77" t="s">
        <v>131</v>
      </c>
      <c r="B77" t="s">
        <v>133</v>
      </c>
    </row>
    <row r="78" spans="1:2">
      <c r="A78" t="s">
        <v>97</v>
      </c>
      <c r="B78" t="s">
        <v>119</v>
      </c>
    </row>
    <row r="79" spans="1:2">
      <c r="A79" t="s">
        <v>106</v>
      </c>
      <c r="B79" t="s">
        <v>120</v>
      </c>
    </row>
    <row r="80" spans="1:2">
      <c r="A80" t="s">
        <v>107</v>
      </c>
      <c r="B80" t="s">
        <v>121</v>
      </c>
    </row>
    <row r="81" spans="1:2">
      <c r="A81" t="s">
        <v>108</v>
      </c>
      <c r="B81" t="s">
        <v>122</v>
      </c>
    </row>
    <row r="82" spans="1:2">
      <c r="A82" t="s">
        <v>109</v>
      </c>
      <c r="B82" t="s">
        <v>123</v>
      </c>
    </row>
    <row r="83" spans="1:2">
      <c r="A83" t="s">
        <v>110</v>
      </c>
      <c r="B83" t="s">
        <v>124</v>
      </c>
    </row>
    <row r="84" spans="1:2">
      <c r="A84" t="s">
        <v>111</v>
      </c>
      <c r="B84" t="s">
        <v>125</v>
      </c>
    </row>
    <row r="85" spans="1:2">
      <c r="A85" t="s">
        <v>130</v>
      </c>
      <c r="B85" t="s">
        <v>139</v>
      </c>
    </row>
    <row r="86" spans="1:2">
      <c r="A86" t="s">
        <v>98</v>
      </c>
      <c r="B86" t="s">
        <v>126</v>
      </c>
    </row>
    <row r="87" spans="1:2">
      <c r="A87" t="s">
        <v>135</v>
      </c>
      <c r="B87" t="s">
        <v>126</v>
      </c>
    </row>
    <row r="88" spans="1:2">
      <c r="A88" t="s">
        <v>112</v>
      </c>
      <c r="B88" t="s">
        <v>127</v>
      </c>
    </row>
    <row r="89" spans="1:2">
      <c r="A89" t="s">
        <v>113</v>
      </c>
      <c r="B89" t="s">
        <v>128</v>
      </c>
    </row>
    <row r="90" spans="1:2">
      <c r="A90" t="s">
        <v>114</v>
      </c>
      <c r="B90" t="s">
        <v>129</v>
      </c>
    </row>
    <row r="91" spans="1:2">
      <c r="A91" t="s">
        <v>132</v>
      </c>
      <c r="B91" t="s">
        <v>134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zoomScale="92" zoomScaleNormal="92" zoomScalePageLayoutView="92" workbookViewId="0">
      <selection activeCell="B3" sqref="B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725</v>
      </c>
      <c r="G3" t="e">
        <f>MATCH(F3, summary!A71:A105, 0)</f>
        <v>#N/A</v>
      </c>
      <c r="H3" t="str">
        <f>IF(ISNA(G3),F3,INDEX(summary!B71:B105,G3))</f>
        <v>rps_2030_2_bio_3_ph_test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2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autoFill="0" autoPict="0" macro="[0]!ShowChooseFileForm">
                <anchor moveWithCells="1" sizeWithCells="1">
                  <from>
                    <xdr:col>10</xdr:col>
                    <xdr:colOff>50800</xdr:colOff>
                    <xdr:row>1</xdr:row>
                    <xdr:rowOff>114300</xdr:rowOff>
                  </from>
                  <to>
                    <xdr:col>11</xdr:col>
                    <xdr:colOff>609600</xdr:colOff>
                    <xdr:row>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filtered</vt:lpstr>
      <vt:lpstr>summary</vt:lpstr>
      <vt:lpstr>graphs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2015-10-01T09:18:26Z</dcterms:modified>
</cp:coreProperties>
</file>